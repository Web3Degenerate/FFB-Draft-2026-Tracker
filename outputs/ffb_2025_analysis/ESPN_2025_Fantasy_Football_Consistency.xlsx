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c2c47e5d5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aed6cf4da8b4efb"/>
    <x:sheet xmlns:r="http://schemas.openxmlformats.org/officeDocument/2006/relationships" name="Top 6 Lineups" sheetId="2" r:id="R3486905f36fb4428"/>
    <x:sheet xmlns:r="http://schemas.openxmlformats.org/officeDocument/2006/relationships" name="Player Rankings" sheetId="3" r:id="R8d3312f2eaa44be7"/>
    <x:sheet xmlns:r="http://schemas.openxmlformats.org/officeDocument/2006/relationships" name="Weekly Points" sheetId="4" r:id="Rd690d9cbb0aa47fb"/>
  </x:sheets>
</x:workbook>
</file>

<file path=xl/comments1.xml><?xml version="1.0" encoding="utf-8"?>
<x:comments xmlns:x="http://schemas.openxmlformats.org/spreadsheetml/2006/main">
  <x:authors>
    <x:author>tc={5BFD6F80-0570-244F-184B-C63466B0ECB5}</x:author>
    <x:author>tc={B3A2F2C3-8C00-298A-337E-F17B2DE683A8}</x:author>
  </x:authors>
  <x:commentList>
    <x:comment ref="J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Weekly Floor is the inclusive 25th percentile of non-bye weekly ESPN points. Higher is better and drives the consistency rank.</x:t>
        </x:r>
      </x:text>
    </x:comment>
    <x:comment ref="N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Lineup Value = 50% Weekly Floor + 30% Median + 20% Average. It is used to build the top six retrospective lineups.</x:t>
        </x:r>
      </x:text>
    </x:comment>
  </x:commentList>
</x:comments>
</file>

<file path=xl/comments2.xml><?xml version="1.0" encoding="utf-8"?>
<x:comments xmlns:x="http://schemas.openxmlformats.org/spreadsheetml/2006/main">
  <x:authors>
    <x:author>tc={48432E3F-7BF4-B465-1870-4C239A19AB13}</x:author>
  </x:authors>
  <x:commentList>
    <x:comment ref="D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primary 2025 team bye is blank and excluded from formulas. Other missing/inactive weeks are intentionally zero.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"/>
    <x:numFmt numFmtId="203" formatCode="0.0%"/>
  </x:numFmts>
  <x:fonts count="17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02A43"/>
      <x:name val="Aptos"/>
    </x:font>
    <x:font>
      <x:b/>
      <x:sz val="10"/>
      <x:color rgb="FF667085"/>
      <x:name val="Aptos"/>
    </x:font>
    <x:font>
      <x:b/>
      <x:sz val="24"/>
      <x:color rgb="FF1B7F5A"/>
      <x:name val="Aptos Display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9"/>
      <x:name val="Aptos"/>
    </x:font>
    <x:font>
      <x:sz val="8"/>
      <x:color rgb="FF1F4E78"/>
      <x:name val="Aptos"/>
    </x:font>
    <x:font>
      <x:b/>
      <x:sz val="9"/>
      <x:color rgb="FF102A43"/>
      <x:name val="Aptos"/>
    </x:font>
    <x:font>
      <x:sz val="8"/>
      <x:name val="Aptos"/>
    </x:font>
    <x:font>
      <x:sz val="10"/>
      <x:color rgb="FFB42318"/>
      <x:name val="Aptos"/>
    </x:font>
    <x:font>
      <x:b/>
      <x:sz val="18"/>
      <x:color rgb="FFFFFFFF"/>
      <x:name val="Aptos"/>
    </x:font>
    <x:font>
      <x:sz val="11"/>
      <x:name val="Aptos"/>
    </x:font>
    <x:font>
      <x:b/>
      <x:sz val="24"/>
      <x:color rgb="FF1B7F5A"/>
      <x:name val="Aptos"/>
    </x:font>
    <x:font>
      <x:b/>
      <x:sz val="11"/>
      <x:color rgb="FF1B7F5A"/>
      <x:name val="Aptos"/>
    </x:font>
    <x:font>
      <x:i/>
      <x:sz val="9"/>
      <x:color rgb="FFD97706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F6F8FA"/>
      </x:patternFill>
    </x:fill>
    <x:fill>
      <x:patternFill patternType="solid">
        <x:fgColor rgb="FF1F4E78"/>
      </x:patternFill>
    </x:fill>
    <x:fill>
      <x:patternFill patternType="solid">
        <x:fgColor rgb="FFE8F5EE"/>
      </x:patternFill>
    </x:fill>
    <x:fill>
      <x:patternFill patternType="solid">
        <x:fgColor rgb="FFFFF7ED"/>
      </x:patternFill>
    </x:fill>
  </x:fills>
  <x:borders count="33">
    <x:border/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102A43"/>
      </x:left>
      <x:top style="thin">
        <x:color rgb="FF102A43"/>
      </x:top>
      <x:bottom style="thin">
        <x:color rgb="FF102A43"/>
      </x:bottom>
    </x:border>
    <x:border>
      <x:top style="thin">
        <x:color rgb="FF102A43"/>
      </x:top>
      <x:bottom style="thin">
        <x:color rgb="FF102A43"/>
      </x:bottom>
    </x:border>
    <x:border>
      <x:right style="thin">
        <x:color rgb="FF102A43"/>
      </x:right>
      <x:top style="thin">
        <x:color rgb="FF102A43"/>
      </x:top>
      <x:bottom style="thin">
        <x:color rgb="FF102A43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  <x:bottom style="thin">
        <x:color rgb="FF102A43"/>
      </x:bottom>
    </x:border>
    <x:border>
      <x:right style="thin">
        <x:color rgb="FFD0D5DD"/>
      </x:right>
      <x:top style="thin">
        <x:color rgb="FFD0D5DD"/>
      </x:top>
      <x:bottom style="thin">
        <x:color rgb="FF102A43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left style="thin">
        <x:color rgb="FF102A43"/>
      </x:left>
      <x:right style="thin">
        <x:color rgb="FFD0D5DD"/>
      </x:right>
      <x:top style="thin">
        <x:color rgb="FF102A43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102A43"/>
      </x:top>
      <x:bottom style="thin">
        <x:color rgb="FFD0D5DD"/>
      </x:bottom>
    </x:border>
    <x:border>
      <x:left style="thin">
        <x:color rgb="FFD0D5DD"/>
      </x:left>
      <x:top style="thin">
        <x:color rgb="FF102A43"/>
      </x:top>
      <x:bottom style="thin">
        <x:color rgb="FFD0D5DD"/>
      </x:bottom>
    </x:border>
    <x:border>
      <x:left style="thin">
        <x:color rgb="FF102A43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102A43"/>
      </x:left>
      <x:right style="thin">
        <x:color rgb="FFD0D5DD"/>
      </x:right>
      <x:top style="thin">
        <x:color rgb="FFD0D5DD"/>
      </x:top>
      <x:bottom style="thin">
        <x:color rgb="FF102A43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102A43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200" fontId="4" fillId="4" borderId="4" xfId="0" applyNumberFormat="1" applyFont="1" applyFill="1" applyBorder="1"/>
    <x:xf numFmtId="200" fontId="4" fillId="4" borderId="0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7" xfId="0" applyNumberFormat="1" applyFont="1" applyFill="1" applyBorder="1"/>
    <x:xf numFmtId="200" fontId="4" fillId="4" borderId="8" xfId="0" applyNumberFormat="1" applyFont="1" applyFill="1" applyBorder="1"/>
    <x:xf numFmtId="200" fontId="4" fillId="4" borderId="4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7" xfId="0" applyNumberFormat="1" applyFont="1" applyFill="1" applyBorder="1" applyAlignment="1">
      <x:alignment horizontal="center"/>
    </x:xf>
    <x:xf numFmtId="200" fontId="4" fillId="4" borderId="8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1" fontId="4" fillId="4" borderId="4" xfId="0" applyNumberFormat="1" applyFont="1" applyFill="1" applyBorder="1"/>
    <x:xf numFmtId="201" fontId="4" fillId="4" borderId="0" xfId="0" applyNumberFormat="1" applyFont="1" applyFill="1" applyBorder="1"/>
    <x:xf numFmtId="201" fontId="4" fillId="4" borderId="5" xfId="0" applyNumberFormat="1" applyFont="1" applyFill="1" applyBorder="1"/>
    <x:xf numFmtId="201" fontId="4" fillId="4" borderId="6" xfId="0" applyNumberFormat="1" applyFont="1" applyFill="1" applyBorder="1"/>
    <x:xf numFmtId="201" fontId="4" fillId="4" borderId="7" xfId="0" applyNumberFormat="1" applyFont="1" applyFill="1" applyBorder="1"/>
    <x:xf numFmtId="201" fontId="4" fillId="4" borderId="8" xfId="0" applyNumberFormat="1" applyFont="1" applyFill="1" applyBorder="1"/>
    <x:xf numFmtId="201" fontId="4" fillId="4" borderId="4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4" borderId="5" xfId="0" applyNumberFormat="1" applyFont="1" applyFill="1" applyBorder="1" applyAlignment="1">
      <x:alignment horizontal="center"/>
    </x:xf>
    <x:xf numFmtId="201" fontId="4" fillId="4" borderId="6" xfId="0" applyNumberFormat="1" applyFont="1" applyFill="1" applyBorder="1" applyAlignment="1">
      <x:alignment horizontal="center"/>
    </x:xf>
    <x:xf numFmtId="201" fontId="4" fillId="4" borderId="7" xfId="0" applyNumberFormat="1" applyFont="1" applyFill="1" applyBorder="1" applyAlignment="1">
      <x:alignment horizontal="center"/>
    </x:xf>
    <x:xf numFmtId="201" fontId="4" fillId="4" borderId="8" xfId="0" applyNumberFormat="1" applyFont="1" applyFill="1" applyBorder="1" applyAlignment="1">
      <x:alignment horizontal="center"/>
    </x:xf>
    <x:xf numFmtId="201" fontId="4" fillId="4" borderId="4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1" fontId="4" fillId="4" borderId="6" xfId="0" applyNumberFormat="1" applyFont="1" applyFill="1" applyBorder="1" applyAlignment="1">
      <x:alignment horizontal="center" vertical="center"/>
    </x:xf>
    <x:xf numFmtId="201" fontId="4" fillId="4" borderId="7" xfId="0" applyNumberFormat="1" applyFont="1" applyFill="1" applyBorder="1" applyAlignment="1">
      <x:alignment horizontal="center" vertical="center"/>
    </x:xf>
    <x:xf numFmtId="201" fontId="4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9" xfId="0" applyNumberFormat="1" applyFont="1" applyFill="1" applyBorder="1"/>
    <x:xf numFmtId="0" fontId="6" fillId="2" borderId="10" xfId="0" applyNumberFormat="1" applyFont="1" applyFill="1" applyBorder="1"/>
    <x:xf numFmtId="0" fontId="6" fillId="2" borderId="11" xfId="0" applyNumberFormat="1" applyFont="1" applyFill="1" applyBorder="1"/>
    <x:xf numFmtId="0" fontId="6" fillId="2" borderId="9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vertical="center" wrapText="1"/>
    </x:xf>
    <x:xf numFmtId="0" fontId="6" fillId="2" borderId="10" xfId="0" applyNumberFormat="1" applyFont="1" applyFill="1" applyBorder="1" applyAlignment="1">
      <x:alignment vertical="center" wrapText="1"/>
    </x:xf>
    <x:xf numFmtId="0" fontId="6" fillId="2" borderId="1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/>
    <x:xf numFmtId="0" fontId="7" fillId="0" borderId="12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/>
    <x:xf numFmtId="0" fontId="7" fillId="0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/>
    <x:xf numFmtId="0" fontId="7" fillId="0" borderId="16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202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6" fillId="2" borderId="17" xfId="0" applyNumberFormat="1" applyFont="1" applyFill="1" applyBorder="1" applyAlignment="1">
      <x:alignment vertical="center" wrapText="1"/>
    </x:xf>
    <x:xf numFmtId="0" fontId="6" fillId="2" borderId="18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/>
    <x:xf numFmtId="0" fontId="7" fillId="0" borderId="5" xfId="0" applyNumberFormat="1" applyFont="1" applyFill="1" applyBorder="1"/>
    <x:xf numFmtId="201" fontId="7" fillId="0" borderId="5" xfId="0" applyNumberFormat="1" applyFont="1" applyFill="1" applyBorder="1"/>
    <x:xf numFmtId="202" fontId="7" fillId="0" borderId="5" xfId="0" applyNumberFormat="1" applyFont="1" applyFill="1" applyBorder="1"/>
    <x:xf numFmtId="0" fontId="9" fillId="4" borderId="6" xfId="0" applyNumberFormat="1" applyFont="1" applyFill="1" applyBorder="1"/>
    <x:xf numFmtId="203" fontId="7" fillId="0" borderId="8" xfId="0" applyNumberFormat="1" applyFont="1" applyFill="1" applyBorder="1"/>
    <x:xf numFmtId="202" fontId="0" fillId="0" borderId="0" xfId="0" applyNumberFormat="1" applyFont="1" applyFill="1" applyBorder="1"/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21" xfId="0" applyNumberFormat="1" applyFont="1" applyFill="1" applyBorder="1"/>
    <x:xf numFmtId="0" fontId="11" fillId="7" borderId="22" xfId="0" applyNumberFormat="1" applyFont="1" applyFill="1" applyBorder="1"/>
    <x:xf numFmtId="0" fontId="11" fillId="7" borderId="23" xfId="0" applyNumberFormat="1" applyFont="1" applyFill="1" applyBorder="1"/>
    <x:xf numFmtId="0" fontId="11" fillId="7" borderId="24" xfId="0" applyNumberFormat="1" applyFont="1" applyFill="1" applyBorder="1"/>
    <x:xf numFmtId="0" fontId="11" fillId="7" borderId="25" xfId="0" applyNumberFormat="1" applyFont="1" applyFill="1" applyBorder="1"/>
    <x:xf numFmtId="0" fontId="11" fillId="7" borderId="26" xfId="0" applyNumberFormat="1" applyFont="1" applyFill="1" applyBorder="1"/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11" fillId="7" borderId="21" xfId="0" applyNumberFormat="1" applyFont="1" applyFill="1" applyBorder="1" applyAlignment="1">
      <x:alignment wrapText="1"/>
    </x:xf>
    <x:xf numFmtId="0" fontId="11" fillId="7" borderId="22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23" xfId="0" applyNumberFormat="1" applyFont="1" applyFill="1" applyBorder="1" applyAlignment="1">
      <x:alignment wrapText="1"/>
    </x:xf>
    <x:xf numFmtId="0" fontId="11" fillId="7" borderId="24" xfId="0" applyNumberFormat="1" applyFont="1" applyFill="1" applyBorder="1" applyAlignment="1">
      <x:alignment wrapText="1"/>
    </x:xf>
    <x:xf numFmtId="0" fontId="11" fillId="7" borderId="25" xfId="0" applyNumberFormat="1" applyFont="1" applyFill="1" applyBorder="1" applyAlignment="1">
      <x:alignment wrapText="1"/>
    </x:xf>
    <x:xf numFmtId="0" fontId="11" fillId="7" borderId="26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vertical="center" wrapText="1"/>
    </x:xf>
    <x:xf numFmtId="0" fontId="11" fillId="7" borderId="20" xfId="0" applyNumberFormat="1" applyFont="1" applyFill="1" applyBorder="1" applyAlignment="1">
      <x:alignment vertical="center" wrapText="1"/>
    </x:xf>
    <x:xf numFmtId="0" fontId="11" fillId="7" borderId="21" xfId="0" applyNumberFormat="1" applyFont="1" applyFill="1" applyBorder="1" applyAlignment="1">
      <x:alignment vertical="center" wrapText="1"/>
    </x:xf>
    <x:xf numFmtId="0" fontId="11" fillId="7" borderId="22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vertical="center" wrapText="1"/>
    </x:xf>
    <x:xf numFmtId="0" fontId="11" fillId="7" borderId="24" xfId="0" applyNumberFormat="1" applyFont="1" applyFill="1" applyBorder="1" applyAlignment="1">
      <x:alignment vertical="center" wrapText="1"/>
    </x:xf>
    <x:xf numFmtId="0" fontId="11" fillId="7" borderId="25" xfId="0" applyNumberFormat="1" applyFont="1" applyFill="1" applyBorder="1" applyAlignment="1">
      <x:alignment vertical="center" wrapText="1"/>
    </x:xf>
    <x:xf numFmtId="0" fontId="11" fillId="7" borderId="26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200" fontId="14" fillId="4" borderId="4" xfId="0" applyNumberFormat="1" applyFont="1" applyFill="1" applyBorder="1" applyAlignment="1">
      <x:alignment horizontal="center" vertical="center"/>
    </x:xf>
    <x:xf numFmtId="200" fontId="14" fillId="4" borderId="0" xfId="0" applyNumberFormat="1" applyFont="1" applyFill="1" applyBorder="1" applyAlignment="1">
      <x:alignment horizontal="center" vertical="center"/>
    </x:xf>
    <x:xf numFmtId="200" fontId="14" fillId="4" borderId="5" xfId="0" applyNumberFormat="1" applyFont="1" applyFill="1" applyBorder="1" applyAlignment="1">
      <x:alignment horizontal="center" vertical="center"/>
    </x:xf>
    <x:xf numFmtId="201" fontId="14" fillId="4" borderId="4" xfId="0" applyNumberFormat="1" applyFont="1" applyFill="1" applyBorder="1" applyAlignment="1">
      <x:alignment horizontal="center" vertical="center"/>
    </x:xf>
    <x:xf numFmtId="201" fontId="14" fillId="4" borderId="0" xfId="0" applyNumberFormat="1" applyFont="1" applyFill="1" applyBorder="1" applyAlignment="1">
      <x:alignment horizontal="center" vertical="center"/>
    </x:xf>
    <x:xf numFmtId="201" fontId="14" fillId="4" borderId="5" xfId="0" applyNumberFormat="1" applyFont="1" applyFill="1" applyBorder="1" applyAlignment="1">
      <x:alignment horizontal="center" vertical="center"/>
    </x:xf>
    <x:xf numFmtId="200" fontId="14" fillId="4" borderId="6" xfId="0" applyNumberFormat="1" applyFont="1" applyFill="1" applyBorder="1" applyAlignment="1">
      <x:alignment horizontal="center" vertical="center"/>
    </x:xf>
    <x:xf numFmtId="200" fontId="14" fillId="4" borderId="7" xfId="0" applyNumberFormat="1" applyFont="1" applyFill="1" applyBorder="1" applyAlignment="1">
      <x:alignment horizontal="center" vertical="center"/>
    </x:xf>
    <x:xf numFmtId="200" fontId="14" fillId="4" borderId="8" xfId="0" applyNumberFormat="1" applyFont="1" applyFill="1" applyBorder="1" applyAlignment="1">
      <x:alignment horizontal="center" vertical="center"/>
    </x:xf>
    <x:xf numFmtId="201" fontId="14" fillId="4" borderId="6" xfId="0" applyNumberFormat="1" applyFont="1" applyFill="1" applyBorder="1" applyAlignment="1">
      <x:alignment horizontal="center" vertical="center"/>
    </x:xf>
    <x:xf numFmtId="201" fontId="14" fillId="4" borderId="7" xfId="0" applyNumberFormat="1" applyFont="1" applyFill="1" applyBorder="1" applyAlignment="1">
      <x:alignment horizontal="center" vertical="center"/>
    </x:xf>
    <x:xf numFmtId="201" fontId="14" fillId="4" borderId="8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horizontal="center" vertical="center"/>
    </x:xf>
    <x:xf numFmtId="202" fontId="7" fillId="0" borderId="0" xfId="0" applyNumberFormat="1" applyFont="1" applyFill="1" applyBorder="1" applyAlignment="1">
      <x:alignment vertical="center"/>
    </x:xf>
    <x:xf numFmtId="0" fontId="6" fillId="2" borderId="27" xfId="0" applyNumberFormat="1" applyFont="1" applyFill="1" applyBorder="1" applyAlignment="1">
      <x:alignment vertical="center" wrapText="1"/>
    </x:xf>
    <x:xf numFmtId="0" fontId="6" fillId="2" borderId="28" xfId="0" applyNumberFormat="1" applyFont="1" applyFill="1" applyBorder="1" applyAlignment="1">
      <x:alignment vertical="center" wrapText="1"/>
    </x:xf>
    <x:xf numFmtId="0" fontId="6" fillId="2" borderId="29" xfId="0" applyNumberFormat="1" applyFont="1" applyFill="1" applyBorder="1" applyAlignment="1">
      <x:alignment vertical="center" wrapText="1"/>
    </x:xf>
    <x:xf numFmtId="0" fontId="15" fillId="6" borderId="30" xfId="0" applyNumberFormat="1" applyFont="1" applyFill="1" applyBorder="1" applyAlignment="1">
      <x:alignment horizontal="center" vertical="center"/>
    </x:xf>
    <x:xf numFmtId="0" fontId="7" fillId="0" borderId="14" xfId="0" applyNumberFormat="1" applyFont="1" applyFill="1" applyBorder="1" applyAlignment="1">
      <x:alignment vertical="center"/>
    </x:xf>
    <x:xf numFmtId="202" fontId="7" fillId="0" borderId="14" xfId="0" applyNumberFormat="1" applyFont="1" applyFill="1" applyBorder="1" applyAlignment="1">
      <x:alignment vertical="center"/>
    </x:xf>
    <x:xf numFmtId="202" fontId="7" fillId="0" borderId="15" xfId="0" applyNumberFormat="1" applyFont="1" applyFill="1" applyBorder="1" applyAlignment="1">
      <x:alignment vertical="center"/>
    </x:xf>
    <x:xf numFmtId="0" fontId="15" fillId="6" borderId="31" xfId="0" applyNumberFormat="1" applyFont="1" applyFill="1" applyBorder="1" applyAlignment="1">
      <x:alignment horizontal="center" vertical="center"/>
    </x:xf>
    <x:xf numFmtId="0" fontId="7" fillId="0" borderId="32" xfId="0" applyNumberFormat="1" applyFont="1" applyFill="1" applyBorder="1" applyAlignment="1">
      <x:alignment vertical="center"/>
    </x:xf>
    <x:xf numFmtId="202" fontId="7" fillId="0" borderId="32" xfId="0" applyNumberFormat="1" applyFont="1" applyFill="1" applyBorder="1" applyAlignment="1">
      <x:alignment vertical="center"/>
    </x:xf>
    <x:xf numFmtId="202" fontId="7" fillId="0" borderId="17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/>
    <x:xf numFmtId="0" fontId="16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10" fillId="0" borderId="0" xfId="0" applyNumberFormat="1" applyFont="1" applyFill="1" applyBorder="1"/>
    <x:xf numFmtId="201" fontId="0" fillId="0" borderId="0" xfId="0" applyNumberFormat="1" applyFont="1" applyFill="1" applyBorder="1"/>
    <x:xf numFmtId="201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9f4c85a2746c3" /><Relationship Type="http://schemas.openxmlformats.org/officeDocument/2006/relationships/theme" Target="/xl/theme/theme1.xml" Id="Rb4f204d39ec24201" /><Relationship Type="http://schemas.openxmlformats.org/officeDocument/2006/relationships/sharedStrings" Target="/xl/sharedStrings.xml" Id="R28a44ca78f6547df" /><Relationship Type="http://schemas.openxmlformats.org/officeDocument/2006/relationships/worksheet" Target="/xl/worksheets/sheet1.xml" Id="R4aed6cf4da8b4efb" /><Relationship Type="http://schemas.openxmlformats.org/officeDocument/2006/relationships/worksheet" Target="/xl/worksheets/sheet2.xml" Id="R3486905f36fb4428" /><Relationship Type="http://schemas.openxmlformats.org/officeDocument/2006/relationships/worksheet" Target="/xl/worksheets/sheet3.xml" Id="R8d3312f2eaa44be7" /><Relationship Type="http://schemas.openxmlformats.org/officeDocument/2006/relationships/worksheet" Target="/xl/worksheets/sheet4.xml" Id="Rd690d9cbb0aa47fb" /><Relationship Type="http://schemas.microsoft.com/office/2017/10/relationships/person" Target="/xl/persons/person.xml" Id="Rfcadd7f64f5c4d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a9023f835343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Jameson Williams: week-to-week scoring swings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Jameson Williams</c:v>
          </c:tx>
          <c:marker>
            <c:symbol val="none"/>
          </c:marker>
          <c:cat>
            <c:strRef>
              <c:f>'Overview'!$A$31:$A$48</c:f>
              <c:strCache>
                <c:ptCount val="0"/>
              </c:strCache>
            </c:strRef>
          </c:cat>
          <c:val>
            <c:numRef>
              <c:f>'Overview'!$B$31:$B$48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Season average</c:v>
          </c:tx>
          <c:marker>
            <c:symbol val="none"/>
          </c:marker>
          <c:cat>
            <c:strRef>
              <c:f>'Overview'!$A$31:$A$48</c:f>
              <c:strCache>
                <c:ptCount val="0"/>
              </c:strCache>
            </c:strRef>
          </c:cat>
          <c:val>
            <c:numRef>
              <c:f>'Overview'!$C$31:$C$48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a9023f835343a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FD9A6A7-291C-4792-9EA9-BDB96E7DCD22}"/>
</xltc:personList>
</file>

<file path=xl/tables/table1.xml><?xml version="1.0" encoding="utf-8"?>
<x:table xmlns:x="http://schemas.openxmlformats.org/spreadsheetml/2006/main" id="1" name="TopLineupsTable" displayName="TopLineupsTable" ref="A3:N9" headerRowCount="1" totalsRowCount="0" totalsRowShown="0">
  <x:tableColumns count="14">
    <x:tableColumn id="1" name="Rank"/>
    <x:tableColumn id="2" name="QB"/>
    <x:tableColumn id="3" name="RB1"/>
    <x:tableColumn id="4" name="RB2"/>
    <x:tableColumn id="5" name="WR1"/>
    <x:tableColumn id="6" name="WR2"/>
    <x:tableColumn id="7" name="TE"/>
    <x:tableColumn id="8" name="FLEX"/>
    <x:tableColumn id="9" name="Flex Pos"/>
    <x:tableColumn id="10" name="K"/>
    <x:tableColumn id="11" name="D/ST"/>
    <x:tableColumn id="12" name="Lineup Value"/>
    <x:tableColumn id="13" name="Weekly Floor"/>
    <x:tableColumn id="14" name="Median Su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layerRankingsTable" displayName="PlayerRankingsTable" ref="A3:W356" headerRowCount="1" totalsRowCount="0" totalsRowShown="0">
  <x:tableColumns count="23">
    <x:tableColumn id="1" name="Position"/>
    <x:tableColumn id="2" name="Consistency Rank"/>
    <x:tableColumn id="3" name="ESPN FPts Rank"/>
    <x:tableColumn id="4" name="Player"/>
    <x:tableColumn id="5" name="Team (2025)"/>
    <x:tableColumn id="6" name="ESPN Team (Current)"/>
    <x:tableColumn id="7" name="Total FPTS"/>
    <x:tableColumn id="8" name="Average"/>
    <x:tableColumn id="9" name="Median"/>
    <x:tableColumn id="10" name="Weekly Floor (P25)"/>
    <x:tableColumn id="11" name="StDev"/>
    <x:tableColumn id="12" name="CV"/>
    <x:tableColumn id="13" name="Bust Rate"/>
    <x:tableColumn id="14" name="Lineup Value"/>
    <x:tableColumn id="15" name="Weeks &gt;0"/>
    <x:tableColumn id="16" name="Bye"/>
    <x:tableColumn id="17" name="CAR"/>
    <x:tableColumn id="18" name="TAR"/>
    <x:tableColumn id="19" name="Rush TD"/>
    <x:tableColumn id="20" name="Rec TD"/>
    <x:tableColumn id="21" name="Misc TD"/>
    <x:tableColumn id="22" name="Total TD"/>
    <x:tableColumn id="23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WeeklyPointsTable" displayName="WeeklyPointsTable" ref="A3:AC356" headerRowCount="1" totalsRowCount="0" totalsRowShown="0">
  <x:tableColumns count="29">
    <x:tableColumn id="1" name="Position"/>
    <x:tableColumn id="2" name="Player"/>
    <x:tableColumn id="3" name="Team (2025)"/>
    <x:tableColumn id="4" name="Bye"/>
    <x:tableColumn id="5" name="W1"/>
    <x:tableColumn id="6" name="W2"/>
    <x:tableColumn id="7" name="W3"/>
    <x:tableColumn id="8" name="W4"/>
    <x:tableColumn id="9" name="W5"/>
    <x:tableColumn id="10" name="W6"/>
    <x:tableColumn id="11" name="W7"/>
    <x:tableColumn id="12" name="W8"/>
    <x:tableColumn id="13" name="W9"/>
    <x:tableColumn id="14" name="W10"/>
    <x:tableColumn id="15" name="W11"/>
    <x:tableColumn id="16" name="W12"/>
    <x:tableColumn id="17" name="W13"/>
    <x:tableColumn id="18" name="W14"/>
    <x:tableColumn id="19" name="W15"/>
    <x:tableColumn id="20" name="W16"/>
    <x:tableColumn id="21" name="W17"/>
    <x:tableColumn id="22" name="W18"/>
    <x:tableColumn id="23" name="Average"/>
    <x:tableColumn id="24" name="Median"/>
    <x:tableColumn id="25" name="P25 Floor"/>
    <x:tableColumn id="26" name="StDev"/>
    <x:tableColumn id="27" name="CV"/>
    <x:tableColumn id="28" name="Bust Rate"/>
    <x:tableColumn id="29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3" dT="2026-08-08T22:01:37.867" personId="{CFD9A6A7-291C-4792-9EA9-BDB96E7DCD22}" id="{5BFD6F80-0570-244F-184B-C63466B0ECB5}">
    <xltc:text>Weekly Floor is the inclusive 25th percentile of non-bye weekly ESPN points. Higher is better and drives the consistency rank.</xltc:text>
  </xltc:threadedComment>
  <xltc:threadedComment ref="N3" dT="2026-08-08T22:01:37.874" personId="{CFD9A6A7-291C-4792-9EA9-BDB96E7DCD22}" id="{B3A2F2C3-8C00-298A-337E-F17B2DE683A8}">
    <xltc:text>Lineup Value = 50% Weekly Floor + 30% Median + 20% Average. It is used to build the top six retrospective lineups.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3" dT="2026-08-08T22:01:37.875" personId="{CFD9A6A7-291C-4792-9EA9-BDB96E7DCD22}" id="{48432E3F-7BF4-B465-1870-4C239A19AB13}">
    <xltc:text>The primary 2025 team bye is blank and excluded from formulas. Other missing/inactive weeks are intentionally zero.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6ee38c125447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f4d5344371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488899be71f8412a" /><Relationship Type="http://schemas.openxmlformats.org/officeDocument/2006/relationships/vmlDrawing" Target="/xl/drawings/vmldrawing.vml" Id="R617bfd546b934be5" /><Relationship Type="http://schemas.microsoft.com/office/2017/10/relationships/threadedComment" Target="/xl/threadedcomments/threadedcomment.xml" Id="R4409406afc024ee8" /><Relationship Type="http://schemas.openxmlformats.org/officeDocument/2006/relationships/table" Target="/xl/tables/table2.xml" Id="Rd0eebab591d844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6bdc333421454883" /><Relationship Type="http://schemas.openxmlformats.org/officeDocument/2006/relationships/vmlDrawing" Target="/xl/drawings/vmldrawing2.vml" Id="R518b000d2e0a4d6e" /><Relationship Type="http://schemas.microsoft.com/office/2017/10/relationships/threadedComment" Target="/xl/threadedcomments/threadedcomment2.xml" Id="R6e0c6d90e23542af" /><Relationship Type="http://schemas.openxmlformats.org/officeDocument/2006/relationships/table" Target="/xl/tables/table3.xml" Id="R74ea3e350e0340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2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140" t="str">
        <x:v>2025 ESPN Fantasy Football Consistency Analysis</x:v>
      </x:c>
      <x:c r="B1" s="140" t="str">
        <x:v>2025 ESPN Fantasy Football Consistency Analysis</x:v>
      </x:c>
      <x:c r="C1" s="140" t="str">
        <x:v>2025 ESPN Fantasy Football Consistency Analysis</x:v>
      </x:c>
      <x:c r="D1" s="140" t="str">
        <x:v>2025 ESPN Fantasy Football Consistency Analysis</x:v>
      </x:c>
      <x:c r="E1" s="140" t="str">
        <x:v>2025 ESPN Fantasy Football Consistency Analysis</x:v>
      </x:c>
      <x:c r="F1" s="140" t="str">
        <x:v>2025 ESPN Fantasy Football Consistency Analysis</x:v>
      </x:c>
      <x:c r="G1" s="140" t="str">
        <x:v>2025 ESPN Fantasy Football Consistency Analysis</x:v>
      </x:c>
      <x:c r="H1" s="140" t="str">
        <x:v>2025 ESPN Fantasy Football Consistency Analysis</x:v>
      </x:c>
      <x:c r="I1" s="140" t="str">
        <x:v>2025 ESPN Fantasy Football Consistency Analysis</x:v>
      </x:c>
      <x:c r="J1" s="140" t="str">
        <x:v>2025 ESPN Fantasy Football Consistency Analysis</x:v>
      </x:c>
      <x:c r="K1" s="140" t="str">
        <x:v>2025 ESPN Fantasy Football Consistency Analysis</x:v>
      </x:c>
      <x:c r="L1" s="140" t="str">
        <x:v>2025 ESPN Fantasy Football Consistency Analysis</x:v>
      </x:c>
      <x:c r="M1" s="140" t="str">
        <x:v>2025 ESPN Fantasy Football Consistency Analysis</x:v>
      </x:c>
      <x:c r="N1" s="140" t="str">
        <x:v>2025 ESPN Fantasy Football Consistency Analysis</x:v>
      </x:c>
    </x:row>
    <x:row r="2" ht="30" customHeight="1">
      <x:c r="A2" s="7" t="str">
        <x:v>League 555583 • custom ESPN Points PPR • requested player ranges • weekly floor emphasizes dependable production</x:v>
      </x:c>
      <x:c r="B2" s="7" t="str">
        <x:v>League 555583 • custom ESPN Points PPR • requested player ranges • weekly floor emphasizes dependable production</x:v>
      </x:c>
      <x:c r="C2" s="7" t="str">
        <x:v>League 555583 • custom ESPN Points PPR • requested player ranges • weekly floor emphasizes dependable production</x:v>
      </x:c>
      <x:c r="D2" s="7" t="str">
        <x:v>League 555583 • custom ESPN Points PPR • requested player ranges • weekly floor emphasizes dependable production</x:v>
      </x:c>
      <x:c r="E2" s="7" t="str">
        <x:v>League 555583 • custom ESPN Points PPR • requested player ranges • weekly floor emphasizes dependable production</x:v>
      </x:c>
      <x:c r="F2" s="7" t="str">
        <x:v>League 555583 • custom ESPN Points PPR • requested player ranges • weekly floor emphasizes dependable production</x:v>
      </x:c>
      <x:c r="G2" s="7" t="str">
        <x:v>League 555583 • custom ESPN Points PPR • requested player ranges • weekly floor emphasizes dependable production</x:v>
      </x:c>
      <x:c r="H2" s="7" t="str">
        <x:v>League 555583 • custom ESPN Points PPR • requested player ranges • weekly floor emphasizes dependable production</x:v>
      </x:c>
      <x:c r="I2" s="7" t="str">
        <x:v>League 555583 • custom ESPN Points PPR • requested player ranges • weekly floor emphasizes dependable production</x:v>
      </x:c>
      <x:c r="J2" s="7" t="str">
        <x:v>League 555583 • custom ESPN Points PPR • requested player ranges • weekly floor emphasizes dependable production</x:v>
      </x:c>
      <x:c r="K2" s="7" t="str">
        <x:v>League 555583 • custom ESPN Points PPR • requested player ranges • weekly floor emphasizes dependable production</x:v>
      </x:c>
      <x:c r="L2" s="7" t="str">
        <x:v>League 555583 • custom ESPN Points PPR • requested player ranges • weekly floor emphasizes dependable production</x:v>
      </x:c>
      <x:c r="M2" s="7" t="str">
        <x:v>League 555583 • custom ESPN Points PPR • requested player ranges • weekly floor emphasizes dependable production</x:v>
      </x:c>
      <x:c r="N2" s="7" t="str">
        <x:v>League 555583 • custom ESPN Points PPR • requested player ranges • weekly floor emphasizes dependable production</x:v>
      </x:c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  <x:c r="M3" s="141"/>
      <x:c r="N3" s="141"/>
    </x:row>
    <x:row r="4">
      <x:c r="A4" s="20" t="str">
        <x:v>Players analyzed</x:v>
      </x:c>
      <x:c r="B4" s="21" t="str">
        <x:v>Players analyzed</x:v>
      </x:c>
      <x:c r="C4" s="21" t="str">
        <x:v>Players analyzed</x:v>
      </x:c>
      <x:c r="D4" s="22" t="str">
        <x:v>Players analyzed</x:v>
      </x:c>
      <x:c r="E4" s="141"/>
      <x:c r="F4" s="20" t="str">
        <x:v>Optimized lineups</x:v>
      </x:c>
      <x:c r="G4" s="21" t="str">
        <x:v>Optimized lineups</x:v>
      </x:c>
      <x:c r="H4" s="21" t="str">
        <x:v>Optimized lineups</x:v>
      </x:c>
      <x:c r="I4" s="22" t="str">
        <x:v>Optimized lineups</x:v>
      </x:c>
      <x:c r="J4" s="141"/>
      <x:c r="K4" s="20" t="str">
        <x:v>Season</x:v>
      </x:c>
      <x:c r="L4" s="21" t="str">
        <x:v>Season</x:v>
      </x:c>
      <x:c r="M4" s="21" t="str">
        <x:v>Season</x:v>
      </x:c>
      <x:c r="N4" s="22" t="str">
        <x:v>Season</x:v>
      </x:c>
    </x:row>
    <x:row r="5">
      <x:c r="A5" s="142" t="n">
        <x:v>353</x:v>
      </x:c>
      <x:c r="B5" s="143" t="n">
        <x:v>353</x:v>
      </x:c>
      <x:c r="C5" s="143" t="n">
        <x:v>353</x:v>
      </x:c>
      <x:c r="D5" s="144" t="n">
        <x:v>353</x:v>
      </x:c>
      <x:c r="E5" s="141"/>
      <x:c r="F5" s="142" t="n">
        <x:v>6</x:v>
      </x:c>
      <x:c r="G5" s="143" t="n">
        <x:v>6</x:v>
      </x:c>
      <x:c r="H5" s="143" t="n">
        <x:v>6</x:v>
      </x:c>
      <x:c r="I5" s="144" t="n">
        <x:v>6</x:v>
      </x:c>
      <x:c r="J5" s="141"/>
      <x:c r="K5" s="145" t="n">
        <x:v>2025</x:v>
      </x:c>
      <x:c r="L5" s="146" t="n">
        <x:v>2025</x:v>
      </x:c>
      <x:c r="M5" s="146" t="n">
        <x:v>2025</x:v>
      </x:c>
      <x:c r="N5" s="147" t="n">
        <x:v>2025</x:v>
      </x:c>
    </x:row>
    <x:row r="6">
      <x:c r="A6" s="142" t="n">
        <x:v>353</x:v>
      </x:c>
      <x:c r="B6" s="143" t="n">
        <x:v>353</x:v>
      </x:c>
      <x:c r="C6" s="143" t="n">
        <x:v>353</x:v>
      </x:c>
      <x:c r="D6" s="144" t="n">
        <x:v>353</x:v>
      </x:c>
      <x:c r="E6" s="141"/>
      <x:c r="F6" s="142" t="n">
        <x:v>6</x:v>
      </x:c>
      <x:c r="G6" s="143" t="n">
        <x:v>6</x:v>
      </x:c>
      <x:c r="H6" s="143" t="n">
        <x:v>6</x:v>
      </x:c>
      <x:c r="I6" s="144" t="n">
        <x:v>6</x:v>
      </x:c>
      <x:c r="J6" s="141"/>
      <x:c r="K6" s="145" t="n">
        <x:v>2025</x:v>
      </x:c>
      <x:c r="L6" s="146" t="n">
        <x:v>2025</x:v>
      </x:c>
      <x:c r="M6" s="146" t="n">
        <x:v>2025</x:v>
      </x:c>
      <x:c r="N6" s="147" t="n">
        <x:v>2025</x:v>
      </x:c>
    </x:row>
    <x:row r="7">
      <x:c r="A7" s="148" t="n">
        <x:v>353</x:v>
      </x:c>
      <x:c r="B7" s="149" t="n">
        <x:v>353</x:v>
      </x:c>
      <x:c r="C7" s="149" t="n">
        <x:v>353</x:v>
      </x:c>
      <x:c r="D7" s="150" t="n">
        <x:v>353</x:v>
      </x:c>
      <x:c r="E7" s="141"/>
      <x:c r="F7" s="148" t="n">
        <x:v>6</x:v>
      </x:c>
      <x:c r="G7" s="149" t="n">
        <x:v>6</x:v>
      </x:c>
      <x:c r="H7" s="149" t="n">
        <x:v>6</x:v>
      </x:c>
      <x:c r="I7" s="150" t="n">
        <x:v>6</x:v>
      </x:c>
      <x:c r="J7" s="141"/>
      <x:c r="K7" s="151" t="n">
        <x:v>2025</x:v>
      </x:c>
      <x:c r="L7" s="152" t="n">
        <x:v>2025</x:v>
      </x:c>
      <x:c r="M7" s="152" t="n">
        <x:v>2025</x:v>
      </x:c>
      <x:c r="N7" s="153" t="n">
        <x:v>2025</x:v>
      </x:c>
    </x:row>
    <x:row r="8">
      <x:c r="A8" s="141"/>
      <x:c r="B8" s="141"/>
      <x:c r="C8" s="141"/>
      <x:c r="D8" s="141"/>
      <x:c r="E8" s="141"/>
      <x:c r="F8" s="141"/>
      <x:c r="G8" s="141"/>
      <x:c r="H8" s="141"/>
      <x:c r="I8" s="141"/>
      <x:c r="J8" s="141"/>
      <x:c r="K8" s="141"/>
      <x:c r="L8" s="141"/>
      <x:c r="M8" s="141"/>
      <x:c r="N8" s="141"/>
    </x:row>
    <x:row r="9" ht="22" customHeight="1">
      <x:c r="A9" s="67" t="str">
        <x:v>Scope and exact boundaries</x:v>
      </x:c>
      <x:c r="B9" s="67" t="str">
        <x:v>Scope and exact boundaries</x:v>
      </x:c>
      <x:c r="C9" s="67" t="str">
        <x:v>Scope and exact boundaries</x:v>
      </x:c>
      <x:c r="D9" s="67" t="str">
        <x:v>Scope and exact boundaries</x:v>
      </x:c>
      <x:c r="E9" s="141"/>
      <x:c r="F9" s="67" t="str">
        <x:v>Methodology</x:v>
      </x:c>
      <x:c r="G9" s="67" t="str">
        <x:v>Methodology</x:v>
      </x:c>
      <x:c r="H9" s="67" t="str">
        <x:v>Methodology</x:v>
      </x:c>
      <x:c r="I9" s="67" t="str">
        <x:v>Methodology</x:v>
      </x:c>
      <x:c r="J9" s="67" t="str">
        <x:v>Methodology</x:v>
      </x:c>
      <x:c r="K9" s="67" t="str">
        <x:v>Methodology</x:v>
      </x:c>
      <x:c r="L9" s="67" t="str">
        <x:v>Methodology</x:v>
      </x:c>
      <x:c r="M9" s="67" t="str">
        <x:v>Methodology</x:v>
      </x:c>
      <x:c r="N9" s="67" t="str">
        <x:v>Methodology</x:v>
      </x:c>
    </x:row>
    <x:row r="10" ht="31" customHeight="1">
      <x:c r="A10" s="75" t="str">
        <x:v>Position</x:v>
      </x:c>
      <x:c r="B10" s="76" t="str">
        <x:v>Included range</x:v>
      </x:c>
      <x:c r="C10" s="76" t="str">
        <x:v>Count</x:v>
      </x:c>
      <x:c r="D10" s="77" t="str">
        <x:v>Source</x:v>
      </x:c>
      <x:c r="E10" s="141"/>
      <x:c r="F10" s="86" t="str">
        <x:v>Weekly window</x:v>
      </x:c>
      <x:c r="G10" s="87" t="str">
        <x:v>Weeks 1-18; each player's primary 2025 team bye is excluded, and other missing/inactive weeks count as 0.</x:v>
      </x:c>
      <x:c r="H10" s="87"/>
      <x:c r="I10" s="87"/>
      <x:c r="J10" s="87"/>
      <x:c r="K10" s="87"/>
      <x:c r="L10" s="87"/>
      <x:c r="M10" s="87"/>
      <x:c r="N10" s="88"/>
    </x:row>
    <x:row r="11" ht="31" customHeight="1">
      <x:c r="A11" s="79" t="str">
        <x:v>QB</x:v>
      </x:c>
      <x:c r="B11" s="79" t="str">
        <x:v>Matthew Stafford through Jayden Daniels</x:v>
      </x:c>
      <x:c r="C11" s="80" t="n">
        <x:v>34</x:v>
      </x:c>
      <x:c r="D11" s="81" t="str">
        <x:v>https://fantasy.espn.com/football/leaders?leagueId=555583&amp;lineupSlot=0&amp;scoringPeriodId=0&amp;statSplit=lastSeason</x:v>
      </x:c>
      <x:c r="E11" s="141"/>
      <x:c r="F11" s="89" t="str">
        <x:v>Consistency rank</x:v>
      </x:c>
      <x:c r="G11" s="90" t="str">
        <x:v>Ranked within position by Weekly Floor (P25). Tied floors share a rank; lower coefficient of variation and higher median determine display order.</x:v>
      </x:c>
      <x:c r="H11" s="90"/>
      <x:c r="I11" s="90"/>
      <x:c r="J11" s="90"/>
      <x:c r="K11" s="90"/>
      <x:c r="L11" s="90"/>
      <x:c r="M11" s="90"/>
      <x:c r="N11" s="91"/>
    </x:row>
    <x:row r="12" ht="31" customHeight="1">
      <x:c r="A12" s="79" t="str">
        <x:v>RB</x:v>
      </x:c>
      <x:c r="B12" s="79" t="str">
        <x:v>Christian McCaffrey through Isiah Pacheco</x:v>
      </x:c>
      <x:c r="C12" s="80" t="n">
        <x:v>58</x:v>
      </x:c>
      <x:c r="D12" s="81" t="str">
        <x:v>https://fantasy.espn.com/football/leaders?leagueId=555583&amp;lineupSlot=2&amp;scoringPeriodId=0&amp;statSplit=lastSeason</x:v>
      </x:c>
      <x:c r="E12" s="141"/>
      <x:c r="F12" s="89" t="str">
        <x:v>Weekly floor</x:v>
      </x:c>
      <x:c r="G12" s="90" t="str">
        <x:v>25th percentile of non-bye weekly ESPN fantasy points; a higher value indicates a stronger dependable floor.</x:v>
      </x:c>
      <x:c r="H12" s="90"/>
      <x:c r="I12" s="90"/>
      <x:c r="J12" s="90"/>
      <x:c r="K12" s="90"/>
      <x:c r="L12" s="90"/>
      <x:c r="M12" s="90"/>
      <x:c r="N12" s="91"/>
    </x:row>
    <x:row r="13" ht="31" customHeight="1">
      <x:c r="A13" s="79" t="str">
        <x:v>WR</x:v>
      </x:c>
      <x:c r="B13" s="79" t="str">
        <x:v>Puka Nacua through Jayden Reed</x:v>
      </x:c>
      <x:c r="C13" s="80" t="n">
        <x:v>125</x:v>
      </x:c>
      <x:c r="D13" s="81" t="str">
        <x:v>https://fantasy.espn.com/football/leaders?leagueId=555583&amp;lineupSlot=4&amp;scoringPeriodId=0&amp;statSplit=lastSeason</x:v>
      </x:c>
      <x:c r="E13" s="141"/>
      <x:c r="F13" s="89" t="str">
        <x:v>Lineup Value</x:v>
      </x:c>
      <x:c r="G13" s="90" t="str">
        <x:v>50% Weekly Floor (P25) + 30% Median + 20% Average. This limits the influence of a few spike weeks while still favoring useful scorers.</x:v>
      </x:c>
      <x:c r="H13" s="90"/>
      <x:c r="I13" s="90"/>
      <x:c r="J13" s="90"/>
      <x:c r="K13" s="90"/>
      <x:c r="L13" s="90"/>
      <x:c r="M13" s="90"/>
      <x:c r="N13" s="91"/>
    </x:row>
    <x:row r="14" ht="31" customHeight="1">
      <x:c r="A14" s="79" t="str">
        <x:v>TE</x:v>
      </x:c>
      <x:c r="B14" s="79" t="str">
        <x:v>Trey McBride through Michael Mayer</x:v>
      </x:c>
      <x:c r="C14" s="80" t="n">
        <x:v>41</x:v>
      </x:c>
      <x:c r="D14" s="81" t="str">
        <x:v>https://fantasy.espn.com/football/leaders?leagueId=555583&amp;lineupSlot=6&amp;scoringPeriodId=0&amp;statSplit=lastSeason</x:v>
      </x:c>
      <x:c r="E14" s="141"/>
      <x:c r="F14" s="89" t="str">
        <x:v>Top 6 lineups</x:v>
      </x:c>
      <x:c r="G14" s="90" t="str">
        <x:v>Six highest unique roster combinations by summed Lineup Value, using the exact requested roster constraints.</x:v>
      </x:c>
      <x:c r="H14" s="90"/>
      <x:c r="I14" s="90"/>
      <x:c r="J14" s="90"/>
      <x:c r="K14" s="90"/>
      <x:c r="L14" s="90"/>
      <x:c r="M14" s="90"/>
      <x:c r="N14" s="91"/>
    </x:row>
    <x:row r="15" ht="31" customHeight="1">
      <x:c r="A15" s="79" t="str">
        <x:v>D/ST</x:v>
      </x:c>
      <x:c r="B15" s="79" t="str">
        <x:v>All ESPN-listed defenses</x:v>
      </x:c>
      <x:c r="C15" s="80" t="n">
        <x:v>32</x:v>
      </x:c>
      <x:c r="D15" s="81" t="str">
        <x:v>https://fantasy.espn.com/football/leaders?leagueId=555583&amp;lineupSlot=16&amp;scoringPeriodId=0&amp;statSplit=lastSeason</x:v>
      </x:c>
      <x:c r="E15" s="141"/>
      <x:c r="F15" s="89" t="str">
        <x:v>Bust rate</x:v>
      </x:c>
      <x:c r="G15" s="90" t="str">
        <x:v>Share of non-bye weeks below 50% of that player's own weekly average.</x:v>
      </x:c>
      <x:c r="H15" s="90"/>
      <x:c r="I15" s="90"/>
      <x:c r="J15" s="90"/>
      <x:c r="K15" s="90"/>
      <x:c r="L15" s="90"/>
      <x:c r="M15" s="90"/>
      <x:c r="N15" s="91"/>
    </x:row>
    <x:row r="16" ht="31" customHeight="1">
      <x:c r="A16" s="79" t="str">
        <x:v>K</x:v>
      </x:c>
      <x:c r="B16" s="79" t="str">
        <x:v>All ESPN-listed kickers</x:v>
      </x:c>
      <x:c r="C16" s="80" t="n">
        <x:v>63</x:v>
      </x:c>
      <x:c r="D16" s="81" t="str">
        <x:v>https://fantasy.espn.com/football/leaders?leagueId=555583&amp;lineupSlot=17&amp;scoringPeriodId=0&amp;statSplit=lastSeason</x:v>
      </x:c>
      <x:c r="E16" s="141"/>
      <x:c r="F16" s="92" t="str">
        <x:v>Important</x:v>
      </x:c>
      <x:c r="G16" s="93" t="str">
        <x:v>The lineup optimizer has no salary, ADP, ownership, or availability constraint; it ranks retrospective 2025 performance only.</x:v>
      </x:c>
      <x:c r="H16" s="93"/>
      <x:c r="I16" s="93"/>
      <x:c r="J16" s="93"/>
      <x:c r="K16" s="93"/>
      <x:c r="L16" s="93"/>
      <x:c r="M16" s="93"/>
      <x:c r="N16" s="94"/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  <x:c r="J17" s="141"/>
      <x:c r="K17" s="141"/>
      <x:c r="L17" s="141"/>
      <x:c r="M17" s="141"/>
      <x:c r="N17" s="141"/>
    </x:row>
    <x:row r="18" ht="22" customHeight="1">
      <x:c r="A18" s="67" t="str">
        <x:v>Jameson Williams consistency check</x:v>
      </x:c>
      <x:c r="B18" s="67" t="str">
        <x:v>Jameson Williams consistency check</x:v>
      </x:c>
      <x:c r="C18" s="67" t="str">
        <x:v>Jameson Williams consistency check</x:v>
      </x:c>
      <x:c r="D18" s="67" t="str">
        <x:v>Jameson Williams consistency check</x:v>
      </x:c>
      <x:c r="E18" s="141"/>
      <x:c r="F18" s="141"/>
      <x:c r="G18" s="141"/>
      <x:c r="H18" s="141"/>
      <x:c r="I18" s="141"/>
      <x:c r="J18" s="141"/>
      <x:c r="K18" s="141"/>
      <x:c r="L18" s="141"/>
      <x:c r="M18" s="141"/>
      <x:c r="N18" s="141"/>
    </x:row>
    <x:row r="19" ht="30" customHeight="1">
      <x:c r="A19" s="99" t="str">
        <x:v>Metric</x:v>
      </x:c>
      <x:c r="B19" s="100" t="str">
        <x:v>Value</x:v>
      </x:c>
      <x:c r="C19" s="141"/>
      <x:c r="D19" s="141"/>
      <x:c r="E19" s="141"/>
      <x:c r="F19" s="141"/>
      <x:c r="G19" s="141"/>
      <x:c r="H19" s="141"/>
      <x:c r="I19" s="141"/>
      <x:c r="J19" s="141"/>
      <x:c r="K19" s="141"/>
      <x:c r="L19" s="141"/>
      <x:c r="M19" s="141"/>
      <x:c r="N19" s="141"/>
    </x:row>
    <x:row r="20">
      <x:c r="A20" s="101" t="str">
        <x:v>Player</x:v>
      </x:c>
      <x:c r="B20" s="102" t="str">
        <x:v>Jameson Williams</x:v>
      </x:c>
      <x:c r="C20" s="141"/>
      <x:c r="D20" s="141"/>
      <x:c r="E20" s="141"/>
      <x:c r="F20" s="141"/>
      <x:c r="G20" s="141"/>
      <x:c r="H20" s="141"/>
      <x:c r="I20" s="141"/>
      <x:c r="J20" s="141"/>
      <x:c r="K20" s="141"/>
      <x:c r="L20" s="141"/>
      <x:c r="M20" s="141"/>
      <x:c r="N20" s="141"/>
    </x:row>
    <x:row r="21">
      <x:c r="A21" s="101" t="str">
        <x:v>ESPN WR points rank</x:v>
      </x:c>
      <x:c r="B21" s="103" t="n">
        <x:f>SUMIF('Player Rankings'!$D$4:$D$356,$B$20,'Player Rankings'!$C$4:$C$356)</x:f>
        <x:v>10</x:v>
      </x:c>
      <x:c r="C21" s="141"/>
      <x:c r="D21" s="141"/>
      <x:c r="E21" s="141"/>
      <x:c r="F21" s="141"/>
      <x:c r="G21" s="141"/>
      <x:c r="H21" s="141"/>
      <x:c r="I21" s="141"/>
      <x:c r="J21" s="141"/>
      <x:c r="K21" s="141"/>
      <x:c r="L21" s="141"/>
      <x:c r="M21" s="141"/>
      <x:c r="N21" s="141"/>
    </x:row>
    <x:row r="22">
      <x:c r="A22" s="101" t="str">
        <x:v>Consistency rank</x:v>
      </x:c>
      <x:c r="B22" s="103" t="n">
        <x:f>SUMIF('Player Rankings'!$D$4:$D$356,$B$20,'Player Rankings'!$B$4:$B$356)</x:f>
        <x:v>28</x:v>
      </x:c>
      <x:c r="C22" s="141"/>
      <x:c r="D22" s="141"/>
      <x:c r="E22" s="141"/>
      <x:c r="F22" s="141"/>
      <x:c r="G22" s="141"/>
      <x:c r="H22" s="141"/>
      <x:c r="I22" s="141"/>
      <x:c r="J22" s="141"/>
      <x:c r="K22" s="141"/>
      <x:c r="L22" s="141"/>
      <x:c r="M22" s="141"/>
      <x:c r="N22" s="141"/>
    </x:row>
    <x:row r="23">
      <x:c r="A23" s="101" t="str">
        <x:v>Total FPTS</x:v>
      </x:c>
      <x:c r="B23" s="104" t="n">
        <x:f>SUMIF('Player Rankings'!$D$4:$D$356,$B$20,'Player Rankings'!$G$4:$G$356)</x:f>
        <x:v>191.4</x:v>
      </x:c>
      <x:c r="C23" s="141"/>
      <x:c r="D23" s="141"/>
      <x:c r="E23" s="141"/>
      <x:c r="F23" s="141"/>
      <x:c r="G23" s="141"/>
      <x:c r="H23" s="141"/>
      <x:c r="I23" s="141"/>
      <x:c r="J23" s="141"/>
      <x:c r="K23" s="141"/>
      <x:c r="L23" s="141"/>
      <x:c r="M23" s="141"/>
      <x:c r="N23" s="141"/>
    </x:row>
    <x:row r="24">
      <x:c r="A24" s="101" t="str">
        <x:v>Average</x:v>
      </x:c>
      <x:c r="B24" s="104" t="n">
        <x:f>SUMIF('Player Rankings'!$D$4:$D$356,$B$20,'Player Rankings'!$H$4:$H$356)</x:f>
        <x:v>11.258823529411766</x:v>
      </x:c>
      <x:c r="C24" s="141"/>
      <x:c r="D24" s="141"/>
      <x:c r="E24" s="141"/>
      <x:c r="F24" s="141"/>
      <x:c r="G24" s="141"/>
      <x:c r="H24" s="141"/>
      <x:c r="I24" s="141"/>
      <x:c r="J24" s="141"/>
      <x:c r="K24" s="141"/>
      <x:c r="L24" s="141"/>
      <x:c r="M24" s="141"/>
      <x:c r="N24" s="141"/>
    </x:row>
    <x:row r="25">
      <x:c r="A25" s="101" t="str">
        <x:v>Weekly Floor (P25)</x:v>
      </x:c>
      <x:c r="B25" s="104" t="n">
        <x:f>SUMIF('Player Rankings'!$D$4:$D$356,$B$20,'Player Rankings'!$J$4:$J$356)</x:f>
        <x:v>4.7</x:v>
      </x:c>
      <x:c r="C25" s="141"/>
      <x:c r="D25" s="141"/>
      <x:c r="E25" s="141"/>
      <x:c r="F25" s="141"/>
      <x:c r="G25" s="141"/>
      <x:c r="H25" s="141"/>
      <x:c r="I25" s="141"/>
      <x:c r="J25" s="141"/>
      <x:c r="K25" s="141"/>
      <x:c r="L25" s="141"/>
      <x:c r="M25" s="141"/>
      <x:c r="N25" s="141"/>
    </x:row>
    <x:row r="26">
      <x:c r="A26" s="101" t="str">
        <x:v>Standard deviation</x:v>
      </x:c>
      <x:c r="B26" s="104" t="n">
        <x:f>SUMIF('Player Rankings'!$D$4:$D$356,$B$20,'Player Rankings'!$K$4:$K$356)</x:f>
        <x:v>7.952140579264651</x:v>
      </x:c>
      <x:c r="C26" s="141"/>
      <x:c r="D26" s="141"/>
      <x:c r="E26" s="141"/>
      <x:c r="F26" s="141"/>
      <x:c r="G26" s="141"/>
      <x:c r="H26" s="141"/>
      <x:c r="I26" s="141"/>
      <x:c r="J26" s="141"/>
      <x:c r="K26" s="141"/>
      <x:c r="L26" s="141"/>
      <x:c r="M26" s="141"/>
      <x:c r="N26" s="141"/>
    </x:row>
    <x:row r="27">
      <x:c r="A27" s="105" t="str">
        <x:v>Bust rate</x:v>
      </x:c>
      <x:c r="B27" s="106" t="n">
        <x:f>SUMIF('Player Rankings'!$D$4:$D$356,$B$20,'Player Rankings'!$M$4:$M$356)</x:f>
        <x:v>0.4117647058823529</x:v>
      </x:c>
      <x:c r="C27" s="141"/>
      <x:c r="D27" s="141"/>
      <x:c r="E27" s="141"/>
      <x:c r="F27" s="141"/>
      <x:c r="G27" s="141"/>
      <x:c r="H27" s="141"/>
      <x:c r="I27" s="141"/>
      <x:c r="J27" s="141"/>
      <x:c r="K27" s="141"/>
      <x:c r="L27" s="141"/>
      <x:c r="M27" s="141"/>
      <x:c r="N27" s="141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1"/>
      <x:c r="K28" s="141"/>
      <x:c r="L28" s="141"/>
      <x:c r="M28" s="141"/>
      <x:c r="N28" s="141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1"/>
      <x:c r="M29" s="141"/>
      <x:c r="N29" s="141"/>
    </x:row>
    <x:row r="30" ht="30" customHeight="1">
      <x:c r="A30" s="75" t="str">
        <x:v>Week</x:v>
      </x:c>
      <x:c r="B30" s="76" t="str">
        <x:v>Jameson Williams</x:v>
      </x:c>
      <x:c r="C30" s="77" t="str">
        <x:v>Season average</x:v>
      </x:c>
      <x:c r="D30" s="141"/>
      <x:c r="E30" s="141"/>
      <x:c r="F30" s="141"/>
      <x:c r="G30" s="141"/>
      <x:c r="H30" s="141"/>
      <x:c r="I30" s="141"/>
      <x:c r="J30" s="141"/>
      <x:c r="K30" s="141"/>
      <x:c r="L30" s="141"/>
      <x:c r="M30" s="141"/>
      <x:c r="N30" s="141"/>
    </x:row>
    <x:row r="31">
      <x:c r="A31" s="108" t="str">
        <x:v>Wk 1</x:v>
      </x:c>
      <x:c r="B31" s="109" t="n">
        <x:f>IF(SUMIF('Weekly Points'!$B$4:$B$356,$B$20,'Weekly Points'!$D$4:$D$356)=1,"",SUMIF('Weekly Points'!$B$4:$B$356,$B$20,'Weekly Points'!$E$4:$E$356))</x:f>
        <x:v>4.6</x:v>
      </x:c>
      <x:c r="C31" s="109" t="n">
        <x:f>$B$24</x:f>
        <x:v>11.258823529411766</x:v>
      </x:c>
      <x:c r="D31" s="141"/>
      <x:c r="E31" s="141"/>
      <x:c r="F31" s="141"/>
      <x:c r="G31" s="141"/>
      <x:c r="H31" s="141"/>
      <x:c r="I31" s="141"/>
      <x:c r="J31" s="141"/>
      <x:c r="K31" s="141"/>
      <x:c r="L31" s="141"/>
      <x:c r="M31" s="141"/>
      <x:c r="N31" s="141"/>
    </x:row>
    <x:row r="32">
      <x:c r="A32" s="108" t="str">
        <x:v>Wk 2</x:v>
      </x:c>
      <x:c r="B32" s="109" t="n">
        <x:f>IF(SUMIF('Weekly Points'!$B$4:$B$356,$B$20,'Weekly Points'!$D$4:$D$356)=2,"",SUMIF('Weekly Points'!$B$4:$B$356,$B$20,'Weekly Points'!$F$4:$F$356))</x:f>
        <x:v>19.8</x:v>
      </x:c>
      <x:c r="C32" s="109" t="n">
        <x:f>$B$24</x:f>
        <x:v>11.258823529411766</x:v>
      </x:c>
      <x:c r="D32" s="141"/>
      <x:c r="E32" s="141"/>
      <x:c r="F32" s="141"/>
      <x:c r="G32" s="141"/>
      <x:c r="H32" s="141"/>
      <x:c r="I32" s="141"/>
      <x:c r="J32" s="141"/>
      <x:c r="K32" s="141"/>
      <x:c r="L32" s="141"/>
      <x:c r="M32" s="141"/>
      <x:c r="N32" s="141"/>
    </x:row>
    <x:row r="33">
      <x:c r="A33" s="108" t="str">
        <x:v>Wk 3</x:v>
      </x:c>
      <x:c r="B33" s="109" t="n">
        <x:f>IF(SUMIF('Weekly Points'!$B$4:$B$356,$B$20,'Weekly Points'!$D$4:$D$356)=3,"",SUMIF('Weekly Points'!$B$4:$B$356,$B$20,'Weekly Points'!$G$4:$G$356))</x:f>
        <x:v>5.3</x:v>
      </x:c>
      <x:c r="C33" s="109" t="n">
        <x:f>$B$24</x:f>
        <x:v>11.258823529411766</x:v>
      </x:c>
      <x:c r="D33" s="141"/>
      <x:c r="E33" s="141"/>
      <x:c r="F33" s="141"/>
      <x:c r="G33" s="141"/>
      <x:c r="H33" s="141"/>
      <x:c r="I33" s="141"/>
      <x:c r="J33" s="141"/>
      <x:c r="K33" s="141"/>
      <x:c r="L33" s="141"/>
      <x:c r="M33" s="141"/>
      <x:c r="N33" s="141"/>
    </x:row>
    <x:row r="34">
      <x:c r="A34" s="108" t="str">
        <x:v>Wk 4</x:v>
      </x:c>
      <x:c r="B34" s="109" t="n">
        <x:f>IF(SUMIF('Weekly Points'!$B$4:$B$356,$B$20,'Weekly Points'!$D$4:$D$356)=4,"",SUMIF('Weekly Points'!$B$4:$B$356,$B$20,'Weekly Points'!$H$4:$H$356))</x:f>
        <x:v>4.7</x:v>
      </x:c>
      <x:c r="C34" s="109" t="n">
        <x:f>$B$24</x:f>
        <x:v>11.258823529411766</x:v>
      </x:c>
      <x:c r="D34" s="141"/>
      <x:c r="E34" s="141"/>
      <x:c r="F34" s="141"/>
      <x:c r="G34" s="141"/>
      <x:c r="H34" s="141"/>
      <x:c r="I34" s="141"/>
      <x:c r="J34" s="141"/>
      <x:c r="K34" s="141"/>
      <x:c r="L34" s="141"/>
      <x:c r="M34" s="141"/>
      <x:c r="N34" s="141"/>
    </x:row>
    <x:row r="35">
      <x:c r="A35" s="108" t="str">
        <x:v>Wk 5</x:v>
      </x:c>
      <x:c r="B35" s="109" t="n">
        <x:f>IF(SUMIF('Weekly Points'!$B$4:$B$356,$B$20,'Weekly Points'!$D$4:$D$356)=5,"",SUMIF('Weekly Points'!$B$4:$B$356,$B$20,'Weekly Points'!$I$4:$I$356))</x:f>
        <x:v>1.5</x:v>
      </x:c>
      <x:c r="C35" s="109" t="n">
        <x:f>$B$24</x:f>
        <x:v>11.258823529411766</x:v>
      </x:c>
      <x:c r="D35" s="141"/>
      <x:c r="E35" s="141"/>
      <x:c r="F35" s="141"/>
      <x:c r="G35" s="141"/>
      <x:c r="H35" s="141"/>
      <x:c r="I35" s="141"/>
      <x:c r="J35" s="141"/>
      <x:c r="K35" s="141"/>
      <x:c r="L35" s="141"/>
      <x:c r="M35" s="141"/>
      <x:c r="N35" s="141"/>
    </x:row>
    <x:row r="36">
      <x:c r="A36" s="108" t="str">
        <x:v>Wk 6</x:v>
      </x:c>
      <x:c r="B36" s="109" t="n">
        <x:f>IF(SUMIF('Weekly Points'!$B$4:$B$356,$B$20,'Weekly Points'!$D$4:$D$356)=6,"",SUMIF('Weekly Points'!$B$4:$B$356,$B$20,'Weekly Points'!$J$4:$J$356))</x:f>
        <x:v>15.6</x:v>
      </x:c>
      <x:c r="C36" s="109" t="n">
        <x:f>$B$24</x:f>
        <x:v>11.258823529411766</x:v>
      </x:c>
      <x:c r="D36" s="141"/>
      <x:c r="E36" s="141"/>
      <x:c r="F36" s="141"/>
      <x:c r="G36" s="141"/>
      <x:c r="H36" s="141"/>
      <x:c r="I36" s="141"/>
      <x:c r="J36" s="141"/>
      <x:c r="K36" s="141"/>
      <x:c r="L36" s="141"/>
      <x:c r="M36" s="141"/>
      <x:c r="N36" s="141"/>
    </x:row>
    <x:row r="37">
      <x:c r="A37" s="108" t="str">
        <x:v>Wk 7</x:v>
      </x:c>
      <x:c r="B37" s="109" t="n">
        <x:f>IF(SUMIF('Weekly Points'!$B$4:$B$356,$B$20,'Weekly Points'!$D$4:$D$356)=7,"",SUMIF('Weekly Points'!$B$4:$B$356,$B$20,'Weekly Points'!$K$4:$K$356))</x:f>
        <x:v>0</x:v>
      </x:c>
      <x:c r="C37" s="109" t="n">
        <x:f>$B$24</x:f>
        <x:v>11.258823529411766</x:v>
      </x:c>
      <x:c r="D37" s="141"/>
      <x:c r="E37" s="141"/>
      <x:c r="F37" s="141"/>
      <x:c r="G37" s="141"/>
      <x:c r="H37" s="141"/>
      <x:c r="I37" s="141"/>
      <x:c r="J37" s="141"/>
      <x:c r="K37" s="141"/>
      <x:c r="L37" s="141"/>
      <x:c r="M37" s="141"/>
      <x:c r="N37" s="141"/>
    </x:row>
    <x:row r="38">
      <x:c r="A38" s="108" t="str">
        <x:v>Wk 8</x:v>
      </x:c>
      <x:c r="B38" s="109" t="str">
        <x:f>IF(SUMIF('Weekly Points'!$B$4:$B$356,$B$20,'Weekly Points'!$D$4:$D$356)=8,"",SUMIF('Weekly Points'!$B$4:$B$356,$B$20,'Weekly Points'!$L$4:$L$356))</x:f>
      </x:c>
      <x:c r="C38" s="109" t="n">
        <x:f>$B$24</x:f>
        <x:v>11.258823529411766</x:v>
      </x:c>
      <x:c r="D38" s="141"/>
      <x:c r="E38" s="141"/>
      <x:c r="F38" s="141"/>
      <x:c r="G38" s="141"/>
      <x:c r="H38" s="141"/>
      <x:c r="I38" s="141"/>
      <x:c r="J38" s="141"/>
      <x:c r="K38" s="141"/>
      <x:c r="L38" s="141"/>
      <x:c r="M38" s="141"/>
      <x:c r="N38" s="141"/>
    </x:row>
    <x:row r="39">
      <x:c r="A39" s="108" t="str">
        <x:v>Wk 9</x:v>
      </x:c>
      <x:c r="B39" s="109" t="n">
        <x:f>IF(SUMIF('Weekly Points'!$B$4:$B$356,$B$20,'Weekly Points'!$D$4:$D$356)=9,"",SUMIF('Weekly Points'!$B$4:$B$356,$B$20,'Weekly Points'!$M$4:$M$356))</x:f>
        <x:v>14.6</x:v>
      </x:c>
      <x:c r="C39" s="109" t="n">
        <x:f>$B$24</x:f>
        <x:v>11.258823529411766</x:v>
      </x:c>
      <x:c r="D39" s="141"/>
      <x:c r="E39" s="141"/>
      <x:c r="F39" s="141"/>
      <x:c r="G39" s="141"/>
      <x:c r="H39" s="141"/>
      <x:c r="I39" s="141"/>
      <x:c r="J39" s="141"/>
      <x:c r="K39" s="141"/>
      <x:c r="L39" s="141"/>
      <x:c r="M39" s="141"/>
      <x:c r="N39" s="141"/>
    </x:row>
    <x:row r="40" ht="22" customHeight="1">
      <x:c r="A40" s="108" t="str">
        <x:v>Wk 10</x:v>
      </x:c>
      <x:c r="B40" s="109" t="n">
        <x:f>IF(SUMIF('Weekly Points'!$B$4:$B$356,$B$20,'Weekly Points'!$D$4:$D$356)=10,"",SUMIF('Weekly Points'!$B$4:$B$356,$B$20,'Weekly Points'!$N$4:$N$356))</x:f>
        <x:v>20.9</x:v>
      </x:c>
      <x:c r="C40" s="109" t="n">
        <x:f>$B$24</x:f>
        <x:v>11.258823529411766</x:v>
      </x:c>
      <x:c r="D40" s="141"/>
      <x:c r="E40" s="67" t="str">
        <x:v>Interpretation</x:v>
      </x:c>
      <x:c r="F40" s="67" t="str">
        <x:v>Interpretation</x:v>
      </x:c>
      <x:c r="G40" s="67" t="str">
        <x:v>Interpretation</x:v>
      </x:c>
      <x:c r="H40" s="67" t="str">
        <x:v>Interpretation</x:v>
      </x:c>
      <x:c r="I40" s="67" t="str">
        <x:v>Interpretation</x:v>
      </x:c>
      <x:c r="J40" s="67" t="str">
        <x:v>Interpretation</x:v>
      </x:c>
      <x:c r="K40" s="67" t="str">
        <x:v>Interpretation</x:v>
      </x:c>
      <x:c r="L40" s="67" t="str">
        <x:v>Interpretation</x:v>
      </x:c>
      <x:c r="M40" s="67" t="str">
        <x:v>Interpretation</x:v>
      </x:c>
      <x:c r="N40" s="67" t="str">
        <x:v>Interpretation</x:v>
      </x:c>
    </x:row>
    <x:row r="41">
      <x:c r="A41" s="108" t="str">
        <x:v>Wk 11</x:v>
      </x:c>
      <x:c r="B41" s="109" t="n">
        <x:f>IF(SUMIF('Weekly Points'!$B$4:$B$356,$B$20,'Weekly Points'!$D$4:$D$356)=11,"",SUMIF('Weekly Points'!$B$4:$B$356,$B$20,'Weekly Points'!$O$4:$O$356))</x:f>
        <x:v>19.7</x:v>
      </x:c>
      <x:c r="C41" s="109" t="n">
        <x:f>$B$24</x:f>
        <x:v>11.258823529411766</x:v>
      </x:c>
      <x:c r="D41" s="141"/>
      <x:c r="E41" s="129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F41" s="130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G41" s="130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H41" s="130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I41" s="130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J41" s="130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K41" s="130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L41" s="130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M41" s="130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N41" s="131" t="str">
        <x:v>Jameson Williams scored 191.4 points (11.3 per non-bye week), but his 4.7-point weekly floor, 8.0-point standard deviation, two zeroes, and 41.2% bust rate place him WR28 for consistency—well below his WR10 ESPN points rank.</x:v>
      </x:c>
    </x:row>
    <x:row r="42">
      <x:c r="A42" s="108" t="str">
        <x:v>Wk 12</x:v>
      </x:c>
      <x:c r="B42" s="109" t="n">
        <x:f>IF(SUMIF('Weekly Points'!$B$4:$B$356,$B$20,'Weekly Points'!$D$4:$D$356)=12,"",SUMIF('Weekly Points'!$B$4:$B$356,$B$20,'Weekly Points'!$P$4:$P$356))</x:f>
        <x:v>0</x:v>
      </x:c>
      <x:c r="C42" s="109" t="n">
        <x:f>$B$24</x:f>
        <x:v>11.258823529411766</x:v>
      </x:c>
      <x:c r="D42" s="141"/>
      <x:c r="E42" s="132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F42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G42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H42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I42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J42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K42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L42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M42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N42" s="134" t="str">
        <x:v>Jameson Williams scored 191.4 points (11.3 per non-bye week), but his 4.7-point weekly floor, 8.0-point standard deviation, two zeroes, and 41.2% bust rate place him WR28 for consistency—well below his WR10 ESPN points rank.</x:v>
      </x:c>
    </x:row>
    <x:row r="43">
      <x:c r="A43" s="108" t="str">
        <x:v>Wk 13</x:v>
      </x:c>
      <x:c r="B43" s="109" t="n">
        <x:f>IF(SUMIF('Weekly Points'!$B$4:$B$356,$B$20,'Weekly Points'!$D$4:$D$356)=13,"",SUMIF('Weekly Points'!$B$4:$B$356,$B$20,'Weekly Points'!$Q$4:$Q$356))</x:f>
        <x:v>23.4</x:v>
      </x:c>
      <x:c r="C43" s="109" t="n">
        <x:f>$B$24</x:f>
        <x:v>11.258823529411766</x:v>
      </x:c>
      <x:c r="D43" s="141"/>
      <x:c r="E43" s="132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F43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G43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H43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I43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J43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K43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L43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M43" s="133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N43" s="134" t="str">
        <x:v>Jameson Williams scored 191.4 points (11.3 per non-bye week), but his 4.7-point weekly floor, 8.0-point standard deviation, two zeroes, and 41.2% bust rate place him WR28 for consistency—well below his WR10 ESPN points rank.</x:v>
      </x:c>
    </x:row>
    <x:row r="44">
      <x:c r="A44" s="108" t="str">
        <x:v>Wk 14</x:v>
      </x:c>
      <x:c r="B44" s="109" t="n">
        <x:f>IF(SUMIF('Weekly Points'!$B$4:$B$356,$B$20,'Weekly Points'!$D$4:$D$356)=14,"",SUMIF('Weekly Points'!$B$4:$B$356,$B$20,'Weekly Points'!$R$4:$R$356))</x:f>
        <x:v>13.8</x:v>
      </x:c>
      <x:c r="C44" s="109" t="n">
        <x:f>$B$24</x:f>
        <x:v>11.258823529411766</x:v>
      </x:c>
      <x:c r="D44" s="141"/>
      <x:c r="E44" s="135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F44" s="136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G44" s="136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H44" s="136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I44" s="136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J44" s="136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K44" s="136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L44" s="136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M44" s="136" t="str">
        <x:v>Jameson Williams scored 191.4 points (11.3 per non-bye week), but his 4.7-point weekly floor, 8.0-point standard deviation, two zeroes, and 41.2% bust rate place him WR28 for consistency—well below his WR10 ESPN points rank.</x:v>
      </x:c>
      <x:c r="N44" s="137" t="str">
        <x:v>Jameson Williams scored 191.4 points (11.3 per non-bye week), but his 4.7-point weekly floor, 8.0-point standard deviation, two zeroes, and 41.2% bust rate place him WR28 for consistency—well below his WR10 ESPN points rank.</x:v>
      </x:c>
    </x:row>
    <x:row r="45">
      <x:c r="A45" s="108" t="str">
        <x:v>Wk 15</x:v>
      </x:c>
      <x:c r="B45" s="109" t="n">
        <x:f>IF(SUMIF('Weekly Points'!$B$4:$B$356,$B$20,'Weekly Points'!$D$4:$D$356)=15,"",SUMIF('Weekly Points'!$B$4:$B$356,$B$20,'Weekly Points'!$S$4:$S$356))</x:f>
        <x:v>22.9</x:v>
      </x:c>
      <x:c r="C45" s="109" t="n">
        <x:f>$B$24</x:f>
        <x:v>11.258823529411766</x:v>
      </x:c>
      <x:c r="D45" s="141"/>
      <x:c r="E45" s="141"/>
      <x:c r="F45" s="141"/>
      <x:c r="G45" s="141"/>
      <x:c r="H45" s="141"/>
      <x:c r="I45" s="141"/>
      <x:c r="J45" s="141"/>
      <x:c r="K45" s="141"/>
      <x:c r="L45" s="141"/>
      <x:c r="M45" s="141"/>
      <x:c r="N45" s="141"/>
    </x:row>
    <x:row r="46" ht="22" customHeight="1">
      <x:c r="A46" s="108" t="str">
        <x:v>Wk 16</x:v>
      </x:c>
      <x:c r="B46" s="109" t="n">
        <x:f>IF(SUMIF('Weekly Points'!$B$4:$B$356,$B$20,'Weekly Points'!$D$4:$D$356)=16,"",SUMIF('Weekly Points'!$B$4:$B$356,$B$20,'Weekly Points'!$T$4:$T$356))</x:f>
        <x:v>9.5</x:v>
      </x:c>
      <x:c r="C46" s="109" t="n">
        <x:f>$B$24</x:f>
        <x:v>11.258823529411766</x:v>
      </x:c>
      <x:c r="D46" s="141"/>
      <x:c r="E46" s="67" t="str">
        <x:v>Sources</x:v>
      </x:c>
      <x:c r="F46" s="67" t="str">
        <x:v>Sources</x:v>
      </x:c>
      <x:c r="G46" s="67" t="str">
        <x:v>Sources</x:v>
      </x:c>
      <x:c r="H46" s="67" t="str">
        <x:v>Sources</x:v>
      </x:c>
      <x:c r="I46" s="67" t="str">
        <x:v>Sources</x:v>
      </x:c>
      <x:c r="J46" s="67" t="str">
        <x:v>Sources</x:v>
      </x:c>
      <x:c r="K46" s="67" t="str">
        <x:v>Sources</x:v>
      </x:c>
      <x:c r="L46" s="67" t="str">
        <x:v>Sources</x:v>
      </x:c>
      <x:c r="M46" s="67" t="str">
        <x:v>Sources</x:v>
      </x:c>
      <x:c r="N46" s="67" t="str">
        <x:v>Sources</x:v>
      </x:c>
    </x:row>
    <x:row r="47" ht="25" customHeight="1">
      <x:c r="A47" s="108" t="str">
        <x:v>Wk 17</x:v>
      </x:c>
      <x:c r="B47" s="109" t="n">
        <x:f>IF(SUMIF('Weekly Points'!$B$4:$B$356,$B$20,'Weekly Points'!$D$4:$D$356)=17,"",SUMIF('Weekly Points'!$B$4:$B$356,$B$20,'Weekly Points'!$U$4:$U$356))</x:f>
        <x:v>4.7</x:v>
      </x:c>
      <x:c r="C47" s="109" t="n">
        <x:f>$B$24</x:f>
        <x:v>11.258823529411766</x:v>
      </x:c>
      <x:c r="D47" s="141"/>
      <x:c r="E47" s="139" t="str">
        <x:v>QB: https://fantasy.espn.com/football/leaders?leagueId=555583&amp;lineupSlot=0&amp;scoringPeriodId=0&amp;statSplit=lastSeason</x:v>
      </x:c>
      <x:c r="F47" s="139"/>
      <x:c r="G47" s="139"/>
      <x:c r="H47" s="139"/>
      <x:c r="I47" s="139"/>
      <x:c r="J47" s="139"/>
      <x:c r="K47" s="139"/>
      <x:c r="L47" s="139"/>
      <x:c r="M47" s="139"/>
      <x:c r="N47" s="139"/>
    </x:row>
    <x:row r="48" ht="25" customHeight="1">
      <x:c r="A48" s="108" t="str">
        <x:v>Wk 18</x:v>
      </x:c>
      <x:c r="B48" s="109" t="n">
        <x:f>IF(SUMIF('Weekly Points'!$B$4:$B$356,$B$20,'Weekly Points'!$D$4:$D$356)=18,"",SUMIF('Weekly Points'!$B$4:$B$356,$B$20,'Weekly Points'!$V$4:$V$356))</x:f>
        <x:v>10.4</x:v>
      </x:c>
      <x:c r="C48" s="109" t="n">
        <x:f>$B$24</x:f>
        <x:v>11.258823529411766</x:v>
      </x:c>
      <x:c r="D48" s="141"/>
      <x:c r="E48" s="139" t="str">
        <x:v>RB: https://fantasy.espn.com/football/leaders?leagueId=555583&amp;lineupSlot=2&amp;scoringPeriodId=0&amp;statSplit=lastSeason</x:v>
      </x:c>
      <x:c r="F48" s="139"/>
      <x:c r="G48" s="139"/>
      <x:c r="H48" s="139"/>
      <x:c r="I48" s="139"/>
      <x:c r="J48" s="139"/>
      <x:c r="K48" s="139"/>
      <x:c r="L48" s="139"/>
      <x:c r="M48" s="139"/>
      <x:c r="N48" s="139"/>
    </x:row>
    <x:row r="49" ht="25" customHeight="1">
      <x:c r="A49" s="141"/>
      <x:c r="B49" s="141"/>
      <x:c r="C49" s="141"/>
      <x:c r="D49" s="141"/>
      <x:c r="E49" s="139" t="str">
        <x:v>WR: https://fantasy.espn.com/football/leaders?leagueId=555583&amp;lineupSlot=4&amp;scoringPeriodId=0&amp;statSplit=lastSeason</x:v>
      </x:c>
      <x:c r="F49" s="139"/>
      <x:c r="G49" s="139"/>
      <x:c r="H49" s="139"/>
      <x:c r="I49" s="139"/>
      <x:c r="J49" s="139"/>
      <x:c r="K49" s="139"/>
      <x:c r="L49" s="139"/>
      <x:c r="M49" s="139"/>
      <x:c r="N49" s="139"/>
    </x:row>
    <x:row r="50" ht="25" customHeight="1">
      <x:c r="A50" s="141"/>
      <x:c r="B50" s="141"/>
      <x:c r="C50" s="141"/>
      <x:c r="D50" s="141"/>
      <x:c r="E50" s="139" t="str">
        <x:v>TE: https://fantasy.espn.com/football/leaders?leagueId=555583&amp;lineupSlot=6&amp;scoringPeriodId=0&amp;statSplit=lastSeason</x:v>
      </x:c>
      <x:c r="F50" s="139"/>
      <x:c r="G50" s="139"/>
      <x:c r="H50" s="139"/>
      <x:c r="I50" s="139"/>
      <x:c r="J50" s="139"/>
      <x:c r="K50" s="139"/>
      <x:c r="L50" s="139"/>
      <x:c r="M50" s="139"/>
      <x:c r="N50" s="139"/>
    </x:row>
    <x:row r="51" ht="25" customHeight="1">
      <x:c r="A51" s="141"/>
      <x:c r="B51" s="141"/>
      <x:c r="C51" s="141"/>
      <x:c r="D51" s="141"/>
      <x:c r="E51" s="139" t="str">
        <x:v>D/ST: https://fantasy.espn.com/football/leaders?leagueId=555583&amp;lineupSlot=16&amp;scoringPeriodId=0&amp;statSplit=lastSeason</x:v>
      </x:c>
      <x:c r="F51" s="139"/>
      <x:c r="G51" s="139"/>
      <x:c r="H51" s="139"/>
      <x:c r="I51" s="139"/>
      <x:c r="J51" s="139"/>
      <x:c r="K51" s="139"/>
      <x:c r="L51" s="139"/>
      <x:c r="M51" s="139"/>
      <x:c r="N51" s="139"/>
    </x:row>
    <x:row r="52" ht="25" customHeight="1">
      <x:c r="A52" s="141"/>
      <x:c r="B52" s="141"/>
      <x:c r="C52" s="141"/>
      <x:c r="D52" s="141"/>
      <x:c r="E52" s="139" t="str">
        <x:v>K: https://fantasy.espn.com/football/leaders?leagueId=555583&amp;lineupSlot=17&amp;scoringPeriodId=0&amp;statSplit=lastSeason</x:v>
      </x:c>
      <x:c r="F52" s="139"/>
      <x:c r="G52" s="139"/>
      <x:c r="H52" s="139"/>
      <x:c r="I52" s="139"/>
      <x:c r="J52" s="139"/>
      <x:c r="K52" s="139"/>
      <x:c r="L52" s="139"/>
      <x:c r="M52" s="139"/>
      <x:c r="N52" s="139"/>
    </x:row>
  </x:sheetData>
  <x:mergeCells>
    <x:mergeCell ref="A1:N1"/>
    <x:mergeCell ref="A2:N2"/>
    <x:mergeCell ref="A4:D4"/>
    <x:mergeCell ref="A5:D7"/>
    <x:mergeCell ref="F4:I4"/>
    <x:mergeCell ref="F5:I7"/>
    <x:mergeCell ref="K4:N4"/>
    <x:mergeCell ref="K5:N7"/>
    <x:mergeCell ref="A9:D9"/>
    <x:mergeCell ref="F9:N9"/>
    <x:mergeCell ref="G10:N10"/>
    <x:mergeCell ref="G11:N11"/>
    <x:mergeCell ref="G12:N12"/>
    <x:mergeCell ref="G13:N13"/>
    <x:mergeCell ref="G14:N14"/>
    <x:mergeCell ref="G15:N15"/>
    <x:mergeCell ref="G16:N16"/>
    <x:mergeCell ref="A18:D18"/>
    <x:mergeCell ref="E40:N40"/>
    <x:mergeCell ref="E41:N44"/>
    <x:mergeCell ref="E46:N46"/>
    <x:mergeCell ref="E47:N47"/>
    <x:mergeCell ref="E48:N48"/>
    <x:mergeCell ref="E49:N49"/>
    <x:mergeCell ref="E50:N50"/>
    <x:mergeCell ref="E51:N51"/>
    <x:mergeCell ref="E52:N52"/>
  </x:mergeCells>
  <x:pageMargins left="0.7" right="0.7" top="0.75" bottom="0.75" header="0.3" footer="0.3"/>
  <x:drawing xmlns:r="http://schemas.openxmlformats.org/officeDocument/2006/relationships" r:id="R136ee38c125447d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0" hidden="0" customWidth="1"/>
    <x:col min="4" max="4" width="20" hidden="0" customWidth="1"/>
    <x:col min="5" max="5" width="22" hidden="0" customWidth="1"/>
    <x:col min="6" max="6" width="22" hidden="0" customWidth="1"/>
    <x:col min="7" max="7" width="18" hidden="0" customWidth="1"/>
    <x:col min="8" max="8" width="20" hidden="0" customWidth="1"/>
    <x:col min="9" max="9" width="10" hidden="0" customWidth="1"/>
    <x:col min="10" max="10" width="20" hidden="0" customWidth="1"/>
    <x:col min="11" max="11" width="20" hidden="0" customWidth="1"/>
    <x:col min="12" max="12" width="14" hidden="0" customWidth="1"/>
    <x:col min="13" max="13" width="14" hidden="0" customWidth="1"/>
    <x:col min="14" max="14" width="13" hidden="0" customWidth="1"/>
  </x:cols>
  <x:sheetData>
    <x:row r="1" ht="32" customHeight="1">
      <x:c r="A1" s="3" t="str">
        <x:v>Top 6 Consistency-Adjusted Lineups</x:v>
      </x:c>
      <x:c r="B1" s="3" t="str">
        <x:v>Top 6 Consistency-Adjusted Lineups</x:v>
      </x:c>
      <x:c r="C1" s="3" t="str">
        <x:v>Top 6 Consistency-Adjusted Lineups</x:v>
      </x:c>
      <x:c r="D1" s="3" t="str">
        <x:v>Top 6 Consistency-Adjusted Lineups</x:v>
      </x:c>
      <x:c r="E1" s="3" t="str">
        <x:v>Top 6 Consistency-Adjusted Lineups</x:v>
      </x:c>
      <x:c r="F1" s="3" t="str">
        <x:v>Top 6 Consistency-Adjusted Lineups</x:v>
      </x:c>
      <x:c r="G1" s="3" t="str">
        <x:v>Top 6 Consistency-Adjusted Lineups</x:v>
      </x:c>
      <x:c r="H1" s="3" t="str">
        <x:v>Top 6 Consistency-Adjusted Lineups</x:v>
      </x:c>
      <x:c r="I1" s="3" t="str">
        <x:v>Top 6 Consistency-Adjusted Lineups</x:v>
      </x:c>
      <x:c r="J1" s="3" t="str">
        <x:v>Top 6 Consistency-Adjusted Lineups</x:v>
      </x:c>
      <x:c r="K1" s="3" t="str">
        <x:v>Top 6 Consistency-Adjusted Lineups</x:v>
      </x:c>
      <x:c r="L1" s="3" t="str">
        <x:v>Top 6 Consistency-Adjusted Lineups</x:v>
      </x:c>
      <x:c r="M1" s="3" t="str">
        <x:v>Top 6 Consistency-Adjusted Lineups</x:v>
      </x:c>
      <x:c r="N1" s="3" t="str">
        <x:v>Top 6 Consistency-Adjusted Lineups</x:v>
      </x:c>
    </x:row>
    <x:row r="2" ht="30" customHeight="1">
      <x:c r="A2" s="7" t="str">
        <x:v>Roster: 1 QB • 2 RB • 2 WR • 1 TE • 1 FLEX (RB/WR/TE) • 1 K • 1 D/ST</x:v>
      </x:c>
      <x:c r="B2" s="7" t="str">
        <x:v>Roster: 1 QB • 2 RB • 2 WR • 1 TE • 1 FLEX (RB/WR/TE) • 1 K • 1 D/ST</x:v>
      </x:c>
      <x:c r="C2" s="7" t="str">
        <x:v>Roster: 1 QB • 2 RB • 2 WR • 1 TE • 1 FLEX (RB/WR/TE) • 1 K • 1 D/ST</x:v>
      </x:c>
      <x:c r="D2" s="7" t="str">
        <x:v>Roster: 1 QB • 2 RB • 2 WR • 1 TE • 1 FLEX (RB/WR/TE) • 1 K • 1 D/ST</x:v>
      </x:c>
      <x:c r="E2" s="7" t="str">
        <x:v>Roster: 1 QB • 2 RB • 2 WR • 1 TE • 1 FLEX (RB/WR/TE) • 1 K • 1 D/ST</x:v>
      </x:c>
      <x:c r="F2" s="7" t="str">
        <x:v>Roster: 1 QB • 2 RB • 2 WR • 1 TE • 1 FLEX (RB/WR/TE) • 1 K • 1 D/ST</x:v>
      </x:c>
      <x:c r="G2" s="7" t="str">
        <x:v>Roster: 1 QB • 2 RB • 2 WR • 1 TE • 1 FLEX (RB/WR/TE) • 1 K • 1 D/ST</x:v>
      </x:c>
      <x:c r="H2" s="7" t="str">
        <x:v>Roster: 1 QB • 2 RB • 2 WR • 1 TE • 1 FLEX (RB/WR/TE) • 1 K • 1 D/ST</x:v>
      </x:c>
      <x:c r="I2" s="7" t="str">
        <x:v>Roster: 1 QB • 2 RB • 2 WR • 1 TE • 1 FLEX (RB/WR/TE) • 1 K • 1 D/ST</x:v>
      </x:c>
      <x:c r="J2" s="7" t="str">
        <x:v>Roster: 1 QB • 2 RB • 2 WR • 1 TE • 1 FLEX (RB/WR/TE) • 1 K • 1 D/ST</x:v>
      </x:c>
      <x:c r="K2" s="7" t="str">
        <x:v>Roster: 1 QB • 2 RB • 2 WR • 1 TE • 1 FLEX (RB/WR/TE) • 1 K • 1 D/ST</x:v>
      </x:c>
      <x:c r="L2" s="7" t="str">
        <x:v>Roster: 1 QB • 2 RB • 2 WR • 1 TE • 1 FLEX (RB/WR/TE) • 1 K • 1 D/ST</x:v>
      </x:c>
      <x:c r="M2" s="7" t="str">
        <x:v>Roster: 1 QB • 2 RB • 2 WR • 1 TE • 1 FLEX (RB/WR/TE) • 1 K • 1 D/ST</x:v>
      </x:c>
      <x:c r="N2" s="7" t="str">
        <x:v>Roster: 1 QB • 2 RB • 2 WR • 1 TE • 1 FLEX (RB/WR/TE) • 1 K • 1 D/ST</x:v>
      </x:c>
    </x:row>
    <x:row r="3" ht="30" customHeight="1">
      <x:c r="A3" s="159" t="str">
        <x:v>Rank</x:v>
      </x:c>
      <x:c r="B3" s="160" t="str">
        <x:v>QB</x:v>
      </x:c>
      <x:c r="C3" s="160" t="str">
        <x:v>RB1</x:v>
      </x:c>
      <x:c r="D3" s="160" t="str">
        <x:v>RB2</x:v>
      </x:c>
      <x:c r="E3" s="160" t="str">
        <x:v>WR1</x:v>
      </x:c>
      <x:c r="F3" s="160" t="str">
        <x:v>WR2</x:v>
      </x:c>
      <x:c r="G3" s="160" t="str">
        <x:v>TE</x:v>
      </x:c>
      <x:c r="H3" s="160" t="str">
        <x:v>FLEX</x:v>
      </x:c>
      <x:c r="I3" s="160" t="str">
        <x:v>Flex Pos</x:v>
      </x:c>
      <x:c r="J3" s="160" t="str">
        <x:v>K</x:v>
      </x:c>
      <x:c r="K3" s="160" t="str">
        <x:v>D/ST</x:v>
      </x:c>
      <x:c r="L3" s="160" t="str">
        <x:v>Lineup Value</x:v>
      </x:c>
      <x:c r="M3" s="160" t="str">
        <x:v>Weekly Floor</x:v>
      </x:c>
      <x:c r="N3" s="161" t="str">
        <x:v>Median Sum</x:v>
      </x:c>
    </x:row>
    <x:row r="4">
      <x:c r="A4" s="162" t="n">
        <x:v>1</x:v>
      </x:c>
      <x:c r="B4" s="163" t="str">
        <x:v>Drake Maye</x:v>
      </x:c>
      <x:c r="C4" s="163" t="str">
        <x:v>Christian McCaffrey</x:v>
      </x:c>
      <x:c r="D4" s="163" t="str">
        <x:v>Bijan Robinson</x:v>
      </x:c>
      <x:c r="E4" s="163" t="str">
        <x:v>Jaxon Smith-Njigba</x:v>
      </x:c>
      <x:c r="F4" s="163" t="str">
        <x:v>Puka Nacua</x:v>
      </x:c>
      <x:c r="G4" s="163" t="str">
        <x:v>Trey McBride</x:v>
      </x:c>
      <x:c r="H4" s="163" t="str">
        <x:v>De'Von Achane</x:v>
      </x:c>
      <x:c r="I4" s="163" t="str">
        <x:v>RB</x:v>
      </x:c>
      <x:c r="J4" s="163" t="str">
        <x:v>Jason Myers</x:v>
      </x:c>
      <x:c r="K4" s="163" t="str">
        <x:v>Seahawks D/ST</x:v>
      </x:c>
      <x:c r="L4" s="164" t="n">
        <x:f>SUMIF('Player Rankings'!$D$4:$D$356,B4,'Player Rankings'!$N$4:$N$356)+SUMIF('Player Rankings'!$D$4:$D$356,C4,'Player Rankings'!$N$4:$N$356)+SUMIF('Player Rankings'!$D$4:$D$356,D4,'Player Rankings'!$N$4:$N$356)+SUMIF('Player Rankings'!$D$4:$D$356,E4,'Player Rankings'!$N$4:$N$356)+SUMIF('Player Rankings'!$D$4:$D$356,F4,'Player Rankings'!$N$4:$N$356)+SUMIF('Player Rankings'!$D$4:$D$356,G4,'Player Rankings'!$N$4:$N$356)+SUMIF('Player Rankings'!$D$4:$D$356,H4,'Player Rankings'!$N$4:$N$356)+SUMIF('Player Rankings'!$D$4:$D$356,J4,'Player Rankings'!$N$4:$N$356)+SUMIF('Player Rankings'!$D$4:$D$356,K4,'Player Rankings'!$N$4:$N$356)</x:f>
        <x:v>135.17005882352942</x:v>
      </x:c>
      <x:c r="M4" s="164" t="n">
        <x:f>SUMIF('Player Rankings'!$D$4:$D$356,B4,'Player Rankings'!$J$4:$J$356)+SUMIF('Player Rankings'!$D$4:$D$356,C4,'Player Rankings'!$J$4:$J$356)+SUMIF('Player Rankings'!$D$4:$D$356,D4,'Player Rankings'!$J$4:$J$356)+SUMIF('Player Rankings'!$D$4:$D$356,E4,'Player Rankings'!$J$4:$J$356)+SUMIF('Player Rankings'!$D$4:$D$356,F4,'Player Rankings'!$J$4:$J$356)+SUMIF('Player Rankings'!$D$4:$D$356,G4,'Player Rankings'!$J$4:$J$356)+SUMIF('Player Rankings'!$D$4:$D$356,H4,'Player Rankings'!$J$4:$J$356)+SUMIF('Player Rankings'!$D$4:$D$356,J4,'Player Rankings'!$J$4:$J$356)+SUMIF('Player Rankings'!$D$4:$D$356,K4,'Player Rankings'!$J$4:$J$356)</x:f>
        <x:v>115.94999999999999</x:v>
      </x:c>
      <x:c r="N4" s="165" t="n">
        <x:f>SUMIF('Player Rankings'!$D$4:$D$356,B4,'Player Rankings'!$I$4:$I$356)+SUMIF('Player Rankings'!$D$4:$D$356,C4,'Player Rankings'!$I$4:$I$356)+SUMIF('Player Rankings'!$D$4:$D$356,D4,'Player Rankings'!$I$4:$I$356)+SUMIF('Player Rankings'!$D$4:$D$356,E4,'Player Rankings'!$I$4:$I$356)+SUMIF('Player Rankings'!$D$4:$D$356,F4,'Player Rankings'!$I$4:$I$356)+SUMIF('Player Rankings'!$D$4:$D$356,G4,'Player Rankings'!$I$4:$I$356)+SUMIF('Player Rankings'!$D$4:$D$356,H4,'Player Rankings'!$I$4:$I$356)+SUMIF('Player Rankings'!$D$4:$D$356,J4,'Player Rankings'!$I$4:$I$356)+SUMIF('Player Rankings'!$D$4:$D$356,K4,'Player Rankings'!$I$4:$I$356)</x:f>
        <x:v>150.70000000000002</x:v>
      </x:c>
    </x:row>
    <x:row r="5">
      <x:c r="A5" s="162" t="n">
        <x:v>2</x:v>
      </x:c>
      <x:c r="B5" s="163" t="str">
        <x:v>Drake Maye</x:v>
      </x:c>
      <x:c r="C5" s="163" t="str">
        <x:v>Christian McCaffrey</x:v>
      </x:c>
      <x:c r="D5" s="163" t="str">
        <x:v>Bijan Robinson</x:v>
      </x:c>
      <x:c r="E5" s="163" t="str">
        <x:v>Jaxon Smith-Njigba</x:v>
      </x:c>
      <x:c r="F5" s="163" t="str">
        <x:v>Puka Nacua</x:v>
      </x:c>
      <x:c r="G5" s="163" t="str">
        <x:v>Trey McBride</x:v>
      </x:c>
      <x:c r="H5" s="163" t="str">
        <x:v>De'Von Achane</x:v>
      </x:c>
      <x:c r="I5" s="163" t="str">
        <x:v>RB</x:v>
      </x:c>
      <x:c r="J5" s="163" t="str">
        <x:v>Ka'imi Fairbairn</x:v>
      </x:c>
      <x:c r="K5" s="163" t="str">
        <x:v>Seahawks D/ST</x:v>
      </x:c>
      <x:c r="L5" s="164" t="n">
        <x:f>SUMIF('Player Rankings'!$D$4:$D$356,B5,'Player Rankings'!$N$4:$N$356)+SUMIF('Player Rankings'!$D$4:$D$356,C5,'Player Rankings'!$N$4:$N$356)+SUMIF('Player Rankings'!$D$4:$D$356,D5,'Player Rankings'!$N$4:$N$356)+SUMIF('Player Rankings'!$D$4:$D$356,E5,'Player Rankings'!$N$4:$N$356)+SUMIF('Player Rankings'!$D$4:$D$356,F5,'Player Rankings'!$N$4:$N$356)+SUMIF('Player Rankings'!$D$4:$D$356,G5,'Player Rankings'!$N$4:$N$356)+SUMIF('Player Rankings'!$D$4:$D$356,H5,'Player Rankings'!$N$4:$N$356)+SUMIF('Player Rankings'!$D$4:$D$356,J5,'Player Rankings'!$N$4:$N$356)+SUMIF('Player Rankings'!$D$4:$D$356,K5,'Player Rankings'!$N$4:$N$356)</x:f>
        <x:v>135.09947058823528</x:v>
      </x:c>
      <x:c r="M5" s="164" t="n">
        <x:f>SUMIF('Player Rankings'!$D$4:$D$356,B5,'Player Rankings'!$J$4:$J$356)+SUMIF('Player Rankings'!$D$4:$D$356,C5,'Player Rankings'!$J$4:$J$356)+SUMIF('Player Rankings'!$D$4:$D$356,D5,'Player Rankings'!$J$4:$J$356)+SUMIF('Player Rankings'!$D$4:$D$356,E5,'Player Rankings'!$J$4:$J$356)+SUMIF('Player Rankings'!$D$4:$D$356,F5,'Player Rankings'!$J$4:$J$356)+SUMIF('Player Rankings'!$D$4:$D$356,G5,'Player Rankings'!$J$4:$J$356)+SUMIF('Player Rankings'!$D$4:$D$356,H5,'Player Rankings'!$J$4:$J$356)+SUMIF('Player Rankings'!$D$4:$D$356,J5,'Player Rankings'!$J$4:$J$356)+SUMIF('Player Rankings'!$D$4:$D$356,K5,'Player Rankings'!$J$4:$J$356)</x:f>
        <x:v>115.94999999999999</x:v>
      </x:c>
      <x:c r="N5" s="165" t="n">
        <x:f>SUMIF('Player Rankings'!$D$4:$D$356,B5,'Player Rankings'!$I$4:$I$356)+SUMIF('Player Rankings'!$D$4:$D$356,C5,'Player Rankings'!$I$4:$I$356)+SUMIF('Player Rankings'!$D$4:$D$356,D5,'Player Rankings'!$I$4:$I$356)+SUMIF('Player Rankings'!$D$4:$D$356,E5,'Player Rankings'!$I$4:$I$356)+SUMIF('Player Rankings'!$D$4:$D$356,F5,'Player Rankings'!$I$4:$I$356)+SUMIF('Player Rankings'!$D$4:$D$356,G5,'Player Rankings'!$I$4:$I$356)+SUMIF('Player Rankings'!$D$4:$D$356,H5,'Player Rankings'!$I$4:$I$356)+SUMIF('Player Rankings'!$D$4:$D$356,J5,'Player Rankings'!$I$4:$I$356)+SUMIF('Player Rankings'!$D$4:$D$356,K5,'Player Rankings'!$I$4:$I$356)</x:f>
        <x:v>150.70000000000002</x:v>
      </x:c>
    </x:row>
    <x:row r="6">
      <x:c r="A6" s="162" t="n">
        <x:v>3</x:v>
      </x:c>
      <x:c r="B6" s="163" t="str">
        <x:v>Matthew Stafford</x:v>
      </x:c>
      <x:c r="C6" s="163" t="str">
        <x:v>Christian McCaffrey</x:v>
      </x:c>
      <x:c r="D6" s="163" t="str">
        <x:v>Bijan Robinson</x:v>
      </x:c>
      <x:c r="E6" s="163" t="str">
        <x:v>Jaxon Smith-Njigba</x:v>
      </x:c>
      <x:c r="F6" s="163" t="str">
        <x:v>Puka Nacua</x:v>
      </x:c>
      <x:c r="G6" s="163" t="str">
        <x:v>Trey McBride</x:v>
      </x:c>
      <x:c r="H6" s="163" t="str">
        <x:v>De'Von Achane</x:v>
      </x:c>
      <x:c r="I6" s="163" t="str">
        <x:v>RB</x:v>
      </x:c>
      <x:c r="J6" s="163" t="str">
        <x:v>Jason Myers</x:v>
      </x:c>
      <x:c r="K6" s="163" t="str">
        <x:v>Seahawks D/ST</x:v>
      </x:c>
      <x:c r="L6" s="164" t="n">
        <x:f>SUMIF('Player Rankings'!$D$4:$D$356,B6,'Player Rankings'!$N$4:$N$356)+SUMIF('Player Rankings'!$D$4:$D$356,C6,'Player Rankings'!$N$4:$N$356)+SUMIF('Player Rankings'!$D$4:$D$356,D6,'Player Rankings'!$N$4:$N$356)+SUMIF('Player Rankings'!$D$4:$D$356,E6,'Player Rankings'!$N$4:$N$356)+SUMIF('Player Rankings'!$D$4:$D$356,F6,'Player Rankings'!$N$4:$N$356)+SUMIF('Player Rankings'!$D$4:$D$356,G6,'Player Rankings'!$N$4:$N$356)+SUMIF('Player Rankings'!$D$4:$D$356,H6,'Player Rankings'!$N$4:$N$356)+SUMIF('Player Rankings'!$D$4:$D$356,J6,'Player Rankings'!$N$4:$N$356)+SUMIF('Player Rankings'!$D$4:$D$356,K6,'Player Rankings'!$N$4:$N$356)</x:f>
        <x:v>134.75264705882356</x:v>
      </x:c>
      <x:c r="M6" s="164" t="n">
        <x:f>SUMIF('Player Rankings'!$D$4:$D$356,B6,'Player Rankings'!$J$4:$J$356)+SUMIF('Player Rankings'!$D$4:$D$356,C6,'Player Rankings'!$J$4:$J$356)+SUMIF('Player Rankings'!$D$4:$D$356,D6,'Player Rankings'!$J$4:$J$356)+SUMIF('Player Rankings'!$D$4:$D$356,E6,'Player Rankings'!$J$4:$J$356)+SUMIF('Player Rankings'!$D$4:$D$356,F6,'Player Rankings'!$J$4:$J$356)+SUMIF('Player Rankings'!$D$4:$D$356,G6,'Player Rankings'!$J$4:$J$356)+SUMIF('Player Rankings'!$D$4:$D$356,H6,'Player Rankings'!$J$4:$J$356)+SUMIF('Player Rankings'!$D$4:$D$356,J6,'Player Rankings'!$J$4:$J$356)+SUMIF('Player Rankings'!$D$4:$D$356,K6,'Player Rankings'!$J$4:$J$356)</x:f>
        <x:v>112.69999999999999</x:v>
      </x:c>
      <x:c r="N6" s="165" t="n">
        <x:f>SUMIF('Player Rankings'!$D$4:$D$356,B6,'Player Rankings'!$I$4:$I$356)+SUMIF('Player Rankings'!$D$4:$D$356,C6,'Player Rankings'!$I$4:$I$356)+SUMIF('Player Rankings'!$D$4:$D$356,D6,'Player Rankings'!$I$4:$I$356)+SUMIF('Player Rankings'!$D$4:$D$356,E6,'Player Rankings'!$I$4:$I$356)+SUMIF('Player Rankings'!$D$4:$D$356,F6,'Player Rankings'!$I$4:$I$356)+SUMIF('Player Rankings'!$D$4:$D$356,G6,'Player Rankings'!$I$4:$I$356)+SUMIF('Player Rankings'!$D$4:$D$356,H6,'Player Rankings'!$I$4:$I$356)+SUMIF('Player Rankings'!$D$4:$D$356,J6,'Player Rankings'!$I$4:$I$356)+SUMIF('Player Rankings'!$D$4:$D$356,K6,'Player Rankings'!$I$4:$I$356)</x:f>
        <x:v>154.05</x:v>
      </x:c>
    </x:row>
    <x:row r="7">
      <x:c r="A7" s="162" t="n">
        <x:v>4</x:v>
      </x:c>
      <x:c r="B7" s="163" t="str">
        <x:v>Matthew Stafford</x:v>
      </x:c>
      <x:c r="C7" s="163" t="str">
        <x:v>Christian McCaffrey</x:v>
      </x:c>
      <x:c r="D7" s="163" t="str">
        <x:v>Bijan Robinson</x:v>
      </x:c>
      <x:c r="E7" s="163" t="str">
        <x:v>Jaxon Smith-Njigba</x:v>
      </x:c>
      <x:c r="F7" s="163" t="str">
        <x:v>Puka Nacua</x:v>
      </x:c>
      <x:c r="G7" s="163" t="str">
        <x:v>Trey McBride</x:v>
      </x:c>
      <x:c r="H7" s="163" t="str">
        <x:v>De'Von Achane</x:v>
      </x:c>
      <x:c r="I7" s="163" t="str">
        <x:v>RB</x:v>
      </x:c>
      <x:c r="J7" s="163" t="str">
        <x:v>Ka'imi Fairbairn</x:v>
      </x:c>
      <x:c r="K7" s="163" t="str">
        <x:v>Seahawks D/ST</x:v>
      </x:c>
      <x:c r="L7" s="164" t="n">
        <x:f>SUMIF('Player Rankings'!$D$4:$D$356,B7,'Player Rankings'!$N$4:$N$356)+SUMIF('Player Rankings'!$D$4:$D$356,C7,'Player Rankings'!$N$4:$N$356)+SUMIF('Player Rankings'!$D$4:$D$356,D7,'Player Rankings'!$N$4:$N$356)+SUMIF('Player Rankings'!$D$4:$D$356,E7,'Player Rankings'!$N$4:$N$356)+SUMIF('Player Rankings'!$D$4:$D$356,F7,'Player Rankings'!$N$4:$N$356)+SUMIF('Player Rankings'!$D$4:$D$356,G7,'Player Rankings'!$N$4:$N$356)+SUMIF('Player Rankings'!$D$4:$D$356,H7,'Player Rankings'!$N$4:$N$356)+SUMIF('Player Rankings'!$D$4:$D$356,J7,'Player Rankings'!$N$4:$N$356)+SUMIF('Player Rankings'!$D$4:$D$356,K7,'Player Rankings'!$N$4:$N$356)</x:f>
        <x:v>134.68205882352942</x:v>
      </x:c>
      <x:c r="M7" s="164" t="n">
        <x:f>SUMIF('Player Rankings'!$D$4:$D$356,B7,'Player Rankings'!$J$4:$J$356)+SUMIF('Player Rankings'!$D$4:$D$356,C7,'Player Rankings'!$J$4:$J$356)+SUMIF('Player Rankings'!$D$4:$D$356,D7,'Player Rankings'!$J$4:$J$356)+SUMIF('Player Rankings'!$D$4:$D$356,E7,'Player Rankings'!$J$4:$J$356)+SUMIF('Player Rankings'!$D$4:$D$356,F7,'Player Rankings'!$J$4:$J$356)+SUMIF('Player Rankings'!$D$4:$D$356,G7,'Player Rankings'!$J$4:$J$356)+SUMIF('Player Rankings'!$D$4:$D$356,H7,'Player Rankings'!$J$4:$J$356)+SUMIF('Player Rankings'!$D$4:$D$356,J7,'Player Rankings'!$J$4:$J$356)+SUMIF('Player Rankings'!$D$4:$D$356,K7,'Player Rankings'!$J$4:$J$356)</x:f>
        <x:v>112.69999999999999</x:v>
      </x:c>
      <x:c r="N7" s="165" t="n">
        <x:f>SUMIF('Player Rankings'!$D$4:$D$356,B7,'Player Rankings'!$I$4:$I$356)+SUMIF('Player Rankings'!$D$4:$D$356,C7,'Player Rankings'!$I$4:$I$356)+SUMIF('Player Rankings'!$D$4:$D$356,D7,'Player Rankings'!$I$4:$I$356)+SUMIF('Player Rankings'!$D$4:$D$356,E7,'Player Rankings'!$I$4:$I$356)+SUMIF('Player Rankings'!$D$4:$D$356,F7,'Player Rankings'!$I$4:$I$356)+SUMIF('Player Rankings'!$D$4:$D$356,G7,'Player Rankings'!$I$4:$I$356)+SUMIF('Player Rankings'!$D$4:$D$356,H7,'Player Rankings'!$I$4:$I$356)+SUMIF('Player Rankings'!$D$4:$D$356,J7,'Player Rankings'!$I$4:$I$356)+SUMIF('Player Rankings'!$D$4:$D$356,K7,'Player Rankings'!$I$4:$I$356)</x:f>
        <x:v>154.05</x:v>
      </x:c>
    </x:row>
    <x:row r="8">
      <x:c r="A8" s="162" t="n">
        <x:v>5</x:v>
      </x:c>
      <x:c r="B8" s="163" t="str">
        <x:v>Drake Maye</x:v>
      </x:c>
      <x:c r="C8" s="163" t="str">
        <x:v>Christian McCaffrey</x:v>
      </x:c>
      <x:c r="D8" s="163" t="str">
        <x:v>Bijan Robinson</x:v>
      </x:c>
      <x:c r="E8" s="163" t="str">
        <x:v>Jaxon Smith-Njigba</x:v>
      </x:c>
      <x:c r="F8" s="163" t="str">
        <x:v>Puka Nacua</x:v>
      </x:c>
      <x:c r="G8" s="163" t="str">
        <x:v>Trey McBride</x:v>
      </x:c>
      <x:c r="H8" s="163" t="str">
        <x:v>Jonathan Taylor</x:v>
      </x:c>
      <x:c r="I8" s="163" t="str">
        <x:v>RB</x:v>
      </x:c>
      <x:c r="J8" s="163" t="str">
        <x:v>Jason Myers</x:v>
      </x:c>
      <x:c r="K8" s="163" t="str">
        <x:v>Seahawks D/ST</x:v>
      </x:c>
      <x:c r="L8" s="164" t="n">
        <x:f>SUMIF('Player Rankings'!$D$4:$D$356,B8,'Player Rankings'!$N$4:$N$356)+SUMIF('Player Rankings'!$D$4:$D$356,C8,'Player Rankings'!$N$4:$N$356)+SUMIF('Player Rankings'!$D$4:$D$356,D8,'Player Rankings'!$N$4:$N$356)+SUMIF('Player Rankings'!$D$4:$D$356,E8,'Player Rankings'!$N$4:$N$356)+SUMIF('Player Rankings'!$D$4:$D$356,F8,'Player Rankings'!$N$4:$N$356)+SUMIF('Player Rankings'!$D$4:$D$356,G8,'Player Rankings'!$N$4:$N$356)+SUMIF('Player Rankings'!$D$4:$D$356,H8,'Player Rankings'!$N$4:$N$356)+SUMIF('Player Rankings'!$D$4:$D$356,J8,'Player Rankings'!$N$4:$N$356)+SUMIF('Player Rankings'!$D$4:$D$356,K8,'Player Rankings'!$N$4:$N$356)</x:f>
        <x:v>134.44829411764707</x:v>
      </x:c>
      <x:c r="M8" s="164" t="n">
        <x:f>SUMIF('Player Rankings'!$D$4:$D$356,B8,'Player Rankings'!$J$4:$J$356)+SUMIF('Player Rankings'!$D$4:$D$356,C8,'Player Rankings'!$J$4:$J$356)+SUMIF('Player Rankings'!$D$4:$D$356,D8,'Player Rankings'!$J$4:$J$356)+SUMIF('Player Rankings'!$D$4:$D$356,E8,'Player Rankings'!$J$4:$J$356)+SUMIF('Player Rankings'!$D$4:$D$356,F8,'Player Rankings'!$J$4:$J$356)+SUMIF('Player Rankings'!$D$4:$D$356,G8,'Player Rankings'!$J$4:$J$356)+SUMIF('Player Rankings'!$D$4:$D$356,H8,'Player Rankings'!$J$4:$J$356)+SUMIF('Player Rankings'!$D$4:$D$356,J8,'Player Rankings'!$J$4:$J$356)+SUMIF('Player Rankings'!$D$4:$D$356,K8,'Player Rankings'!$J$4:$J$356)</x:f>
        <x:v>113.75</x:v>
      </x:c>
      <x:c r="N8" s="165" t="n">
        <x:f>SUMIF('Player Rankings'!$D$4:$D$356,B8,'Player Rankings'!$I$4:$I$356)+SUMIF('Player Rankings'!$D$4:$D$356,C8,'Player Rankings'!$I$4:$I$356)+SUMIF('Player Rankings'!$D$4:$D$356,D8,'Player Rankings'!$I$4:$I$356)+SUMIF('Player Rankings'!$D$4:$D$356,E8,'Player Rankings'!$I$4:$I$356)+SUMIF('Player Rankings'!$D$4:$D$356,F8,'Player Rankings'!$I$4:$I$356)+SUMIF('Player Rankings'!$D$4:$D$356,G8,'Player Rankings'!$I$4:$I$356)+SUMIF('Player Rankings'!$D$4:$D$356,H8,'Player Rankings'!$I$4:$I$356)+SUMIF('Player Rankings'!$D$4:$D$356,J8,'Player Rankings'!$I$4:$I$356)+SUMIF('Player Rankings'!$D$4:$D$356,K8,'Player Rankings'!$I$4:$I$356)</x:f>
        <x:v>150</x:v>
      </x:c>
    </x:row>
    <x:row r="9">
      <x:c r="A9" s="166" t="n">
        <x:v>6</x:v>
      </x:c>
      <x:c r="B9" s="167" t="str">
        <x:v>Drake Maye</x:v>
      </x:c>
      <x:c r="C9" s="167" t="str">
        <x:v>Christian McCaffrey</x:v>
      </x:c>
      <x:c r="D9" s="167" t="str">
        <x:v>Bijan Robinson</x:v>
      </x:c>
      <x:c r="E9" s="167" t="str">
        <x:v>Jaxon Smith-Njigba</x:v>
      </x:c>
      <x:c r="F9" s="167" t="str">
        <x:v>Puka Nacua</x:v>
      </x:c>
      <x:c r="G9" s="167" t="str">
        <x:v>Trey McBride</x:v>
      </x:c>
      <x:c r="H9" s="167" t="str">
        <x:v>De'Von Achane</x:v>
      </x:c>
      <x:c r="I9" s="167" t="str">
        <x:v>RB</x:v>
      </x:c>
      <x:c r="J9" s="167" t="str">
        <x:v>Will Reichard</x:v>
      </x:c>
      <x:c r="K9" s="167" t="str">
        <x:v>Seahawks D/ST</x:v>
      </x:c>
      <x:c r="L9" s="168" t="n">
        <x:f>SUMIF('Player Rankings'!$D$4:$D$356,B9,'Player Rankings'!$N$4:$N$356)+SUMIF('Player Rankings'!$D$4:$D$356,C9,'Player Rankings'!$N$4:$N$356)+SUMIF('Player Rankings'!$D$4:$D$356,D9,'Player Rankings'!$N$4:$N$356)+SUMIF('Player Rankings'!$D$4:$D$356,E9,'Player Rankings'!$N$4:$N$356)+SUMIF('Player Rankings'!$D$4:$D$356,F9,'Player Rankings'!$N$4:$N$356)+SUMIF('Player Rankings'!$D$4:$D$356,G9,'Player Rankings'!$N$4:$N$356)+SUMIF('Player Rankings'!$D$4:$D$356,H9,'Player Rankings'!$N$4:$N$356)+SUMIF('Player Rankings'!$D$4:$D$356,J9,'Player Rankings'!$N$4:$N$356)+SUMIF('Player Rankings'!$D$4:$D$356,K9,'Player Rankings'!$N$4:$N$356)</x:f>
        <x:v>134.38770588235292</x:v>
      </x:c>
      <x:c r="M9" s="168" t="n">
        <x:f>SUMIF('Player Rankings'!$D$4:$D$356,B9,'Player Rankings'!$J$4:$J$356)+SUMIF('Player Rankings'!$D$4:$D$356,C9,'Player Rankings'!$J$4:$J$356)+SUMIF('Player Rankings'!$D$4:$D$356,D9,'Player Rankings'!$J$4:$J$356)+SUMIF('Player Rankings'!$D$4:$D$356,E9,'Player Rankings'!$J$4:$J$356)+SUMIF('Player Rankings'!$D$4:$D$356,F9,'Player Rankings'!$J$4:$J$356)+SUMIF('Player Rankings'!$D$4:$D$356,G9,'Player Rankings'!$J$4:$J$356)+SUMIF('Player Rankings'!$D$4:$D$356,H9,'Player Rankings'!$J$4:$J$356)+SUMIF('Player Rankings'!$D$4:$D$356,J9,'Player Rankings'!$J$4:$J$356)+SUMIF('Player Rankings'!$D$4:$D$356,K9,'Player Rankings'!$J$4:$J$356)</x:f>
        <x:v>115.94999999999999</x:v>
      </x:c>
      <x:c r="N9" s="169" t="n">
        <x:f>SUMIF('Player Rankings'!$D$4:$D$356,B9,'Player Rankings'!$I$4:$I$356)+SUMIF('Player Rankings'!$D$4:$D$356,C9,'Player Rankings'!$I$4:$I$356)+SUMIF('Player Rankings'!$D$4:$D$356,D9,'Player Rankings'!$I$4:$I$356)+SUMIF('Player Rankings'!$D$4:$D$356,E9,'Player Rankings'!$I$4:$I$356)+SUMIF('Player Rankings'!$D$4:$D$356,F9,'Player Rankings'!$I$4:$I$356)+SUMIF('Player Rankings'!$D$4:$D$356,G9,'Player Rankings'!$I$4:$I$356)+SUMIF('Player Rankings'!$D$4:$D$356,H9,'Player Rankings'!$I$4:$I$356)+SUMIF('Player Rankings'!$D$4:$D$356,J9,'Player Rankings'!$I$4:$I$356)+SUMIF('Player Rankings'!$D$4:$D$356,K9,'Player Rankings'!$I$4:$I$356)</x:f>
        <x:v>149.70000000000002</x:v>
      </x:c>
    </x:row>
    <x:row r="11" ht="30" customHeight="1">
      <x:c r="A11" s="171" t="str">
        <x:v>Lineup Value = 50% Weekly Floor + 30% Median + 20% Average, summed across all nine starters. The six rows use distinct player sets; retrospective results do not account for draft cost or 2026 availability.</x:v>
      </x:c>
      <x:c r="B11" s="171" t="str">
        <x:v>Lineup Value = 50% Weekly Floor + 30% Median + 20% Average, summed across all nine starters. The six rows use distinct player sets; retrospective results do not account for draft cost or 2026 availability.</x:v>
      </x:c>
      <x:c r="C11" s="171" t="str">
        <x:v>Lineup Value = 50% Weekly Floor + 30% Median + 20% Average, summed across all nine starters. The six rows use distinct player sets; retrospective results do not account for draft cost or 2026 availability.</x:v>
      </x:c>
      <x:c r="D11" s="171" t="str">
        <x:v>Lineup Value = 50% Weekly Floor + 30% Median + 20% Average, summed across all nine starters. The six rows use distinct player sets; retrospective results do not account for draft cost or 2026 availability.</x:v>
      </x:c>
      <x:c r="E11" s="171" t="str">
        <x:v>Lineup Value = 50% Weekly Floor + 30% Median + 20% Average, summed across all nine starters. The six rows use distinct player sets; retrospective results do not account for draft cost or 2026 availability.</x:v>
      </x:c>
      <x:c r="F11" s="171" t="str">
        <x:v>Lineup Value = 50% Weekly Floor + 30% Median + 20% Average, summed across all nine starters. The six rows use distinct player sets; retrospective results do not account for draft cost or 2026 availability.</x:v>
      </x:c>
      <x:c r="G11" s="171" t="str">
        <x:v>Lineup Value = 50% Weekly Floor + 30% Median + 20% Average, summed across all nine starters. The six rows use distinct player sets; retrospective results do not account for draft cost or 2026 availability.</x:v>
      </x:c>
      <x:c r="H11" s="171" t="str">
        <x:v>Lineup Value = 50% Weekly Floor + 30% Median + 20% Average, summed across all nine starters. The six rows use distinct player sets; retrospective results do not account for draft cost or 2026 availability.</x:v>
      </x:c>
      <x:c r="I11" s="171" t="str">
        <x:v>Lineup Value = 50% Weekly Floor + 30% Median + 20% Average, summed across all nine starters. The six rows use distinct player sets; retrospective results do not account for draft cost or 2026 availability.</x:v>
      </x:c>
      <x:c r="J11" s="171" t="str">
        <x:v>Lineup Value = 50% Weekly Floor + 30% Median + 20% Average, summed across all nine starters. The six rows use distinct player sets; retrospective results do not account for draft cost or 2026 availability.</x:v>
      </x:c>
      <x:c r="K11" s="171" t="str">
        <x:v>Lineup Value = 50% Weekly Floor + 30% Median + 20% Average, summed across all nine starters. The six rows use distinct player sets; retrospective results do not account for draft cost or 2026 availability.</x:v>
      </x:c>
      <x:c r="L11" s="171" t="str">
        <x:v>Lineup Value = 50% Weekly Floor + 30% Median + 20% Average, summed across all nine starters. The six rows use distinct player sets; retrospective results do not account for draft cost or 2026 availability.</x:v>
      </x:c>
      <x:c r="M11" s="171" t="str">
        <x:v>Lineup Value = 50% Weekly Floor + 30% Median + 20% Average, summed across all nine starters. The six rows use distinct player sets; retrospective results do not account for draft cost or 2026 availability.</x:v>
      </x:c>
      <x:c r="N11" s="171" t="str">
        <x:v>Lineup Value = 50% Weekly Floor + 30% Median + 20% Average, summed across all nine starters. The six rows use distinct player sets; retrospective results do not account for draft cost or 2026 availability.</x:v>
      </x:c>
    </x:row>
  </x:sheetData>
  <x:mergeCells>
    <x:mergeCell ref="A1:N1"/>
    <x:mergeCell ref="A2:N2"/>
    <x:mergeCell ref="A11:N11"/>
  </x:mergeCells>
  <x:conditionalFormatting sqref="L4:L9">
    <x:cfRule type="dataBar" priority="1">
      <x:dataBar>
        <x:cfvo type="min"/>
        <x:cfvo type="max"/>
        <x:color rgb="FF1B7F5A"/>
      </x:dataBar>
      <x:extLst>
        <x:ext xmlns:x14="http://schemas.microsoft.com/office/spreadsheetml/2009/9/main" uri="{B025F937-C7B1-47D3-B67F-A62EFF666E3E}">
          <x14:id>{E7782013-DA4D-B9FF-2066-F873BE8A9194}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af4d534437149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7782013-DA4D-B9FF-2066-F873BE8A9194}">
            <x14:dataBar gradient="1">
              <x14:cfvo type="min"/>
              <x14:cfvo type="max"/>
              <x14:fillColor rgb="FF1B7F5A"/>
            </x14:dataBar>
          </x14:cfRule>
          <xm:sqref>L4:L9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25" hidden="0" customWidth="1"/>
    <x:col min="5" max="5" width="14" hidden="0" customWidth="1"/>
    <x:col min="6" max="6" width="16" hidden="0" customWidth="1"/>
    <x:col min="7" max="7" width="12" hidden="0" customWidth="1"/>
    <x:col min="8" max="8" width="10" hidden="0" customWidth="1"/>
    <x:col min="9" max="9" width="10" hidden="0" customWidth="1"/>
    <x:col min="10" max="10" width="14" hidden="0" customWidth="1"/>
    <x:col min="11" max="11" width="10" hidden="0" customWidth="1"/>
    <x:col min="12" max="12" width="10" hidden="0" customWidth="1"/>
    <x:col min="13" max="13" width="11" hidden="0" customWidth="1"/>
    <x:col min="14" max="14" width="12" hidden="0" customWidth="1"/>
    <x:col min="15" max="15" width="10" hidden="0" customWidth="1"/>
    <x:col min="16" max="16" width="7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34" hidden="0" customWidth="1"/>
  </x:cols>
  <x:sheetData>
    <x:row r="1" ht="32" customHeight="1">
      <x:c r="A1" s="3" t="str">
        <x:v>Player Consistency Rankings and Sortable Season Data</x:v>
      </x:c>
      <x:c r="B1" s="3" t="str">
        <x:v>Player Consistency Rankings and Sortable Season Data</x:v>
      </x:c>
      <x:c r="C1" s="3" t="str">
        <x:v>Player Consistency Rankings and Sortable Season Data</x:v>
      </x:c>
      <x:c r="D1" s="3" t="str">
        <x:v>Player Consistency Rankings and Sortable Season Data</x:v>
      </x:c>
      <x:c r="E1" s="3" t="str">
        <x:v>Player Consistency Rankings and Sortable Season Data</x:v>
      </x:c>
      <x:c r="F1" s="3" t="str">
        <x:v>Player Consistency Rankings and Sortable Season Data</x:v>
      </x:c>
      <x:c r="G1" s="3" t="str">
        <x:v>Player Consistency Rankings and Sortable Season Data</x:v>
      </x:c>
      <x:c r="H1" s="3" t="str">
        <x:v>Player Consistency Rankings and Sortable Season Data</x:v>
      </x:c>
      <x:c r="I1" s="3" t="str">
        <x:v>Player Consistency Rankings and Sortable Season Data</x:v>
      </x:c>
      <x:c r="J1" s="3" t="str">
        <x:v>Player Consistency Rankings and Sortable Season Data</x:v>
      </x:c>
      <x:c r="K1" s="3" t="str">
        <x:v>Player Consistency Rankings and Sortable Season Data</x:v>
      </x:c>
      <x:c r="L1" s="3" t="str">
        <x:v>Player Consistency Rankings and Sortable Season Data</x:v>
      </x:c>
      <x:c r="M1" s="3" t="str">
        <x:v>Player Consistency Rankings and Sortable Season Data</x:v>
      </x:c>
      <x:c r="N1" s="3" t="str">
        <x:v>Player Consistency Rankings and Sortable Season Data</x:v>
      </x:c>
      <x:c r="O1" s="3" t="str">
        <x:v>Player Consistency Rankings and Sortable Season Data</x:v>
      </x:c>
      <x:c r="P1" s="3" t="str">
        <x:v>Player Consistency Rankings and Sortable Season Data</x:v>
      </x:c>
      <x:c r="Q1" s="3" t="str">
        <x:v>Player Consistency Rankings and Sortable Season Data</x:v>
      </x:c>
      <x:c r="R1" s="3" t="str">
        <x:v>Player Consistency Rankings and Sortable Season Data</x:v>
      </x:c>
      <x:c r="S1" s="3" t="str">
        <x:v>Player Consistency Rankings and Sortable Season Data</x:v>
      </x:c>
      <x:c r="T1" s="3" t="str">
        <x:v>Player Consistency Rankings and Sortable Season Data</x:v>
      </x:c>
      <x:c r="U1" s="3" t="str">
        <x:v>Player Consistency Rankings and Sortable Season Data</x:v>
      </x:c>
      <x:c r="V1" s="3" t="str">
        <x:v>Player Consistency Rankings and Sortable Season Data</x:v>
      </x:c>
      <x:c r="W1" s="3" t="str">
        <x:v>Player Consistency Rankings and Sortable Season Data</x:v>
      </x:c>
    </x:row>
    <x:row r="2" ht="30" customHeight="1">
      <x:c r="A2" s="7" t="str">
        <x:v>Sort or filter by position, consistency rank, CAR, TAR, individual TD type, or Total TD. Weekly-derived metrics are formulas linked to Weekly Points.</x:v>
      </x:c>
      <x:c r="B2" s="7" t="str">
        <x:v>Sort or filter by position, consistency rank, CAR, TAR, individual TD type, or Total TD. Weekly-derived metrics are formulas linked to Weekly Points.</x:v>
      </x:c>
      <x:c r="C2" s="7" t="str">
        <x:v>Sort or filter by position, consistency rank, CAR, TAR, individual TD type, or Total TD. Weekly-derived metrics are formulas linked to Weekly Points.</x:v>
      </x:c>
      <x:c r="D2" s="7" t="str">
        <x:v>Sort or filter by position, consistency rank, CAR, TAR, individual TD type, or Total TD. Weekly-derived metrics are formulas linked to Weekly Points.</x:v>
      </x:c>
      <x:c r="E2" s="7" t="str">
        <x:v>Sort or filter by position, consistency rank, CAR, TAR, individual TD type, or Total TD. Weekly-derived metrics are formulas linked to Weekly Points.</x:v>
      </x:c>
      <x:c r="F2" s="7" t="str">
        <x:v>Sort or filter by position, consistency rank, CAR, TAR, individual TD type, or Total TD. Weekly-derived metrics are formulas linked to Weekly Points.</x:v>
      </x:c>
      <x:c r="G2" s="7" t="str">
        <x:v>Sort or filter by position, consistency rank, CAR, TAR, individual TD type, or Total TD. Weekly-derived metrics are formulas linked to Weekly Points.</x:v>
      </x:c>
      <x:c r="H2" s="7" t="str">
        <x:v>Sort or filter by position, consistency rank, CAR, TAR, individual TD type, or Total TD. Weekly-derived metrics are formulas linked to Weekly Points.</x:v>
      </x:c>
      <x:c r="I2" s="7" t="str">
        <x:v>Sort or filter by position, consistency rank, CAR, TAR, individual TD type, or Total TD. Weekly-derived metrics are formulas linked to Weekly Points.</x:v>
      </x:c>
      <x:c r="J2" s="7" t="str">
        <x:v>Sort or filter by position, consistency rank, CAR, TAR, individual TD type, or Total TD. Weekly-derived metrics are formulas linked to Weekly Points.</x:v>
      </x:c>
      <x:c r="K2" s="7" t="str">
        <x:v>Sort or filter by position, consistency rank, CAR, TAR, individual TD type, or Total TD. Weekly-derived metrics are formulas linked to Weekly Points.</x:v>
      </x:c>
      <x:c r="L2" s="7" t="str">
        <x:v>Sort or filter by position, consistency rank, CAR, TAR, individual TD type, or Total TD. Weekly-derived metrics are formulas linked to Weekly Points.</x:v>
      </x:c>
      <x:c r="M2" s="7" t="str">
        <x:v>Sort or filter by position, consistency rank, CAR, TAR, individual TD type, or Total TD. Weekly-derived metrics are formulas linked to Weekly Points.</x:v>
      </x:c>
      <x:c r="N2" s="7" t="str">
        <x:v>Sort or filter by position, consistency rank, CAR, TAR, individual TD type, or Total TD. Weekly-derived metrics are formulas linked to Weekly Points.</x:v>
      </x:c>
      <x:c r="O2" s="7" t="str">
        <x:v>Sort or filter by position, consistency rank, CAR, TAR, individual TD type, or Total TD. Weekly-derived metrics are formulas linked to Weekly Points.</x:v>
      </x:c>
      <x:c r="P2" s="7" t="str">
        <x:v>Sort or filter by position, consistency rank, CAR, TAR, individual TD type, or Total TD. Weekly-derived metrics are formulas linked to Weekly Points.</x:v>
      </x:c>
      <x:c r="Q2" s="7" t="str">
        <x:v>Sort or filter by position, consistency rank, CAR, TAR, individual TD type, or Total TD. Weekly-derived metrics are formulas linked to Weekly Points.</x:v>
      </x:c>
      <x:c r="R2" s="7" t="str">
        <x:v>Sort or filter by position, consistency rank, CAR, TAR, individual TD type, or Total TD. Weekly-derived metrics are formulas linked to Weekly Points.</x:v>
      </x:c>
      <x:c r="S2" s="7" t="str">
        <x:v>Sort or filter by position, consistency rank, CAR, TAR, individual TD type, or Total TD. Weekly-derived metrics are formulas linked to Weekly Points.</x:v>
      </x:c>
      <x:c r="T2" s="7" t="str">
        <x:v>Sort or filter by position, consistency rank, CAR, TAR, individual TD type, or Total TD. Weekly-derived metrics are formulas linked to Weekly Points.</x:v>
      </x:c>
      <x:c r="U2" s="7" t="str">
        <x:v>Sort or filter by position, consistency rank, CAR, TAR, individual TD type, or Total TD. Weekly-derived metrics are formulas linked to Weekly Points.</x:v>
      </x:c>
      <x:c r="V2" s="7" t="str">
        <x:v>Sort or filter by position, consistency rank, CAR, TAR, individual TD type, or Total TD. Weekly-derived metrics are formulas linked to Weekly Points.</x:v>
      </x:c>
      <x:c r="W2" s="7" t="str">
        <x:v>Sort or filter by position, consistency rank, CAR, TAR, individual TD type, or Total TD. Weekly-derived metrics are formulas linked to Weekly Points.</x:v>
      </x:c>
    </x:row>
    <x:row r="3" ht="30" customHeight="1">
      <x:c r="A3" s="75" t="str">
        <x:v>Position</x:v>
      </x:c>
      <x:c r="B3" s="76" t="str">
        <x:v>Consistency Rank</x:v>
      </x:c>
      <x:c r="C3" s="76" t="str">
        <x:v>ESPN FPts Rank</x:v>
      </x:c>
      <x:c r="D3" s="76" t="str">
        <x:v>Player</x:v>
      </x:c>
      <x:c r="E3" s="76" t="str">
        <x:v>Team (2025)</x:v>
      </x:c>
      <x:c r="F3" s="76" t="str">
        <x:v>ESPN Team (Current)</x:v>
      </x:c>
      <x:c r="G3" s="76" t="str">
        <x:v>Total FPTS</x:v>
      </x:c>
      <x:c r="H3" s="76" t="str">
        <x:v>Average</x:v>
      </x:c>
      <x:c r="I3" s="76" t="str">
        <x:v>Median</x:v>
      </x:c>
      <x:c r="J3" s="76" t="str">
        <x:v>Weekly Floor (P25)</x:v>
      </x:c>
      <x:c r="K3" s="76" t="str">
        <x:v>StDev</x:v>
      </x:c>
      <x:c r="L3" s="76" t="str">
        <x:v>CV</x:v>
      </x:c>
      <x:c r="M3" s="76" t="str">
        <x:v>Bust Rate</x:v>
      </x:c>
      <x:c r="N3" s="76" t="str">
        <x:v>Lineup Value</x:v>
      </x:c>
      <x:c r="O3" s="76" t="str">
        <x:v>Weeks &gt;0</x:v>
      </x:c>
      <x:c r="P3" s="76" t="str">
        <x:v>Bye</x:v>
      </x:c>
      <x:c r="Q3" s="76" t="str">
        <x:v>CAR</x:v>
      </x:c>
      <x:c r="R3" s="76" t="str">
        <x:v>TAR</x:v>
      </x:c>
      <x:c r="S3" s="76" t="str">
        <x:v>Rush TD</x:v>
      </x:c>
      <x:c r="T3" s="76" t="str">
        <x:v>Rec TD</x:v>
      </x:c>
      <x:c r="U3" s="76" t="str">
        <x:v>Misc TD</x:v>
      </x:c>
      <x:c r="V3" s="76" t="str">
        <x:v>Total TD</x:v>
      </x:c>
      <x:c r="W3" s="77" t="str">
        <x:v>Source URL</x:v>
      </x:c>
    </x:row>
    <x:row r="4">
      <x:c r="A4" s="108" t="str">
        <x:v>QB</x:v>
      </x:c>
      <x:c r="B4" s="175" t="n">
        <x:f>1+COUNTIFS($A$4:$A$356,A4,$J$4:$J$356,"&gt;"&amp;J4)</x:f>
        <x:v>1</x:v>
      </x:c>
      <x:c r="C4" s="175" t="n">
        <x:v>3</x:v>
      </x:c>
      <x:c r="D4" s="108" t="str">
        <x:v>Drake Maye</x:v>
      </x:c>
      <x:c r="E4" s="108" t="str">
        <x:v>NE</x:v>
      </x:c>
      <x:c r="F4" s="108" t="str">
        <x:v>NE</x:v>
      </x:c>
      <x:c r="G4" s="109" t="n">
        <x:v>372.73</x:v>
      </x:c>
      <x:c r="H4" s="109" t="n">
        <x:f>'Weekly Points'!W4</x:f>
        <x:v>21.925294117647056</x:v>
      </x:c>
      <x:c r="I4" s="109" t="n">
        <x:f>'Weekly Points'!X4</x:f>
        <x:v>21.8</x:v>
      </x:c>
      <x:c r="J4" s="109" t="n">
        <x:f>'Weekly Points'!Y4</x:f>
        <x:v>17.75</x:v>
      </x:c>
      <x:c r="K4" s="109" t="n">
        <x:f>'Weekly Points'!Z4</x:f>
        <x:v>5.512520633705077</x:v>
      </x:c>
      <x:c r="L4" s="173" t="n">
        <x:f>'Weekly Points'!AA4</x:f>
        <x:v>0.2514228819064372</x:v>
      </x:c>
      <x:c r="M4" s="173" t="n">
        <x:f>'Weekly Points'!AB4</x:f>
        <x:v>0</x:v>
      </x:c>
      <x:c r="N4" s="109" t="n">
        <x:f>0.5*J4+0.3*I4+0.2*H4</x:f>
        <x:v>19.80005882352941</x:v>
      </x:c>
      <x:c r="O4" s="175" t="n">
        <x:v>17</x:v>
      </x:c>
      <x:c r="P4" s="175" t="n">
        <x:v>14</x:v>
      </x:c>
      <x:c r="Q4" s="175" t="n">
        <x:v>103</x:v>
      </x:c>
      <x:c r="R4" s="175" t="n">
        <x:v>1</x:v>
      </x:c>
      <x:c r="S4" s="175" t="n">
        <x:v>4</x:v>
      </x:c>
      <x:c r="T4" s="175" t="n">
        <x:v>0</x:v>
      </x:c>
      <x:c r="U4" s="175" t="n">
        <x:v>0</x:v>
      </x:c>
      <x:c r="V4" s="175" t="n">
        <x:f>SUM(S4:U4)</x:f>
        <x:v>4</x:v>
      </x:c>
      <x:c r="W4" s="108" t="str">
        <x:v>https://fantasy.espn.com/football/leaders?leagueId=555583&amp;lineupSlot=0&amp;scoringPeriodId=0&amp;statSplit=lastSeason</x:v>
      </x:c>
    </x:row>
    <x:row r="5">
      <x:c r="A5" s="108" t="str">
        <x:v>QB</x:v>
      </x:c>
      <x:c r="B5" s="175" t="n">
        <x:f>1+COUNTIFS($A$4:$A$356,A5,$J$4:$J$356,"&gt;"&amp;J5)</x:f>
        <x:v>2</x:v>
      </x:c>
      <x:c r="C5" s="175" t="n">
        <x:v>4</x:v>
      </x:c>
      <x:c r="D5" s="108" t="str">
        <x:v>Trevor Lawrence</x:v>
      </x:c>
      <x:c r="E5" s="108" t="str">
        <x:v>JAX</x:v>
      </x:c>
      <x:c r="F5" s="108" t="str">
        <x:v>JAX</x:v>
      </x:c>
      <x:c r="G5" s="109" t="n">
        <x:v>358.75</x:v>
      </x:c>
      <x:c r="H5" s="109" t="n">
        <x:f>'Weekly Points'!W5</x:f>
        <x:v>21.102941176470587</x:v>
      </x:c>
      <x:c r="I5" s="109" t="n">
        <x:f>'Weekly Points'!X5</x:f>
        <x:v>20.95</x:v>
      </x:c>
      <x:c r="J5" s="109" t="n">
        <x:f>'Weekly Points'!Y5</x:f>
        <x:v>16.55</x:v>
      </x:c>
      <x:c r="K5" s="109" t="n">
        <x:f>'Weekly Points'!Z5</x:f>
        <x:v>9.354135143916697</x:v>
      </x:c>
      <x:c r="L5" s="173" t="n">
        <x:f>'Weekly Points'!AA5</x:f>
        <x:v>0.44326215316120937</x:v>
      </x:c>
      <x:c r="M5" s="173" t="n">
        <x:f>'Weekly Points'!AB5</x:f>
        <x:v>0.11764705882352941</x:v>
      </x:c>
      <x:c r="N5" s="109" t="n">
        <x:f>0.5*J5+0.3*I5+0.2*H5</x:f>
        <x:v>18.78058823529412</x:v>
      </x:c>
      <x:c r="O5" s="175" t="n">
        <x:v>17</x:v>
      </x:c>
      <x:c r="P5" s="175" t="n">
        <x:v>8</x:v>
      </x:c>
      <x:c r="Q5" s="175" t="n">
        <x:v>82</x:v>
      </x:c>
      <x:c r="R5" s="175" t="n">
        <x:v>0</x:v>
      </x:c>
      <x:c r="S5" s="175" t="n">
        <x:v>9</x:v>
      </x:c>
      <x:c r="T5" s="175" t="n">
        <x:v>0</x:v>
      </x:c>
      <x:c r="U5" s="175" t="n">
        <x:v>0</x:v>
      </x:c>
      <x:c r="V5" s="175" t="n">
        <x:f>SUM(S5:U5)</x:f>
        <x:v>9</x:v>
      </x:c>
      <x:c r="W5" s="108" t="str">
        <x:v>https://fantasy.espn.com/football/leaders?leagueId=555583&amp;lineupSlot=0&amp;scoringPeriodId=0&amp;statSplit=lastSeason</x:v>
      </x:c>
    </x:row>
    <x:row r="6">
      <x:c r="A6" s="108" t="str">
        <x:v>QB</x:v>
      </x:c>
      <x:c r="B6" s="175" t="n">
        <x:f>1+COUNTIFS($A$4:$A$356,A6,$J$4:$J$356,"&gt;"&amp;J6)</x:f>
        <x:v>3</x:v>
      </x:c>
      <x:c r="C6" s="175" t="n">
        <x:v>7</x:v>
      </x:c>
      <x:c r="D6" s="108" t="str">
        <x:v>Bo Nix</x:v>
      </x:c>
      <x:c r="E6" s="108" t="str">
        <x:v>DEN</x:v>
      </x:c>
      <x:c r="F6" s="108" t="str">
        <x:v>DEN</x:v>
      </x:c>
      <x:c r="G6" s="109" t="n">
        <x:v>331.47</x:v>
      </x:c>
      <x:c r="H6" s="109" t="n">
        <x:f>'Weekly Points'!W6</x:f>
        <x:v>19.49823529411765</x:v>
      </x:c>
      <x:c r="I6" s="109" t="n">
        <x:f>'Weekly Points'!X6</x:f>
        <x:v>18.63</x:v>
      </x:c>
      <x:c r="J6" s="109" t="n">
        <x:f>'Weekly Points'!Y6</x:f>
        <x:v>14.6</x:v>
      </x:c>
      <x:c r="K6" s="109" t="n">
        <x:f>'Weekly Points'!Z6</x:f>
        <x:v>8.317217602691361</x:v>
      </x:c>
      <x:c r="L6" s="173" t="n">
        <x:f>'Weekly Points'!AA6</x:f>
        <x:v>0.4265625825738472</x:v>
      </x:c>
      <x:c r="M6" s="173" t="n">
        <x:f>'Weekly Points'!AB6</x:f>
        <x:v>0.11764705882352941</x:v>
      </x:c>
      <x:c r="N6" s="109" t="n">
        <x:f>0.5*J6+0.3*I6+0.2*H6</x:f>
        <x:v>16.78864705882353</x:v>
      </x:c>
      <x:c r="O6" s="175" t="n">
        <x:v>17</x:v>
      </x:c>
      <x:c r="P6" s="175" t="n">
        <x:v>12</x:v>
      </x:c>
      <x:c r="Q6" s="175" t="n">
        <x:v>83</x:v>
      </x:c>
      <x:c r="R6" s="175" t="n">
        <x:v>1</x:v>
      </x:c>
      <x:c r="S6" s="175" t="n">
        <x:v>5</x:v>
      </x:c>
      <x:c r="T6" s="175" t="n">
        <x:v>0</x:v>
      </x:c>
      <x:c r="U6" s="175" t="n">
        <x:v>0</x:v>
      </x:c>
      <x:c r="V6" s="175" t="n">
        <x:f>SUM(S6:U6)</x:f>
        <x:v>5</x:v>
      </x:c>
      <x:c r="W6" s="108" t="str">
        <x:v>https://fantasy.espn.com/football/leaders?leagueId=555583&amp;lineupSlot=0&amp;scoringPeriodId=0&amp;statSplit=lastSeason</x:v>
      </x:c>
    </x:row>
    <x:row r="7">
      <x:c r="A7" s="108" t="str">
        <x:v>QB</x:v>
      </x:c>
      <x:c r="B7" s="175" t="n">
        <x:f>1+COUNTIFS($A$4:$A$356,A7,$J$4:$J$356,"&gt;"&amp;J7)</x:f>
        <x:v>4</x:v>
      </x:c>
      <x:c r="C7" s="175" t="n">
        <x:v>1</x:v>
      </x:c>
      <x:c r="D7" s="108" t="str">
        <x:v>Matthew Stafford</x:v>
      </x:c>
      <x:c r="E7" s="108" t="str">
        <x:v>LAR</x:v>
      </x:c>
      <x:c r="F7" s="108" t="str">
        <x:v>LAR</x:v>
      </x:c>
      <x:c r="G7" s="109" t="n">
        <x:v>389.95</x:v>
      </x:c>
      <x:c r="H7" s="109" t="n">
        <x:f>'Weekly Points'!W7</x:f>
        <x:v>22.93823529411765</x:v>
      </x:c>
      <x:c r="I7" s="109" t="n">
        <x:f>'Weekly Points'!X7</x:f>
        <x:v>25.15</x:v>
      </x:c>
      <x:c r="J7" s="109" t="n">
        <x:f>'Weekly Points'!Y7</x:f>
        <x:v>14.5</x:v>
      </x:c>
      <x:c r="K7" s="109" t="n">
        <x:f>'Weekly Points'!Z7</x:f>
        <x:v>7.792993259629876</x:v>
      </x:c>
      <x:c r="L7" s="173" t="n">
        <x:f>'Weekly Points'!AA7</x:f>
        <x:v>0.33973813415491183</x:v>
      </x:c>
      <x:c r="M7" s="173" t="n">
        <x:f>'Weekly Points'!AB7</x:f>
        <x:v>0.058823529411764705</x:v>
      </x:c>
      <x:c r="N7" s="109" t="n">
        <x:f>0.5*J7+0.3*I7+0.2*H7</x:f>
        <x:v>19.38264705882353</x:v>
      </x:c>
      <x:c r="O7" s="175" t="n">
        <x:v>17</x:v>
      </x:c>
      <x:c r="P7" s="175" t="n">
        <x:v>8</x:v>
      </x:c>
      <x:c r="Q7" s="175" t="n">
        <x:v>29</x:v>
      </x:c>
      <x:c r="R7" s="175" t="n">
        <x:v>0</x:v>
      </x:c>
      <x:c r="S7" s="175" t="n">
        <x:v>0</x:v>
      </x:c>
      <x:c r="T7" s="175" t="n">
        <x:v>0</x:v>
      </x:c>
      <x:c r="U7" s="175" t="n">
        <x:v>0</x:v>
      </x:c>
      <x:c r="V7" s="175" t="n">
        <x:f>SUM(S7:U7)</x:f>
        <x:v>0</x:v>
      </x:c>
      <x:c r="W7" s="108" t="str">
        <x:v>https://fantasy.espn.com/football/leaders?leagueId=555583&amp;lineupSlot=0&amp;scoringPeriodId=0&amp;statSplit=lastSeason</x:v>
      </x:c>
    </x:row>
    <x:row r="8">
      <x:c r="A8" s="108" t="str">
        <x:v>QB</x:v>
      </x:c>
      <x:c r="B8" s="175" t="n">
        <x:f>1+COUNTIFS($A$4:$A$356,A8,$J$4:$J$356,"&gt;"&amp;J8)</x:f>
        <x:v>5</x:v>
      </x:c>
      <x:c r="C8" s="175" t="n">
        <x:v>8</x:v>
      </x:c>
      <x:c r="D8" s="108" t="str">
        <x:v>Jared Goff</x:v>
      </x:c>
      <x:c r="E8" s="108" t="str">
        <x:v>DET</x:v>
      </x:c>
      <x:c r="F8" s="108" t="str">
        <x:v>DET</x:v>
      </x:c>
      <x:c r="G8" s="109" t="n">
        <x:v>329.2</x:v>
      </x:c>
      <x:c r="H8" s="109" t="n">
        <x:f>'Weekly Points'!W8</x:f>
        <x:v>19.36470588235294</x:v>
      </x:c>
      <x:c r="I8" s="109" t="n">
        <x:f>'Weekly Points'!X8</x:f>
        <x:v>18.45</x:v>
      </x:c>
      <x:c r="J8" s="109" t="n">
        <x:f>'Weekly Points'!Y8</x:f>
        <x:v>14.4</x:v>
      </x:c>
      <x:c r="K8" s="109" t="n">
        <x:f>'Weekly Points'!Z8</x:f>
        <x:v>8.336026785018964</x:v>
      </x:c>
      <x:c r="L8" s="173" t="n">
        <x:f>'Weekly Points'!AA8</x:f>
        <x:v>0.4304752592506756</x:v>
      </x:c>
      <x:c r="M8" s="173" t="n">
        <x:f>'Weekly Points'!AB8</x:f>
        <x:v>0.058823529411764705</x:v>
      </x:c>
      <x:c r="N8" s="109" t="n">
        <x:f>0.5*J8+0.3*I8+0.2*H8</x:f>
        <x:v>16.60794117647059</x:v>
      </x:c>
      <x:c r="O8" s="175" t="n">
        <x:v>17</x:v>
      </x:c>
      <x:c r="P8" s="175" t="n">
        <x:v>8</x:v>
      </x:c>
      <x:c r="Q8" s="175" t="n">
        <x:v>19</x:v>
      </x:c>
      <x:c r="R8" s="175" t="n">
        <x:v>0</x:v>
      </x:c>
      <x:c r="S8" s="175" t="n">
        <x:v>0</x:v>
      </x:c>
      <x:c r="T8" s="175" t="n">
        <x:v>0</x:v>
      </x:c>
      <x:c r="U8" s="175" t="n">
        <x:v>0</x:v>
      </x:c>
      <x:c r="V8" s="175" t="n">
        <x:f>SUM(S8:U8)</x:f>
        <x:v>0</x:v>
      </x:c>
      <x:c r="W8" s="108" t="str">
        <x:v>https://fantasy.espn.com/football/leaders?leagueId=555583&amp;lineupSlot=0&amp;scoringPeriodId=0&amp;statSplit=lastSeason</x:v>
      </x:c>
    </x:row>
    <x:row r="9">
      <x:c r="A9" s="108" t="str">
        <x:v>QB</x:v>
      </x:c>
      <x:c r="B9" s="175" t="n">
        <x:f>1+COUNTIFS($A$4:$A$356,A9,$J$4:$J$356,"&gt;"&amp;J9)</x:f>
        <x:v>6</x:v>
      </x:c>
      <x:c r="C9" s="175" t="n">
        <x:v>2</x:v>
      </x:c>
      <x:c r="D9" s="108" t="str">
        <x:v>Josh Allen</x:v>
      </x:c>
      <x:c r="E9" s="108" t="str">
        <x:v>BUF</x:v>
      </x:c>
      <x:c r="F9" s="108" t="str">
        <x:v>BUF</x:v>
      </x:c>
      <x:c r="G9" s="109" t="n">
        <x:v>388.63</x:v>
      </x:c>
      <x:c r="H9" s="109" t="n">
        <x:f>'Weekly Points'!W9</x:f>
        <x:v>22.860588235294117</x:v>
      </x:c>
      <x:c r="I9" s="109" t="n">
        <x:f>'Weekly Points'!X9</x:f>
        <x:v>22.8</x:v>
      </x:c>
      <x:c r="J9" s="109" t="n">
        <x:f>'Weekly Points'!Y9</x:f>
        <x:v>14.2</x:v>
      </x:c>
      <x:c r="K9" s="109" t="n">
        <x:f>'Weekly Points'!Z9</x:f>
        <x:v>12.66824305130433</x:v>
      </x:c>
      <x:c r="L9" s="173" t="n">
        <x:f>'Weekly Points'!AA9</x:f>
        <x:v>0.5541521032143005</x:v>
      </x:c>
      <x:c r="M9" s="173" t="n">
        <x:f>'Weekly Points'!AB9</x:f>
        <x:v>0.17647058823529413</x:v>
      </x:c>
      <x:c r="N9" s="109" t="n">
        <x:f>0.5*J9+0.3*I9+0.2*H9</x:f>
        <x:v>18.512117647058822</x:v>
      </x:c>
      <x:c r="O9" s="175" t="n">
        <x:v>16</x:v>
      </x:c>
      <x:c r="P9" s="175" t="n">
        <x:v>7</x:v>
      </x:c>
      <x:c r="Q9" s="175" t="n">
        <x:v>112</x:v>
      </x:c>
      <x:c r="R9" s="175" t="n">
        <x:v>0</x:v>
      </x:c>
      <x:c r="S9" s="175" t="n">
        <x:v>14</x:v>
      </x:c>
      <x:c r="T9" s="175" t="n">
        <x:v>0</x:v>
      </x:c>
      <x:c r="U9" s="175" t="n">
        <x:v>0</x:v>
      </x:c>
      <x:c r="V9" s="175" t="n">
        <x:f>SUM(S9:U9)</x:f>
        <x:v>14</x:v>
      </x:c>
      <x:c r="W9" s="108" t="str">
        <x:v>https://fantasy.espn.com/football/leaders?leagueId=555583&amp;lineupSlot=0&amp;scoringPeriodId=0&amp;statSplit=lastSeason</x:v>
      </x:c>
    </x:row>
    <x:row r="10">
      <x:c r="A10" s="108" t="str">
        <x:v>QB</x:v>
      </x:c>
      <x:c r="B10" s="175" t="n">
        <x:f>1+COUNTIFS($A$4:$A$356,A10,$J$4:$J$356,"&gt;"&amp;J10)</x:f>
        <x:v>7</x:v>
      </x:c>
      <x:c r="C10" s="175" t="n">
        <x:v>5</x:v>
      </x:c>
      <x:c r="D10" s="108" t="str">
        <x:v>Caleb Williams</x:v>
      </x:c>
      <x:c r="E10" s="108" t="str">
        <x:v>CHI</x:v>
      </x:c>
      <x:c r="F10" s="108" t="str">
        <x:v>CHI</x:v>
      </x:c>
      <x:c r="G10" s="109" t="n">
        <x:v>348.43</x:v>
      </x:c>
      <x:c r="H10" s="109" t="n">
        <x:f>'Weekly Points'!W10</x:f>
        <x:v>20.49588235294118</x:v>
      </x:c>
      <x:c r="I10" s="109" t="n">
        <x:f>'Weekly Points'!X10</x:f>
        <x:v>19.4</x:v>
      </x:c>
      <x:c r="J10" s="109" t="n">
        <x:f>'Weekly Points'!Y10</x:f>
        <x:v>14.15</x:v>
      </x:c>
      <x:c r="K10" s="109" t="n">
        <x:f>'Weekly Points'!Z10</x:f>
        <x:v>8.965097721867274</x:v>
      </x:c>
      <x:c r="L10" s="173" t="n">
        <x:f>'Weekly Points'!AA10</x:f>
        <x:v>0.43740969856712575</x:v>
      </x:c>
      <x:c r="M10" s="173" t="n">
        <x:f>'Weekly Points'!AB10</x:f>
        <x:v>0.11764705882352941</x:v>
      </x:c>
      <x:c r="N10" s="109" t="n">
        <x:f>0.5*J10+0.3*I10+0.2*H10</x:f>
        <x:v>16.994176470588236</x:v>
      </x:c>
      <x:c r="O10" s="175" t="n">
        <x:v>17</x:v>
      </x:c>
      <x:c r="P10" s="175" t="n">
        <x:v>5</x:v>
      </x:c>
      <x:c r="Q10" s="175" t="n">
        <x:v>77</x:v>
      </x:c>
      <x:c r="R10" s="175" t="n">
        <x:v>2</x:v>
      </x:c>
      <x:c r="S10" s="175" t="n">
        <x:v>3</x:v>
      </x:c>
      <x:c r="T10" s="175" t="n">
        <x:v>1</x:v>
      </x:c>
      <x:c r="U10" s="175" t="n">
        <x:v>0</x:v>
      </x:c>
      <x:c r="V10" s="175" t="n">
        <x:f>SUM(S10:U10)</x:f>
        <x:v>4</x:v>
      </x:c>
      <x:c r="W10" s="108" t="str">
        <x:v>https://fantasy.espn.com/football/leaders?leagueId=555583&amp;lineupSlot=0&amp;scoringPeriodId=0&amp;statSplit=lastSeason</x:v>
      </x:c>
    </x:row>
    <x:row r="11">
      <x:c r="A11" s="108" t="str">
        <x:v>QB</x:v>
      </x:c>
      <x:c r="B11" s="175" t="n">
        <x:f>1+COUNTIFS($A$4:$A$356,A11,$J$4:$J$356,"&gt;"&amp;J11)</x:f>
        <x:v>8</x:v>
      </x:c>
      <x:c r="C11" s="175" t="n">
        <x:v>6</x:v>
      </x:c>
      <x:c r="D11" s="108" t="str">
        <x:v>Dak Prescott</x:v>
      </x:c>
      <x:c r="E11" s="108" t="str">
        <x:v>DAL</x:v>
      </x:c>
      <x:c r="F11" s="108" t="str">
        <x:v>DAL</x:v>
      </x:c>
      <x:c r="G11" s="109" t="n">
        <x:v>347.79</x:v>
      </x:c>
      <x:c r="H11" s="109" t="n">
        <x:f>'Weekly Points'!W11</x:f>
        <x:v>20.458235294117646</x:v>
      </x:c>
      <x:c r="I11" s="109" t="n">
        <x:f>'Weekly Points'!X11</x:f>
        <x:v>23.13</x:v>
      </x:c>
      <x:c r="J11" s="109" t="n">
        <x:f>'Weekly Points'!Y11</x:f>
        <x:v>13.9</x:v>
      </x:c>
      <x:c r="K11" s="109" t="n">
        <x:f>'Weekly Points'!Z11</x:f>
        <x:v>8.76934851379516</x:v>
      </x:c>
      <x:c r="L11" s="173" t="n">
        <x:f>'Weekly Points'!AA11</x:f>
        <x:v>0.4286463806737334</x:v>
      </x:c>
      <x:c r="M11" s="173" t="n">
        <x:f>'Weekly Points'!AB11</x:f>
        <x:v>0.17647058823529413</x:v>
      </x:c>
      <x:c r="N11" s="109" t="n">
        <x:f>0.5*J11+0.3*I11+0.2*H11</x:f>
        <x:v>17.98064705882353</x:v>
      </x:c>
      <x:c r="O11" s="175" t="n">
        <x:v>17</x:v>
      </x:c>
      <x:c r="P11" s="175" t="n">
        <x:v>10</x:v>
      </x:c>
      <x:c r="Q11" s="175" t="n">
        <x:v>53</x:v>
      </x:c>
      <x:c r="R11" s="175" t="n">
        <x:v>0</x:v>
      </x:c>
      <x:c r="S11" s="175" t="n">
        <x:v>2</x:v>
      </x:c>
      <x:c r="T11" s="175" t="n">
        <x:v>0</x:v>
      </x:c>
      <x:c r="U11" s="175" t="n">
        <x:v>0</x:v>
      </x:c>
      <x:c r="V11" s="175" t="n">
        <x:f>SUM(S11:U11)</x:f>
        <x:v>2</x:v>
      </x:c>
      <x:c r="W11" s="108" t="str">
        <x:v>https://fantasy.espn.com/football/leaders?leagueId=555583&amp;lineupSlot=0&amp;scoringPeriodId=0&amp;statSplit=lastSeason</x:v>
      </x:c>
    </x:row>
    <x:row r="12">
      <x:c r="A12" s="108" t="str">
        <x:v>QB</x:v>
      </x:c>
      <x:c r="B12" s="175" t="n">
        <x:f>1+COUNTIFS($A$4:$A$356,A12,$J$4:$J$356,"&gt;"&amp;J12)</x:f>
        <x:v>9</x:v>
      </x:c>
      <x:c r="C12" s="175" t="n">
        <x:v>9</x:v>
      </x:c>
      <x:c r="D12" s="108" t="str">
        <x:v>Jalen Hurts</x:v>
      </x:c>
      <x:c r="E12" s="108" t="str">
        <x:v>PHI</x:v>
      </x:c>
      <x:c r="F12" s="108" t="str">
        <x:v>PHI</x:v>
      </x:c>
      <x:c r="G12" s="109" t="n">
        <x:v>319.3</x:v>
      </x:c>
      <x:c r="H12" s="109" t="n">
        <x:f>'Weekly Points'!W12</x:f>
        <x:v>18.78235294117647</x:v>
      </x:c>
      <x:c r="I12" s="109" t="n">
        <x:f>'Weekly Points'!X12</x:f>
        <x:v>19.75</x:v>
      </x:c>
      <x:c r="J12" s="109" t="n">
        <x:f>'Weekly Points'!Y12</x:f>
        <x:v>13.85</x:v>
      </x:c>
      <x:c r="K12" s="109" t="n">
        <x:f>'Weekly Points'!Z12</x:f>
        <x:v>8.977962253672805</x:v>
      </x:c>
      <x:c r="L12" s="173" t="n">
        <x:f>'Weekly Points'!AA12</x:f>
        <x:v>0.4779998694407695</x:v>
      </x:c>
      <x:c r="M12" s="173" t="n">
        <x:f>'Weekly Points'!AB12</x:f>
        <x:v>0.11764705882352941</x:v>
      </x:c>
      <x:c r="N12" s="109" t="n">
        <x:f>0.5*J12+0.3*I12+0.2*H12</x:f>
        <x:v>16.606470588235293</x:v>
      </x:c>
      <x:c r="O12" s="175" t="n">
        <x:v>16</x:v>
      </x:c>
      <x:c r="P12" s="175" t="n">
        <x:v>9</x:v>
      </x:c>
      <x:c r="Q12" s="175" t="n">
        <x:v>105</x:v>
      </x:c>
      <x:c r="R12" s="175" t="n">
        <x:v>0</x:v>
      </x:c>
      <x:c r="S12" s="175" t="n">
        <x:v>8</x:v>
      </x:c>
      <x:c r="T12" s="175" t="n">
        <x:v>0</x:v>
      </x:c>
      <x:c r="U12" s="175" t="n">
        <x:v>0</x:v>
      </x:c>
      <x:c r="V12" s="175" t="n">
        <x:f>SUM(S12:U12)</x:f>
        <x:v>8</x:v>
      </x:c>
      <x:c r="W12" s="108" t="str">
        <x:v>https://fantasy.espn.com/football/leaders?leagueId=555583&amp;lineupSlot=0&amp;scoringPeriodId=0&amp;statSplit=lastSeason</x:v>
      </x:c>
    </x:row>
    <x:row r="13">
      <x:c r="A13" s="108" t="str">
        <x:v>QB</x:v>
      </x:c>
      <x:c r="B13" s="175" t="n">
        <x:f>1+COUNTIFS($A$4:$A$356,A13,$J$4:$J$356,"&gt;"&amp;J13)</x:f>
        <x:v>10</x:v>
      </x:c>
      <x:c r="C13" s="175" t="n">
        <x:v>12</x:v>
      </x:c>
      <x:c r="D13" s="108" t="str">
        <x:v>Baker Mayfield</x:v>
      </x:c>
      <x:c r="E13" s="108" t="str">
        <x:v>TB</x:v>
      </x:c>
      <x:c r="F13" s="108" t="str">
        <x:v>TB</x:v>
      </x:c>
      <x:c r="G13" s="109" t="n">
        <x:v>291.51</x:v>
      </x:c>
      <x:c r="H13" s="109" t="n">
        <x:f>'Weekly Points'!W13</x:f>
        <x:v>17.14764705882353</x:v>
      </x:c>
      <x:c r="I13" s="109" t="n">
        <x:f>'Weekly Points'!X13</x:f>
        <x:v>18.78</x:v>
      </x:c>
      <x:c r="J13" s="109" t="n">
        <x:f>'Weekly Points'!Y13</x:f>
        <x:v>13.15</x:v>
      </x:c>
      <x:c r="K13" s="109" t="n">
        <x:f>'Weekly Points'!Z13</x:f>
        <x:v>6.932484088704309</x:v>
      </x:c>
      <x:c r="L13" s="173" t="n">
        <x:f>'Weekly Points'!AA13</x:f>
        <x:v>0.4042819440429942</x:v>
      </x:c>
      <x:c r="M13" s="173" t="n">
        <x:f>'Weekly Points'!AB13</x:f>
        <x:v>0.11764705882352941</x:v>
      </x:c>
      <x:c r="N13" s="109" t="n">
        <x:f>0.5*J13+0.3*I13+0.2*H13</x:f>
        <x:v>15.638529411764706</x:v>
      </x:c>
      <x:c r="O13" s="175" t="n">
        <x:v>17</x:v>
      </x:c>
      <x:c r="P13" s="175" t="n">
        <x:v>9</x:v>
      </x:c>
      <x:c r="Q13" s="175" t="n">
        <x:v>55</x:v>
      </x:c>
      <x:c r="R13" s="175" t="n">
        <x:v>0</x:v>
      </x:c>
      <x:c r="S13" s="175" t="n">
        <x:v>1</x:v>
      </x:c>
      <x:c r="T13" s="175" t="n">
        <x:v>0</x:v>
      </x:c>
      <x:c r="U13" s="175" t="n">
        <x:v>0</x:v>
      </x:c>
      <x:c r="V13" s="175" t="n">
        <x:f>SUM(S13:U13)</x:f>
        <x:v>1</x:v>
      </x:c>
      <x:c r="W13" s="108" t="str">
        <x:v>https://fantasy.espn.com/football/leaders?leagueId=555583&amp;lineupSlot=0&amp;scoringPeriodId=0&amp;statSplit=lastSeason</x:v>
      </x:c>
    </x:row>
    <x:row r="14">
      <x:c r="A14" s="108" t="str">
        <x:v>QB</x:v>
      </x:c>
      <x:c r="B14" s="175" t="n">
        <x:f>1+COUNTIFS($A$4:$A$356,A14,$J$4:$J$356,"&gt;"&amp;J14)</x:f>
        <x:v>11</x:v>
      </x:c>
      <x:c r="C14" s="175" t="n">
        <x:v>11</x:v>
      </x:c>
      <x:c r="D14" s="108" t="str">
        <x:v>Justin Herbert</x:v>
      </x:c>
      <x:c r="E14" s="108" t="str">
        <x:v>LAC</x:v>
      </x:c>
      <x:c r="F14" s="108" t="str">
        <x:v>LAC</x:v>
      </x:c>
      <x:c r="G14" s="109" t="n">
        <x:v>296.65</x:v>
      </x:c>
      <x:c r="H14" s="109" t="n">
        <x:f>'Weekly Points'!W14</x:f>
        <x:v>17.45</x:v>
      </x:c>
      <x:c r="I14" s="109" t="n">
        <x:f>'Weekly Points'!X14</x:f>
        <x:v>14.4</x:v>
      </x:c>
      <x:c r="J14" s="109" t="n">
        <x:f>'Weekly Points'!Y14</x:f>
        <x:v>12.85</x:v>
      </x:c>
      <x:c r="K14" s="109" t="n">
        <x:f>'Weekly Points'!Z14</x:f>
        <x:v>9.247161726713772</x:v>
      </x:c>
      <x:c r="L14" s="173" t="n">
        <x:f>'Weekly Points'!AA14</x:f>
        <x:v>0.5299233081211331</x:v>
      </x:c>
      <x:c r="M14" s="173" t="n">
        <x:f>'Weekly Points'!AB14</x:f>
        <x:v>0.11764705882352941</x:v>
      </x:c>
      <x:c r="N14" s="109" t="n">
        <x:f>0.5*J14+0.3*I14+0.2*H14</x:f>
        <x:v>14.235000000000001</x:v>
      </x:c>
      <x:c r="O14" s="175" t="n">
        <x:v>16</x:v>
      </x:c>
      <x:c r="P14" s="175" t="n">
        <x:v>12</x:v>
      </x:c>
      <x:c r="Q14" s="175" t="n">
        <x:v>83</x:v>
      </x:c>
      <x:c r="R14" s="175" t="n">
        <x:v>0</x:v>
      </x:c>
      <x:c r="S14" s="175" t="n">
        <x:v>2</x:v>
      </x:c>
      <x:c r="T14" s="175" t="n">
        <x:v>0</x:v>
      </x:c>
      <x:c r="U14" s="175" t="n">
        <x:v>0</x:v>
      </x:c>
      <x:c r="V14" s="175" t="n">
        <x:f>SUM(S14:U14)</x:f>
        <x:v>2</x:v>
      </x:c>
      <x:c r="W14" s="108" t="str">
        <x:v>https://fantasy.espn.com/football/leaders?leagueId=555583&amp;lineupSlot=0&amp;scoringPeriodId=0&amp;statSplit=lastSeason</x:v>
      </x:c>
    </x:row>
    <x:row r="15">
      <x:c r="A15" s="108" t="str">
        <x:v>QB</x:v>
      </x:c>
      <x:c r="B15" s="175" t="n">
        <x:f>1+COUNTIFS($A$4:$A$356,A15,$J$4:$J$356,"&gt;"&amp;J15)</x:f>
        <x:v>12</x:v>
      </x:c>
      <x:c r="C15" s="175" t="n">
        <x:v>10</x:v>
      </x:c>
      <x:c r="D15" s="108" t="str">
        <x:v>Patrick Mahomes</x:v>
      </x:c>
      <x:c r="E15" s="108" t="str">
        <x:v>KC</x:v>
      </x:c>
      <x:c r="F15" s="108" t="str">
        <x:v>KC</x:v>
      </x:c>
      <x:c r="G15" s="109" t="n">
        <x:v>303.21</x:v>
      </x:c>
      <x:c r="H15" s="109" t="n">
        <x:f>'Weekly Points'!W15</x:f>
        <x:v>17.835882352941173</x:v>
      </x:c>
      <x:c r="I15" s="109" t="n">
        <x:f>'Weekly Points'!X15</x:f>
        <x:v>17.93</x:v>
      </x:c>
      <x:c r="J15" s="109" t="n">
        <x:f>'Weekly Points'!Y15</x:f>
        <x:v>10.83</x:v>
      </x:c>
      <x:c r="K15" s="109" t="n">
        <x:f>'Weekly Points'!Z15</x:f>
        <x:v>11.230809545397104</x:v>
      </x:c>
      <x:c r="L15" s="173" t="n">
        <x:f>'Weekly Points'!AA15</x:f>
        <x:v>0.6296750182109786</x:v>
      </x:c>
      <x:c r="M15" s="173" t="n">
        <x:f>'Weekly Points'!AB15</x:f>
        <x:v>0.23529411764705882</x:v>
      </x:c>
      <x:c r="N15" s="109" t="n">
        <x:f>0.5*J15+0.3*I15+0.2*H15</x:f>
        <x:v>14.361176470588235</x:v>
      </x:c>
      <x:c r="O15" s="175" t="n">
        <x:v>14</x:v>
      </x:c>
      <x:c r="P15" s="175" t="n">
        <x:v>10</x:v>
      </x:c>
      <x:c r="Q15" s="175" t="n">
        <x:v>64</x:v>
      </x:c>
      <x:c r="R15" s="175" t="n">
        <x:v>1</x:v>
      </x:c>
      <x:c r="S15" s="175" t="n">
        <x:v>5</x:v>
      </x:c>
      <x:c r="T15" s="175" t="n">
        <x:v>0</x:v>
      </x:c>
      <x:c r="U15" s="175" t="n">
        <x:v>0</x:v>
      </x:c>
      <x:c r="V15" s="175" t="n">
        <x:f>SUM(S15:U15)</x:f>
        <x:v>5</x:v>
      </x:c>
      <x:c r="W15" s="108" t="str">
        <x:v>https://fantasy.espn.com/football/leaders?leagueId=555583&amp;lineupSlot=0&amp;scoringPeriodId=0&amp;statSplit=lastSeason</x:v>
      </x:c>
    </x:row>
    <x:row r="16">
      <x:c r="A16" s="108" t="str">
        <x:v>QB</x:v>
      </x:c>
      <x:c r="B16" s="175" t="n">
        <x:f>1+COUNTIFS($A$4:$A$356,A16,$J$4:$J$356,"&gt;"&amp;J16)</x:f>
        <x:v>13</x:v>
      </x:c>
      <x:c r="C16" s="175" t="n">
        <x:v>15</x:v>
      </x:c>
      <x:c r="D16" s="108" t="str">
        <x:v>Aaron Rodgers</x:v>
      </x:c>
      <x:c r="E16" s="108" t="str">
        <x:v>PIT</x:v>
      </x:c>
      <x:c r="F16" s="108" t="str">
        <x:v>PIT</x:v>
      </x:c>
      <x:c r="G16" s="109" t="n">
        <x:v>249.13</x:v>
      </x:c>
      <x:c r="H16" s="109" t="n">
        <x:f>'Weekly Points'!W16</x:f>
        <x:v>14.65470588235294</x:v>
      </x:c>
      <x:c r="I16" s="109" t="n">
        <x:f>'Weekly Points'!X16</x:f>
        <x:v>15.3</x:v>
      </x:c>
      <x:c r="J16" s="109" t="n">
        <x:f>'Weekly Points'!Y16</x:f>
        <x:v>10.1</x:v>
      </x:c>
      <x:c r="K16" s="109" t="n">
        <x:f>'Weekly Points'!Z16</x:f>
        <x:v>7.565980452500023</x:v>
      </x:c>
      <x:c r="L16" s="173" t="n">
        <x:f>'Weekly Points'!AA16</x:f>
        <x:v>0.5162833367820029</x:v>
      </x:c>
      <x:c r="M16" s="173" t="n">
        <x:f>'Weekly Points'!AB16</x:f>
        <x:v>0.17647058823529413</x:v>
      </x:c>
      <x:c r="N16" s="109" t="n">
        <x:f>0.5*J16+0.3*I16+0.2*H16</x:f>
        <x:v>12.570941176470589</x:v>
      </x:c>
      <x:c r="O16" s="175" t="n">
        <x:v>16</x:v>
      </x:c>
      <x:c r="P16" s="175" t="n">
        <x:v>5</x:v>
      </x:c>
      <x:c r="Q16" s="175" t="n">
        <x:v>21</x:v>
      </x:c>
      <x:c r="R16" s="175" t="n">
        <x:v>1</x:v>
      </x:c>
      <x:c r="S16" s="175" t="n">
        <x:v>1</x:v>
      </x:c>
      <x:c r="T16" s="175" t="n">
        <x:v>0</x:v>
      </x:c>
      <x:c r="U16" s="175" t="n">
        <x:v>0</x:v>
      </x:c>
      <x:c r="V16" s="175" t="n">
        <x:f>SUM(S16:U16)</x:f>
        <x:v>1</x:v>
      </x:c>
      <x:c r="W16" s="108" t="str">
        <x:v>https://fantasy.espn.com/football/leaders?leagueId=555583&amp;lineupSlot=0&amp;scoringPeriodId=0&amp;statSplit=lastSeason</x:v>
      </x:c>
    </x:row>
    <x:row r="17">
      <x:c r="A17" s="108" t="str">
        <x:v>QB</x:v>
      </x:c>
      <x:c r="B17" s="175" t="n">
        <x:f>1+COUNTIFS($A$4:$A$356,A17,$J$4:$J$356,"&gt;"&amp;J17)</x:f>
        <x:v>14</x:v>
      </x:c>
      <x:c r="C17" s="175" t="n">
        <x:v>19</x:v>
      </x:c>
      <x:c r="D17" s="108" t="str">
        <x:v>Bryce Young</x:v>
      </x:c>
      <x:c r="E17" s="108" t="str">
        <x:v>CAR</x:v>
      </x:c>
      <x:c r="F17" s="108" t="str">
        <x:v>CAR</x:v>
      </x:c>
      <x:c r="G17" s="109" t="n">
        <x:v>234.48</x:v>
      </x:c>
      <x:c r="H17" s="109" t="n">
        <x:f>'Weekly Points'!W17</x:f>
        <x:v>13.79294117647059</x:v>
      </x:c>
      <x:c r="I17" s="109" t="n">
        <x:f>'Weekly Points'!X17</x:f>
        <x:v>12.35</x:v>
      </x:c>
      <x:c r="J17" s="109" t="n">
        <x:f>'Weekly Points'!Y17</x:f>
        <x:v>9.2</x:v>
      </x:c>
      <x:c r="K17" s="109" t="n">
        <x:f>'Weekly Points'!Z17</x:f>
        <x:v>8.506435463262942</x:v>
      </x:c>
      <x:c r="L17" s="173" t="n">
        <x:f>'Weekly Points'!AA17</x:f>
        <x:v>0.6167238266609946</x:v>
      </x:c>
      <x:c r="M17" s="173" t="n">
        <x:f>'Weekly Points'!AB17</x:f>
        <x:v>0.17647058823529413</x:v>
      </x:c>
      <x:c r="N17" s="109" t="n">
        <x:f>0.5*J17+0.3*I17+0.2*H17</x:f>
        <x:v>11.063588235294118</x:v>
      </x:c>
      <x:c r="O17" s="175" t="n">
        <x:v>16</x:v>
      </x:c>
      <x:c r="P17" s="175" t="n">
        <x:v>14</x:v>
      </x:c>
      <x:c r="Q17" s="175" t="n">
        <x:v>54</x:v>
      </x:c>
      <x:c r="R17" s="175" t="n">
        <x:v>0</x:v>
      </x:c>
      <x:c r="S17" s="175" t="n">
        <x:v>2</x:v>
      </x:c>
      <x:c r="T17" s="175" t="n">
        <x:v>0</x:v>
      </x:c>
      <x:c r="U17" s="175" t="n">
        <x:v>0</x:v>
      </x:c>
      <x:c r="V17" s="175" t="n">
        <x:f>SUM(S17:U17)</x:f>
        <x:v>2</x:v>
      </x:c>
      <x:c r="W17" s="108" t="str">
        <x:v>https://fantasy.espn.com/football/leaders?leagueId=555583&amp;lineupSlot=0&amp;scoringPeriodId=0&amp;statSplit=lastSeason</x:v>
      </x:c>
    </x:row>
    <x:row r="18">
      <x:c r="A18" s="108" t="str">
        <x:v>QB</x:v>
      </x:c>
      <x:c r="B18" s="175" t="n">
        <x:f>1+COUNTIFS($A$4:$A$356,A18,$J$4:$J$356,"&gt;"&amp;J18)</x:f>
        <x:v>15</x:v>
      </x:c>
      <x:c r="C18" s="175" t="n">
        <x:v>20</x:v>
      </x:c>
      <x:c r="D18" s="108" t="str">
        <x:v>C.J. Stroud</x:v>
      </x:c>
      <x:c r="E18" s="108" t="str">
        <x:v>HOU</x:v>
      </x:c>
      <x:c r="F18" s="108" t="str">
        <x:v>HOU</x:v>
      </x:c>
      <x:c r="G18" s="109" t="n">
        <x:v>234.45</x:v>
      </x:c>
      <x:c r="H18" s="109" t="n">
        <x:f>'Weekly Points'!W18</x:f>
        <x:v>13.791176470588235</x:v>
      </x:c>
      <x:c r="I18" s="109" t="n">
        <x:f>'Weekly Points'!X18</x:f>
        <x:v>13.4</x:v>
      </x:c>
      <x:c r="J18" s="109" t="n">
        <x:f>'Weekly Points'!Y18</x:f>
        <x:v>9.1</x:v>
      </x:c>
      <x:c r="K18" s="109" t="n">
        <x:f>'Weekly Points'!Z18</x:f>
        <x:v>8.976427222160298</x:v>
      </x:c>
      <x:c r="L18" s="173" t="n">
        <x:f>'Weekly Points'!AA18</x:f>
        <x:v>0.6508819056375563</x:v>
      </x:c>
      <x:c r="M18" s="173" t="n">
        <x:f>'Weekly Points'!AB18</x:f>
        <x:v>0.23529411764705882</x:v>
      </x:c>
      <x:c r="N18" s="109" t="n">
        <x:f>0.5*J18+0.3*I18+0.2*H18</x:f>
        <x:v>11.328235294117647</x:v>
      </x:c>
      <x:c r="O18" s="175" t="n">
        <x:v>14</x:v>
      </x:c>
      <x:c r="P18" s="175" t="n">
        <x:v>6</x:v>
      </x:c>
      <x:c r="Q18" s="175" t="n">
        <x:v>48</x:v>
      </x:c>
      <x:c r="R18" s="175" t="n">
        <x:v>0</x:v>
      </x:c>
      <x:c r="S18" s="175" t="n">
        <x:v>1</x:v>
      </x:c>
      <x:c r="T18" s="175" t="n">
        <x:v>0</x:v>
      </x:c>
      <x:c r="U18" s="175" t="n">
        <x:v>0</x:v>
      </x:c>
      <x:c r="V18" s="175" t="n">
        <x:f>SUM(S18:U18)</x:f>
        <x:v>1</x:v>
      </x:c>
      <x:c r="W18" s="108" t="str">
        <x:v>https://fantasy.espn.com/football/leaders?leagueId=555583&amp;lineupSlot=0&amp;scoringPeriodId=0&amp;statSplit=lastSeason</x:v>
      </x:c>
    </x:row>
    <x:row r="19">
      <x:c r="A19" s="108" t="str">
        <x:v>QB</x:v>
      </x:c>
      <x:c r="B19" s="175" t="n">
        <x:f>1+COUNTIFS($A$4:$A$356,A19,$J$4:$J$356,"&gt;"&amp;J19)</x:f>
        <x:v>16</x:v>
      </x:c>
      <x:c r="C19" s="175" t="n">
        <x:v>13</x:v>
      </x:c>
      <x:c r="D19" s="108" t="str">
        <x:v>Sam Darnold</x:v>
      </x:c>
      <x:c r="E19" s="108" t="str">
        <x:v>SEA</x:v>
      </x:c>
      <x:c r="F19" s="108" t="str">
        <x:v>SEA</x:v>
      </x:c>
      <x:c r="G19" s="109" t="n">
        <x:v>266.56</x:v>
      </x:c>
      <x:c r="H19" s="109" t="n">
        <x:f>'Weekly Points'!W19</x:f>
        <x:v>15.680000000000003</x:v>
      </x:c>
      <x:c r="I19" s="109" t="n">
        <x:f>'Weekly Points'!X19</x:f>
        <x:v>16.5</x:v>
      </x:c>
      <x:c r="J19" s="109" t="n">
        <x:f>'Weekly Points'!Y19</x:f>
        <x:v>8.2</x:v>
      </x:c>
      <x:c r="K19" s="109" t="n">
        <x:f>'Weekly Points'!Z19</x:f>
        <x:v>8.79006390929052</x:v>
      </x:c>
      <x:c r="L19" s="173" t="n">
        <x:f>'Weekly Points'!AA19</x:f>
        <x:v>0.5605908105414872</x:v>
      </x:c>
      <x:c r="M19" s="173" t="n">
        <x:f>'Weekly Points'!AB19</x:f>
        <x:v>0.23529411764705882</x:v>
      </x:c>
      <x:c r="N19" s="109" t="n">
        <x:f>0.5*J19+0.3*I19+0.2*H19</x:f>
        <x:v>12.186000000000002</x:v>
      </x:c>
      <x:c r="O19" s="175" t="n">
        <x:v>17</x:v>
      </x:c>
      <x:c r="P19" s="175" t="n">
        <x:v>8</x:v>
      </x:c>
      <x:c r="Q19" s="175" t="n">
        <x:v>35</x:v>
      </x:c>
      <x:c r="R19" s="175" t="n">
        <x:v>0</x:v>
      </x:c>
      <x:c r="S19" s="175" t="n">
        <x:v>0</x:v>
      </x:c>
      <x:c r="T19" s="175" t="n">
        <x:v>0</x:v>
      </x:c>
      <x:c r="U19" s="175" t="n">
        <x:v>0</x:v>
      </x:c>
      <x:c r="V19" s="175" t="n">
        <x:f>SUM(S19:U19)</x:f>
        <x:v>0</x:v>
      </x:c>
      <x:c r="W19" s="108" t="str">
        <x:v>https://fantasy.espn.com/football/leaders?leagueId=555583&amp;lineupSlot=0&amp;scoringPeriodId=0&amp;statSplit=lastSeason</x:v>
      </x:c>
    </x:row>
    <x:row r="20">
      <x:c r="A20" s="108" t="str">
        <x:v>QB</x:v>
      </x:c>
      <x:c r="B20" s="175" t="n">
        <x:f>1+COUNTIFS($A$4:$A$356,A20,$J$4:$J$356,"&gt;"&amp;J20)</x:f>
        <x:v>17</x:v>
      </x:c>
      <x:c r="C20" s="175" t="n">
        <x:v>14</x:v>
      </x:c>
      <x:c r="D20" s="108" t="str">
        <x:v>Jordan Love</x:v>
      </x:c>
      <x:c r="E20" s="108" t="str">
        <x:v>GB</x:v>
      </x:c>
      <x:c r="F20" s="108" t="str">
        <x:v>GB</x:v>
      </x:c>
      <x:c r="G20" s="109" t="n">
        <x:v>260.61</x:v>
      </x:c>
      <x:c r="H20" s="109" t="n">
        <x:f>'Weekly Points'!W20</x:f>
        <x:v>15.329999999999998</x:v>
      </x:c>
      <x:c r="I20" s="109" t="n">
        <x:f>'Weekly Points'!X20</x:f>
        <x:v>15.2</x:v>
      </x:c>
      <x:c r="J20" s="109" t="n">
        <x:f>'Weekly Points'!Y20</x:f>
        <x:v>7.95</x:v>
      </x:c>
      <x:c r="K20" s="109" t="n">
        <x:f>'Weekly Points'!Z20</x:f>
        <x:v>9.60478434702941</x:v>
      </x:c>
      <x:c r="L20" s="173" t="n">
        <x:f>'Weekly Points'!AA20</x:f>
        <x:v>0.6265351824546257</x:v>
      </x:c>
      <x:c r="M20" s="173" t="n">
        <x:f>'Weekly Points'!AB20</x:f>
        <x:v>0.23529411764705882</x:v>
      </x:c>
      <x:c r="N20" s="109" t="n">
        <x:f>0.5*J20+0.3*I20+0.2*H20</x:f>
        <x:v>11.600999999999999</x:v>
      </x:c>
      <x:c r="O20" s="175" t="n">
        <x:v>15</x:v>
      </x:c>
      <x:c r="P20" s="175" t="n">
        <x:v>5</x:v>
      </x:c>
      <x:c r="Q20" s="175" t="n">
        <x:v>47</x:v>
      </x:c>
      <x:c r="R20" s="175" t="n">
        <x:v>0</x:v>
      </x:c>
      <x:c r="S20" s="175" t="n">
        <x:v>0</x:v>
      </x:c>
      <x:c r="T20" s="175" t="n">
        <x:v>0</x:v>
      </x:c>
      <x:c r="U20" s="175" t="n">
        <x:v>0</x:v>
      </x:c>
      <x:c r="V20" s="175" t="n">
        <x:f>SUM(S20:U20)</x:f>
        <x:v>0</x:v>
      </x:c>
      <x:c r="W20" s="108" t="str">
        <x:v>https://fantasy.espn.com/football/leaders?leagueId=555583&amp;lineupSlot=0&amp;scoringPeriodId=0&amp;statSplit=lastSeason</x:v>
      </x:c>
    </x:row>
    <x:row r="21">
      <x:c r="A21" s="108" t="str">
        <x:v>QB</x:v>
      </x:c>
      <x:c r="B21" s="175" t="n">
        <x:f>1+COUNTIFS($A$4:$A$356,A21,$J$4:$J$356,"&gt;"&amp;J21)</x:f>
        <x:v>18</x:v>
      </x:c>
      <x:c r="C21" s="175" t="n">
        <x:v>23</x:v>
      </x:c>
      <x:c r="D21" s="108" t="str">
        <x:v>Cam Ward</x:v>
      </x:c>
      <x:c r="E21" s="108" t="str">
        <x:v>TEN</x:v>
      </x:c>
      <x:c r="F21" s="108" t="str">
        <x:v>TEN</x:v>
      </x:c>
      <x:c r="G21" s="109" t="n">
        <x:v>190.85</x:v>
      </x:c>
      <x:c r="H21" s="109" t="n">
        <x:f>'Weekly Points'!W21</x:f>
        <x:v>11.226470588235294</x:v>
      </x:c>
      <x:c r="I21" s="109" t="n">
        <x:f>'Weekly Points'!X21</x:f>
        <x:v>10.25</x:v>
      </x:c>
      <x:c r="J21" s="109" t="n">
        <x:f>'Weekly Points'!Y21</x:f>
        <x:v>6.1</x:v>
      </x:c>
      <x:c r="K21" s="109" t="n">
        <x:f>'Weekly Points'!Z21</x:f>
        <x:v>5.978444555899007</x:v>
      </x:c>
      <x:c r="L21" s="173" t="n">
        <x:f>'Weekly Points'!AA21</x:f>
        <x:v>0.5325310843609281</x:v>
      </x:c>
      <x:c r="M21" s="173" t="n">
        <x:f>'Weekly Points'!AB21</x:f>
        <x:v>0.17647058823529413</x:v>
      </x:c>
      <x:c r="N21" s="109" t="n">
        <x:f>0.5*J21+0.3*I21+0.2*H21</x:f>
        <x:v>8.37029411764706</x:v>
      </x:c>
      <x:c r="O21" s="175" t="n">
        <x:v>17</x:v>
      </x:c>
      <x:c r="P21" s="175" t="n">
        <x:v>10</x:v>
      </x:c>
      <x:c r="Q21" s="175" t="n">
        <x:v>39</x:v>
      </x:c>
      <x:c r="R21" s="175" t="n">
        <x:v>0</x:v>
      </x:c>
      <x:c r="S21" s="175" t="n">
        <x:v>2</x:v>
      </x:c>
      <x:c r="T21" s="175" t="n">
        <x:v>0</x:v>
      </x:c>
      <x:c r="U21" s="175" t="n">
        <x:v>0</x:v>
      </x:c>
      <x:c r="V21" s="175" t="n">
        <x:f>SUM(S21:U21)</x:f>
        <x:v>2</x:v>
      </x:c>
      <x:c r="W21" s="108" t="str">
        <x:v>https://fantasy.espn.com/football/leaders?leagueId=555583&amp;lineupSlot=0&amp;scoringPeriodId=0&amp;statSplit=lastSeason</x:v>
      </x:c>
    </x:row>
    <x:row r="22">
      <x:c r="A22" s="108" t="str">
        <x:v>QB</x:v>
      </x:c>
      <x:c r="B22" s="175" t="n">
        <x:f>1+COUNTIFS($A$4:$A$356,A22,$J$4:$J$356,"&gt;"&amp;J22)</x:f>
        <x:v>19</x:v>
      </x:c>
      <x:c r="C22" s="175" t="n">
        <x:v>21</x:v>
      </x:c>
      <x:c r="D22" s="108" t="str">
        <x:v>Lamar Jackson</x:v>
      </x:c>
      <x:c r="E22" s="108" t="str">
        <x:v>BAL</x:v>
      </x:c>
      <x:c r="F22" s="108" t="str">
        <x:v>BAL</x:v>
      </x:c>
      <x:c r="G22" s="109" t="n">
        <x:v>223.68</x:v>
      </x:c>
      <x:c r="H22" s="109" t="n">
        <x:f>'Weekly Points'!W22</x:f>
        <x:v>13.15764705882353</x:v>
      </x:c>
      <x:c r="I22" s="109" t="n">
        <x:f>'Weekly Points'!X22</x:f>
        <x:v>10.65</x:v>
      </x:c>
      <x:c r="J22" s="109" t="n">
        <x:f>'Weekly Points'!Y22</x:f>
        <x:v>4.15</x:v>
      </x:c>
      <x:c r="K22" s="109" t="n">
        <x:f>'Weekly Points'!Z22</x:f>
        <x:v>10.77633001449542</x:v>
      </x:c>
      <x:c r="L22" s="173" t="n">
        <x:f>'Weekly Points'!AA22</x:f>
        <x:v>0.8190164978827885</x:v>
      </x:c>
      <x:c r="M22" s="173" t="n">
        <x:f>'Weekly Points'!AB22</x:f>
        <x:v>0.35294117647058826</x:v>
      </x:c>
      <x:c r="N22" s="109" t="n">
        <x:f>0.5*J22+0.3*I22+0.2*H22</x:f>
        <x:v>7.901529411764706</x:v>
      </x:c>
      <x:c r="O22" s="175" t="n">
        <x:v>13</x:v>
      </x:c>
      <x:c r="P22" s="175" t="n">
        <x:v>7</x:v>
      </x:c>
      <x:c r="Q22" s="175" t="n">
        <x:v>67</x:v>
      </x:c>
      <x:c r="R22" s="175" t="n">
        <x:v>0</x:v>
      </x:c>
      <x:c r="S22" s="175" t="n">
        <x:v>2</x:v>
      </x:c>
      <x:c r="T22" s="175" t="n">
        <x:v>0</x:v>
      </x:c>
      <x:c r="U22" s="175" t="n">
        <x:v>0</x:v>
      </x:c>
      <x:c r="V22" s="175" t="n">
        <x:f>SUM(S22:U22)</x:f>
        <x:v>2</x:v>
      </x:c>
      <x:c r="W22" s="108" t="str">
        <x:v>https://fantasy.espn.com/football/leaders?leagueId=555583&amp;lineupSlot=0&amp;scoringPeriodId=0&amp;statSplit=lastSeason</x:v>
      </x:c>
    </x:row>
    <x:row r="23">
      <x:c r="A23" s="108" t="str">
        <x:v>QB</x:v>
      </x:c>
      <x:c r="B23" s="175" t="n">
        <x:f>1+COUNTIFS($A$4:$A$356,A23,$J$4:$J$356,"&gt;"&amp;J23)</x:f>
        <x:v>20</x:v>
      </x:c>
      <x:c r="C23" s="175" t="n">
        <x:v>25</x:v>
      </x:c>
      <x:c r="D23" s="108" t="str">
        <x:v>Tua Tagovailoa</x:v>
      </x:c>
      <x:c r="E23" s="108" t="str">
        <x:v>MIA</x:v>
      </x:c>
      <x:c r="F23" s="108" t="str">
        <x:v>MIA</x:v>
      </x:c>
      <x:c r="G23" s="109" t="n">
        <x:v>172.13</x:v>
      </x:c>
      <x:c r="H23" s="109" t="n">
        <x:f>'Weekly Points'!W23</x:f>
        <x:v>10.12529411764706</x:v>
      </x:c>
      <x:c r="I23" s="109" t="n">
        <x:f>'Weekly Points'!X23</x:f>
        <x:v>9.35</x:v>
      </x:c>
      <x:c r="J23" s="109" t="n">
        <x:f>'Weekly Points'!Y23</x:f>
        <x:v>3.75</x:v>
      </x:c>
      <x:c r="K23" s="109" t="n">
        <x:f>'Weekly Points'!Z23</x:f>
        <x:v>8.805883806829225</x:v>
      </x:c>
      <x:c r="L23" s="173" t="n">
        <x:f>'Weekly Points'!AA23</x:f>
        <x:v>0.8696916558188393</x:v>
      </x:c>
      <x:c r="M23" s="173" t="n">
        <x:f>'Weekly Points'!AB23</x:f>
        <x:v>0.35294117647058826</x:v>
      </x:c>
      <x:c r="N23" s="109" t="n">
        <x:f>0.5*J23+0.3*I23+0.2*H23</x:f>
        <x:v>6.705058823529412</x:v>
      </x:c>
      <x:c r="O23" s="175" t="n">
        <x:v>14</x:v>
      </x:c>
      <x:c r="P23" s="175" t="n">
        <x:v>12</x:v>
      </x:c>
      <x:c r="Q23" s="175" t="n">
        <x:v>20</x:v>
      </x:c>
      <x:c r="R23" s="175" t="n">
        <x:v>0</x:v>
      </x:c>
      <x:c r="S23" s="175" t="n">
        <x:v>0</x:v>
      </x:c>
      <x:c r="T23" s="175" t="n">
        <x:v>0</x:v>
      </x:c>
      <x:c r="U23" s="175" t="n">
        <x:v>0</x:v>
      </x:c>
      <x:c r="V23" s="175" t="n">
        <x:f>SUM(S23:U23)</x:f>
        <x:v>0</x:v>
      </x:c>
      <x:c r="W23" s="108" t="str">
        <x:v>https://fantasy.espn.com/football/leaders?leagueId=555583&amp;lineupSlot=0&amp;scoringPeriodId=0&amp;statSplit=lastSeason</x:v>
      </x:c>
    </x:row>
    <x:row r="24">
      <x:c r="A24" s="108" t="str">
        <x:v>QB</x:v>
      </x:c>
      <x:c r="B24" s="175" t="n">
        <x:f>1+COUNTIFS($A$4:$A$356,A24,$J$4:$J$356,"&gt;"&amp;J24)</x:f>
        <x:v>21</x:v>
      </x:c>
      <x:c r="C24" s="175" t="n">
        <x:v>24</x:v>
      </x:c>
      <x:c r="D24" s="108" t="str">
        <x:v>Geno Smith</x:v>
      </x:c>
      <x:c r="E24" s="108" t="str">
        <x:v>LV</x:v>
      </x:c>
      <x:c r="F24" s="108" t="str">
        <x:v>LV</x:v>
      </x:c>
      <x:c r="G24" s="109" t="n">
        <x:v>178.48</x:v>
      </x:c>
      <x:c r="H24" s="109" t="n">
        <x:f>'Weekly Points'!W24</x:f>
        <x:v>10.498823529411766</x:v>
      </x:c>
      <x:c r="I24" s="109" t="n">
        <x:f>'Weekly Points'!X24</x:f>
        <x:v>9.4</x:v>
      </x:c>
      <x:c r="J24" s="109" t="n">
        <x:f>'Weekly Points'!Y24</x:f>
        <x:v>3.5</x:v>
      </x:c>
      <x:c r="K24" s="109" t="n">
        <x:f>'Weekly Points'!Z24</x:f>
        <x:v>8.237158906516923</x:v>
      </x:c>
      <x:c r="L24" s="173" t="n">
        <x:f>'Weekly Points'!AA24</x:f>
        <x:v>0.7845792324674343</x:v>
      </x:c>
      <x:c r="M24" s="173" t="n">
        <x:f>'Weekly Points'!AB24</x:f>
        <x:v>0.29411764705882354</x:v>
      </x:c>
      <x:c r="N24" s="109" t="n">
        <x:f>0.5*J24+0.3*I24+0.2*H24</x:f>
        <x:v>6.669764705882354</x:v>
      </x:c>
      <x:c r="O24" s="175" t="n">
        <x:v>15</x:v>
      </x:c>
      <x:c r="P24" s="175" t="n">
        <x:v>8</x:v>
      </x:c>
      <x:c r="Q24" s="175" t="n">
        <x:v>41</x:v>
      </x:c>
      <x:c r="R24" s="175" t="n">
        <x:v>0</x:v>
      </x:c>
      <x:c r="S24" s="175" t="n">
        <x:v>0</x:v>
      </x:c>
      <x:c r="T24" s="175" t="n">
        <x:v>0</x:v>
      </x:c>
      <x:c r="U24" s="175" t="n">
        <x:v>0</x:v>
      </x:c>
      <x:c r="V24" s="175" t="n">
        <x:f>SUM(S24:U24)</x:f>
        <x:v>0</x:v>
      </x:c>
      <x:c r="W24" s="108" t="str">
        <x:v>https://fantasy.espn.com/football/leaders?leagueId=555583&amp;lineupSlot=0&amp;scoringPeriodId=0&amp;statSplit=lastSeason</x:v>
      </x:c>
    </x:row>
    <x:row r="25">
      <x:c r="A25" s="108" t="str">
        <x:v>QB</x:v>
      </x:c>
      <x:c r="B25" s="175" t="n">
        <x:f>1+COUNTIFS($A$4:$A$356,A25,$J$4:$J$356,"&gt;"&amp;J25)</x:f>
        <x:v>22</x:v>
      </x:c>
      <x:c r="C25" s="175" t="n">
        <x:v>17</x:v>
      </x:c>
      <x:c r="D25" s="108" t="str">
        <x:v>Daniel Jones</x:v>
      </x:c>
      <x:c r="E25" s="108" t="str">
        <x:v>IND</x:v>
      </x:c>
      <x:c r="F25" s="108" t="str">
        <x:v>IND</x:v>
      </x:c>
      <x:c r="G25" s="109" t="n">
        <x:v>242.78</x:v>
      </x:c>
      <x:c r="H25" s="109" t="n">
        <x:f>'Weekly Points'!W25</x:f>
        <x:v>14.281176470588239</x:v>
      </x:c>
      <x:c r="I25" s="109" t="n">
        <x:f>'Weekly Points'!X25</x:f>
        <x:v>17.15</x:v>
      </x:c>
      <x:c r="J25" s="109" t="n">
        <x:f>'Weekly Points'!Y25</x:f>
        <x:v>1.4</x:v>
      </x:c>
      <x:c r="K25" s="109" t="n">
        <x:f>'Weekly Points'!Z25</x:f>
        <x:v>10.201725276438145</x:v>
      </x:c>
      <x:c r="L25" s="173" t="n">
        <x:f>'Weekly Points'!AA25</x:f>
        <x:v>0.7143476797901327</x:v>
      </x:c>
      <x:c r="M25" s="173" t="n">
        <x:f>'Weekly Points'!AB25</x:f>
        <x:v>0.29411764705882354</x:v>
      </x:c>
      <x:c r="N25" s="109" t="n">
        <x:f>0.5*J25+0.3*I25+0.2*H25</x:f>
        <x:v>8.701235294117648</x:v>
      </x:c>
      <x:c r="O25" s="175" t="n">
        <x:v>13</x:v>
      </x:c>
      <x:c r="P25" s="175" t="n">
        <x:v>11</x:v>
      </x:c>
      <x:c r="Q25" s="175" t="n">
        <x:v>45</x:v>
      </x:c>
      <x:c r="R25" s="175" t="n">
        <x:v>0</x:v>
      </x:c>
      <x:c r="S25" s="175" t="n">
        <x:v>5</x:v>
      </x:c>
      <x:c r="T25" s="175" t="n">
        <x:v>0</x:v>
      </x:c>
      <x:c r="U25" s="175" t="n">
        <x:v>0</x:v>
      </x:c>
      <x:c r="V25" s="175" t="n">
        <x:f>SUM(S25:U25)</x:f>
        <x:v>5</x:v>
      </x:c>
      <x:c r="W25" s="108" t="str">
        <x:v>https://fantasy.espn.com/football/leaders?leagueId=555583&amp;lineupSlot=0&amp;scoringPeriodId=0&amp;statSplit=lastSeason</x:v>
      </x:c>
    </x:row>
    <x:row r="26">
      <x:c r="A26" s="108" t="str">
        <x:v>QB</x:v>
      </x:c>
      <x:c r="B26" s="175" t="n">
        <x:f>1+COUNTIFS($A$4:$A$356,A26,$J$4:$J$356,"&gt;"&amp;J26)</x:f>
        <x:v>23</x:v>
      </x:c>
      <x:c r="C26" s="175" t="n">
        <x:v>18</x:v>
      </x:c>
      <x:c r="D26" s="108" t="str">
        <x:v>Jacoby Brissett</x:v>
      </x:c>
      <x:c r="E26" s="108" t="str">
        <x:v>ARI</x:v>
      </x:c>
      <x:c r="F26" s="108" t="str">
        <x:v>ARI</x:v>
      </x:c>
      <x:c r="G26" s="109" t="n">
        <x:v>240.43</x:v>
      </x:c>
      <x:c r="H26" s="109" t="n">
        <x:f>'Weekly Points'!W26</x:f>
        <x:v>14.142941176470588</x:v>
      </x:c>
      <x:c r="I26" s="109" t="n">
        <x:f>'Weekly Points'!X26</x:f>
        <x:v>18.83</x:v>
      </x:c>
      <x:c r="J26" s="109" t="n">
        <x:f>'Weekly Points'!Y26</x:f>
        <x:v>0.2</x:v>
      </x:c>
      <x:c r="K26" s="109" t="n">
        <x:f>'Weekly Points'!Z26</x:f>
        <x:v>9.634165774627837</x:v>
      </x:c>
      <x:c r="L26" s="173" t="n">
        <x:f>'Weekly Points'!AA26</x:f>
        <x:v>0.6811995930985036</x:v>
      </x:c>
      <x:c r="M26" s="173" t="n">
        <x:f>'Weekly Points'!AB26</x:f>
        <x:v>0.29411764705882354</x:v>
      </x:c>
      <x:c r="N26" s="109" t="n">
        <x:f>0.5*J26+0.3*I26+0.2*H26</x:f>
        <x:v>8.577588235294117</x:v>
      </x:c>
      <x:c r="O26" s="175" t="n">
        <x:v>13</x:v>
      </x:c>
      <x:c r="P26" s="175" t="n">
        <x:v>8</x:v>
      </x:c>
      <x:c r="Q26" s="175" t="n">
        <x:v>38</x:v>
      </x:c>
      <x:c r="R26" s="175" t="n">
        <x:v>0</x:v>
      </x:c>
      <x:c r="S26" s="175" t="n">
        <x:v>1</x:v>
      </x:c>
      <x:c r="T26" s="175" t="n">
        <x:v>0</x:v>
      </x:c>
      <x:c r="U26" s="175" t="n">
        <x:v>0</x:v>
      </x:c>
      <x:c r="V26" s="175" t="n">
        <x:f>SUM(S26:U26)</x:f>
        <x:v>1</x:v>
      </x:c>
      <x:c r="W26" s="108" t="str">
        <x:v>https://fantasy.espn.com/football/leaders?leagueId=555583&amp;lineupSlot=0&amp;scoringPeriodId=0&amp;statSplit=lastSeason</x:v>
      </x:c>
    </x:row>
    <x:row r="27">
      <x:c r="A27" s="108" t="str">
        <x:v>QB</x:v>
      </x:c>
      <x:c r="B27" s="175" t="n">
        <x:f>1+COUNTIFS($A$4:$A$356,A27,$J$4:$J$356,"&gt;"&amp;J27)</x:f>
        <x:v>23</x:v>
      </x:c>
      <x:c r="C27" s="175" t="n">
        <x:v>27</x:v>
      </x:c>
      <x:c r="D27" s="108" t="str">
        <x:v>Joe Flacco</x:v>
      </x:c>
      <x:c r="E27" s="108" t="str">
        <x:v>CIN/CLE</x:v>
      </x:c>
      <x:c r="F27" s="108" t="str">
        <x:v>CIN</x:v>
      </x:c>
      <x:c r="G27" s="109" t="n">
        <x:v>165.11</x:v>
      </x:c>
      <x:c r="H27" s="109" t="n">
        <x:f>'Weekly Points'!W27</x:f>
        <x:v>9.712352941176468</x:v>
      </x:c>
      <x:c r="I27" s="109" t="n">
        <x:f>'Weekly Points'!X27</x:f>
        <x:v>4.1</x:v>
      </x:c>
      <x:c r="J27" s="109" t="n">
        <x:f>'Weekly Points'!Y27</x:f>
        <x:v>0.2</x:v>
      </x:c>
      <x:c r="K27" s="109" t="n">
        <x:f>'Weekly Points'!Z27</x:f>
        <x:v>11.340102463180504</x:v>
      </x:c>
      <x:c r="L27" s="173" t="n">
        <x:f>'Weekly Points'!AA27</x:f>
        <x:v>1.1675957959788543</x:v>
      </x:c>
      <x:c r="M27" s="173" t="n">
        <x:f>'Weekly Points'!AB27</x:f>
        <x:v>0.5294117647058824</x:v>
      </x:c>
      <x:c r="N27" s="109" t="n">
        <x:f>0.5*J27+0.3*I27+0.2*H27</x:f>
        <x:v>3.2724705882352936</x:v>
      </x:c>
      <x:c r="O27" s="175" t="n">
        <x:v>13</x:v>
      </x:c>
      <x:c r="P27" s="175" t="n">
        <x:v>10</x:v>
      </x:c>
      <x:c r="Q27" s="175" t="n">
        <x:v>21</x:v>
      </x:c>
      <x:c r="R27" s="175" t="n">
        <x:v>0</x:v>
      </x:c>
      <x:c r="S27" s="175" t="n">
        <x:v>1</x:v>
      </x:c>
      <x:c r="T27" s="175" t="n">
        <x:v>0</x:v>
      </x:c>
      <x:c r="U27" s="175" t="n">
        <x:v>0</x:v>
      </x:c>
      <x:c r="V27" s="175" t="n">
        <x:f>SUM(S27:U27)</x:f>
        <x:v>1</x:v>
      </x:c>
      <x:c r="W27" s="108" t="str">
        <x:v>https://fantasy.espn.com/football/leaders?leagueId=555583&amp;lineupSlot=0&amp;scoringPeriodId=0&amp;statSplit=lastSeason</x:v>
      </x:c>
    </x:row>
    <x:row r="28">
      <x:c r="A28" s="108" t="str">
        <x:v>QB</x:v>
      </x:c>
      <x:c r="B28" s="175" t="n">
        <x:f>1+COUNTIFS($A$4:$A$356,A28,$J$4:$J$356,"&gt;"&amp;J28)</x:f>
        <x:v>25</x:v>
      </x:c>
      <x:c r="C28" s="175" t="n">
        <x:v>16</x:v>
      </x:c>
      <x:c r="D28" s="108" t="str">
        <x:v>Jaxson Dart</x:v>
      </x:c>
      <x:c r="E28" s="108" t="str">
        <x:v>NYG</x:v>
      </x:c>
      <x:c r="F28" s="108" t="str">
        <x:v>NYG</x:v>
      </x:c>
      <x:c r="G28" s="109" t="n">
        <x:v>248.63</x:v>
      </x:c>
      <x:c r="H28" s="109" t="n">
        <x:f>'Weekly Points'!W28</x:f>
        <x:v>14.625294117647057</x:v>
      </x:c>
      <x:c r="I28" s="109" t="n">
        <x:f>'Weekly Points'!X28</x:f>
        <x:v>17.95</x:v>
      </x:c>
      <x:c r="J28" s="109" t="n">
        <x:f>'Weekly Points'!Y28</x:f>
        <x:v>0</x:v>
      </x:c>
      <x:c r="K28" s="109" t="n">
        <x:f>'Weekly Points'!Z28</x:f>
        <x:v>11.959758564180751</x:v>
      </x:c>
      <x:c r="L28" s="173" t="n">
        <x:f>'Weekly Points'!AA28</x:f>
        <x:v>0.8177448239998102</x:v>
      </x:c>
      <x:c r="M28" s="173" t="n">
        <x:f>'Weekly Points'!AB28</x:f>
        <x:v>0.35294117647058826</x:v>
      </x:c>
      <x:c r="N28" s="109" t="n">
        <x:f>0.5*J28+0.3*I28+0.2*H28</x:f>
        <x:v>8.310058823529411</x:v>
      </x:c>
      <x:c r="O28" s="175" t="n">
        <x:v>14</x:v>
      </x:c>
      <x:c r="P28" s="175" t="n">
        <x:v>14</x:v>
      </x:c>
      <x:c r="Q28" s="175" t="n">
        <x:v>86</x:v>
      </x:c>
      <x:c r="R28" s="175" t="n">
        <x:v>0</x:v>
      </x:c>
      <x:c r="S28" s="175" t="n">
        <x:v>9</x:v>
      </x:c>
      <x:c r="T28" s="175" t="n">
        <x:v>0</x:v>
      </x:c>
      <x:c r="U28" s="175" t="n">
        <x:v>0</x:v>
      </x:c>
      <x:c r="V28" s="175" t="n">
        <x:f>SUM(S28:U28)</x:f>
        <x:v>9</x:v>
      </x:c>
      <x:c r="W28" s="108" t="str">
        <x:v>https://fantasy.espn.com/football/leaders?leagueId=555583&amp;lineupSlot=0&amp;scoringPeriodId=0&amp;statSplit=lastSeason</x:v>
      </x:c>
    </x:row>
    <x:row r="29">
      <x:c r="A29" s="108" t="str">
        <x:v>QB</x:v>
      </x:c>
      <x:c r="B29" s="175" t="n">
        <x:f>1+COUNTIFS($A$4:$A$356,A29,$J$4:$J$356,"&gt;"&amp;J29)</x:f>
        <x:v>25</x:v>
      </x:c>
      <x:c r="C29" s="175" t="n">
        <x:v>26</x:v>
      </x:c>
      <x:c r="D29" s="108" t="str">
        <x:v>Tyler Shough</x:v>
      </x:c>
      <x:c r="E29" s="108" t="str">
        <x:v>NO</x:v>
      </x:c>
      <x:c r="F29" s="108" t="str">
        <x:v>NO</x:v>
      </x:c>
      <x:c r="G29" s="109" t="n">
        <x:v>167.8</x:v>
      </x:c>
      <x:c r="H29" s="109" t="n">
        <x:f>'Weekly Points'!W29</x:f>
        <x:v>9.870588235294116</x:v>
      </x:c>
      <x:c r="I29" s="109" t="n">
        <x:f>'Weekly Points'!X29</x:f>
        <x:v>7.85</x:v>
      </x:c>
      <x:c r="J29" s="109" t="n">
        <x:f>'Weekly Points'!Y29</x:f>
        <x:v>0</x:v>
      </x:c>
      <x:c r="K29" s="109" t="n">
        <x:f>'Weekly Points'!Z29</x:f>
        <x:v>9.607764305398883</x:v>
      </x:c>
      <x:c r="L29" s="173" t="n">
        <x:f>'Weekly Points'!AA29</x:f>
        <x:v>0.9733730225970264</x:v>
      </x:c>
      <x:c r="M29" s="173" t="n">
        <x:f>'Weekly Points'!AB29</x:f>
        <x:v>0.47058823529411764</x:v>
      </x:c>
      <x:c r="N29" s="109" t="n">
        <x:f>0.5*J29+0.3*I29+0.2*H29</x:f>
        <x:v>4.3291176470588235</x:v>
      </x:c>
      <x:c r="O29" s="175" t="n">
        <x:v>10</x:v>
      </x:c>
      <x:c r="P29" s="175" t="n">
        <x:v>11</x:v>
      </x:c>
      <x:c r="Q29" s="175" t="n">
        <x:v>45</x:v>
      </x:c>
      <x:c r="R29" s="175" t="n">
        <x:v>0</x:v>
      </x:c>
      <x:c r="S29" s="175" t="n">
        <x:v>3</x:v>
      </x:c>
      <x:c r="T29" s="175" t="n">
        <x:v>0</x:v>
      </x:c>
      <x:c r="U29" s="175" t="n">
        <x:v>0</x:v>
      </x:c>
      <x:c r="V29" s="175" t="n">
        <x:f>SUM(S29:U29)</x:f>
        <x:v>3</x:v>
      </x:c>
      <x:c r="W29" s="108" t="str">
        <x:v>https://fantasy.espn.com/football/leaders?leagueId=555583&amp;lineupSlot=0&amp;scoringPeriodId=0&amp;statSplit=lastSeason</x:v>
      </x:c>
    </x:row>
    <x:row r="30">
      <x:c r="A30" s="108" t="str">
        <x:v>QB</x:v>
      </x:c>
      <x:c r="B30" s="175" t="n">
        <x:f>1+COUNTIFS($A$4:$A$356,A30,$J$4:$J$356,"&gt;"&amp;J30)</x:f>
        <x:v>25</x:v>
      </x:c>
      <x:c r="C30" s="175" t="n">
        <x:v>22</x:v>
      </x:c>
      <x:c r="D30" s="108" t="str">
        <x:v>Brock Purdy</x:v>
      </x:c>
      <x:c r="E30" s="108" t="str">
        <x:v>SF</x:v>
      </x:c>
      <x:c r="F30" s="108" t="str">
        <x:v>SF</x:v>
      </x:c>
      <x:c r="G30" s="109" t="n">
        <x:v>192.38</x:v>
      </x:c>
      <x:c r="H30" s="109" t="n">
        <x:f>'Weekly Points'!W30</x:f>
        <x:v>11.316470588235294</x:v>
      </x:c>
      <x:c r="I30" s="109" t="n">
        <x:f>'Weekly Points'!X30</x:f>
        <x:v>4.95</x:v>
      </x:c>
      <x:c r="J30" s="109" t="n">
        <x:f>'Weekly Points'!Y30</x:f>
        <x:v>0</x:v>
      </x:c>
      <x:c r="K30" s="109" t="n">
        <x:f>'Weekly Points'!Z30</x:f>
        <x:v>13.003752373009366</x:v>
      </x:c>
      <x:c r="L30" s="173" t="n">
        <x:f>'Weekly Points'!AA30</x:f>
        <x:v>1.1490996483062648</x:v>
      </x:c>
      <x:c r="M30" s="173" t="n">
        <x:f>'Weekly Points'!AB30</x:f>
        <x:v>0.5294117647058824</x:v>
      </x:c>
      <x:c r="N30" s="109" t="n">
        <x:f>0.5*J30+0.3*I30+0.2*H30</x:f>
        <x:v>3.7482941176470588</x:v>
      </x:c>
      <x:c r="O30" s="175" t="n">
        <x:v>9</x:v>
      </x:c>
      <x:c r="P30" s="175" t="n">
        <x:v>14</x:v>
      </x:c>
      <x:c r="Q30" s="175" t="n">
        <x:v>33</x:v>
      </x:c>
      <x:c r="R30" s="175" t="n">
        <x:v>0</x:v>
      </x:c>
      <x:c r="S30" s="175" t="n">
        <x:v>3</x:v>
      </x:c>
      <x:c r="T30" s="175" t="n">
        <x:v>0</x:v>
      </x:c>
      <x:c r="U30" s="175" t="n">
        <x:v>0</x:v>
      </x:c>
      <x:c r="V30" s="175" t="n">
        <x:f>SUM(S30:U30)</x:f>
        <x:v>3</x:v>
      </x:c>
      <x:c r="W30" s="108" t="str">
        <x:v>https://fantasy.espn.com/football/leaders?leagueId=555583&amp;lineupSlot=0&amp;scoringPeriodId=0&amp;statSplit=lastSeason</x:v>
      </x:c>
    </x:row>
    <x:row r="31">
      <x:c r="A31" s="108" t="str">
        <x:v>QB</x:v>
      </x:c>
      <x:c r="B31" s="175" t="n">
        <x:f>1+COUNTIFS($A$4:$A$356,A31,$J$4:$J$356,"&gt;"&amp;J31)</x:f>
        <x:v>25</x:v>
      </x:c>
      <x:c r="C31" s="175" t="n">
        <x:v>31</x:v>
      </x:c>
      <x:c r="D31" s="108" t="str">
        <x:v>Marcus Mariota</x:v>
      </x:c>
      <x:c r="E31" s="108" t="str">
        <x:v>WSH</x:v>
      </x:c>
      <x:c r="F31" s="108" t="str">
        <x:v>WSH</x:v>
      </x:c>
      <x:c r="G31" s="109" t="n">
        <x:v>136.28</x:v>
      </x:c>
      <x:c r="H31" s="109" t="n">
        <x:f>'Weekly Points'!W31</x:f>
        <x:v>8.016470588235295</x:v>
      </x:c>
      <x:c r="I31" s="109" t="n">
        <x:f>'Weekly Points'!X31</x:f>
        <x:v>3.55</x:v>
      </x:c>
      <x:c r="J31" s="109" t="n">
        <x:f>'Weekly Points'!Y31</x:f>
        <x:v>0</x:v>
      </x:c>
      <x:c r="K31" s="109" t="n">
        <x:f>'Weekly Points'!Z31</x:f>
        <x:v>9.425465469034325</x:v>
      </x:c>
      <x:c r="L31" s="173" t="n">
        <x:f>'Weekly Points'!AA31</x:f>
        <x:v>1.1757624961372433</x:v>
      </x:c>
      <x:c r="M31" s="173" t="n">
        <x:f>'Weekly Points'!AB31</x:f>
        <x:v>0.5294117647058824</x:v>
      </x:c>
      <x:c r="N31" s="109" t="n">
        <x:f>0.5*J31+0.3*I31+0.2*H31</x:f>
        <x:v>2.668294117647059</x:v>
      </x:c>
      <x:c r="O31" s="175" t="n">
        <x:v>10</x:v>
      </x:c>
      <x:c r="P31" s="175" t="n">
        <x:v>12</x:v>
      </x:c>
      <x:c r="Q31" s="175" t="n">
        <x:v>50</x:v>
      </x:c>
      <x:c r="R31" s="175" t="n">
        <x:v>0</x:v>
      </x:c>
      <x:c r="S31" s="175" t="n">
        <x:v>1</x:v>
      </x:c>
      <x:c r="T31" s="175" t="n">
        <x:v>0</x:v>
      </x:c>
      <x:c r="U31" s="175" t="n">
        <x:v>0</x:v>
      </x:c>
      <x:c r="V31" s="175" t="n">
        <x:f>SUM(S31:U31)</x:f>
        <x:v>1</x:v>
      </x:c>
      <x:c r="W31" s="108" t="str">
        <x:v>https://fantasy.espn.com/football/leaders?leagueId=555583&amp;lineupSlot=0&amp;scoringPeriodId=0&amp;statSplit=lastSeason</x:v>
      </x:c>
    </x:row>
    <x:row r="32">
      <x:c r="A32" s="108" t="str">
        <x:v>QB</x:v>
      </x:c>
      <x:c r="B32" s="175" t="n">
        <x:f>1+COUNTIFS($A$4:$A$356,A32,$J$4:$J$356,"&gt;"&amp;J32)</x:f>
        <x:v>25</x:v>
      </x:c>
      <x:c r="C32" s="175" t="n">
        <x:v>32</x:v>
      </x:c>
      <x:c r="D32" s="108" t="str">
        <x:v>Michael Penix Jr.</x:v>
      </x:c>
      <x:c r="E32" s="108" t="str">
        <x:v>ATL</x:v>
      </x:c>
      <x:c r="F32" s="108" t="str">
        <x:v>ATL</x:v>
      </x:c>
      <x:c r="G32" s="109" t="n">
        <x:v>133.93</x:v>
      </x:c>
      <x:c r="H32" s="109" t="n">
        <x:f>'Weekly Points'!W32</x:f>
        <x:v>7.878235294117648</x:v>
      </x:c>
      <x:c r="I32" s="109" t="n">
        <x:f>'Weekly Points'!X32</x:f>
        <x:v>5.15</x:v>
      </x:c>
      <x:c r="J32" s="109" t="n">
        <x:f>'Weekly Points'!Y32</x:f>
        <x:v>0</x:v>
      </x:c>
      <x:c r="K32" s="109" t="n">
        <x:f>'Weekly Points'!Z32</x:f>
        <x:v>9.28520913337546</x:v>
      </x:c>
      <x:c r="L32" s="173" t="n">
        <x:f>'Weekly Points'!AA32</x:f>
        <x:v>1.178589974370065</x:v>
      </x:c>
      <x:c r="M32" s="173" t="n">
        <x:f>'Weekly Points'!AB32</x:f>
        <x:v>0.47058823529411764</x:v>
      </x:c>
      <x:c r="N32" s="109" t="n">
        <x:f>0.5*J32+0.3*I32+0.2*H32</x:f>
        <x:v>3.12064705882353</x:v>
      </x:c>
      <x:c r="O32" s="175" t="n">
        <x:v>9</x:v>
      </x:c>
      <x:c r="P32" s="175" t="n">
        <x:v>5</x:v>
      </x:c>
      <x:c r="Q32" s="175" t="n">
        <x:v>21</x:v>
      </x:c>
      <x:c r="R32" s="175" t="n">
        <x:v>0</x:v>
      </x:c>
      <x:c r="S32" s="175" t="n">
        <x:v>1</x:v>
      </x:c>
      <x:c r="T32" s="175" t="n">
        <x:v>0</x:v>
      </x:c>
      <x:c r="U32" s="175" t="n">
        <x:v>0</x:v>
      </x:c>
      <x:c r="V32" s="175" t="n">
        <x:f>SUM(S32:U32)</x:f>
        <x:v>1</x:v>
      </x:c>
      <x:c r="W32" s="108" t="str">
        <x:v>https://fantasy.espn.com/football/leaders?leagueId=555583&amp;lineupSlot=0&amp;scoringPeriodId=0&amp;statSplit=lastSeason</x:v>
      </x:c>
    </x:row>
    <x:row r="33">
      <x:c r="A33" s="108" t="str">
        <x:v>QB</x:v>
      </x:c>
      <x:c r="B33" s="175" t="n">
        <x:f>1+COUNTIFS($A$4:$A$356,A33,$J$4:$J$356,"&gt;"&amp;J33)</x:f>
        <x:v>25</x:v>
      </x:c>
      <x:c r="C33" s="175" t="n">
        <x:v>29</x:v>
      </x:c>
      <x:c r="D33" s="108" t="str">
        <x:v>Mac Jones</x:v>
      </x:c>
      <x:c r="E33" s="108" t="str">
        <x:v>SF</x:v>
      </x:c>
      <x:c r="F33" s="108" t="str">
        <x:v>SF</x:v>
      </x:c>
      <x:c r="G33" s="109" t="n">
        <x:v>143.88</x:v>
      </x:c>
      <x:c r="H33" s="109" t="n">
        <x:f>'Weekly Points'!W33</x:f>
        <x:v>8.463529411764704</x:v>
      </x:c>
      <x:c r="I33" s="109" t="n">
        <x:f>'Weekly Points'!X33</x:f>
        <x:v>0.2</x:v>
      </x:c>
      <x:c r="J33" s="109" t="n">
        <x:f>'Weekly Points'!Y33</x:f>
        <x:v>0</x:v>
      </x:c>
      <x:c r="K33" s="109" t="n">
        <x:f>'Weekly Points'!Z33</x:f>
        <x:v>10.113083512534043</x:v>
      </x:c>
      <x:c r="L33" s="173" t="n">
        <x:f>'Weekly Points'!AA33</x:f>
        <x:v>1.1949014436549819</x:v>
      </x:c>
      <x:c r="M33" s="173" t="n">
        <x:f>'Weekly Points'!AB33</x:f>
        <x:v>0.5294117647058824</x:v>
      </x:c>
      <x:c r="N33" s="109" t="n">
        <x:f>0.5*J33+0.3*I33+0.2*H33</x:f>
        <x:v>1.752705882352941</x:v>
      </x:c>
      <x:c r="O33" s="175" t="n">
        <x:v>11</x:v>
      </x:c>
      <x:c r="P33" s="175" t="n">
        <x:v>14</x:v>
      </x:c>
      <x:c r="Q33" s="175" t="n">
        <x:v>36</x:v>
      </x:c>
      <x:c r="R33" s="175" t="n">
        <x:v>0</x:v>
      </x:c>
      <x:c r="S33" s="175" t="n">
        <x:v>0</x:v>
      </x:c>
      <x:c r="T33" s="175" t="n">
        <x:v>0</x:v>
      </x:c>
      <x:c r="U33" s="175" t="n">
        <x:v>0</x:v>
      </x:c>
      <x:c r="V33" s="175" t="n">
        <x:f>SUM(S33:U33)</x:f>
        <x:v>0</x:v>
      </x:c>
      <x:c r="W33" s="108" t="str">
        <x:v>https://fantasy.espn.com/football/leaders?leagueId=555583&amp;lineupSlot=0&amp;scoringPeriodId=0&amp;statSplit=lastSeason</x:v>
      </x:c>
    </x:row>
    <x:row r="34">
      <x:c r="A34" s="108" t="str">
        <x:v>QB</x:v>
      </x:c>
      <x:c r="B34" s="175" t="n">
        <x:f>1+COUNTIFS($A$4:$A$356,A34,$J$4:$J$356,"&gt;"&amp;J34)</x:f>
        <x:v>25</x:v>
      </x:c>
      <x:c r="C34" s="175" t="n">
        <x:v>33</x:v>
      </x:c>
      <x:c r="D34" s="108" t="str">
        <x:v>J.J. McCarthy</x:v>
      </x:c>
      <x:c r="E34" s="108" t="str">
        <x:v>MIN</x:v>
      </x:c>
      <x:c r="F34" s="108" t="str">
        <x:v>MIN</x:v>
      </x:c>
      <x:c r="G34" s="109" t="n">
        <x:v>125.53</x:v>
      </x:c>
      <x:c r="H34" s="109" t="n">
        <x:f>'Weekly Points'!W34</x:f>
        <x:v>7.384117647058824</x:v>
      </x:c>
      <x:c r="I34" s="109" t="n">
        <x:f>'Weekly Points'!X34</x:f>
        <x:v>0.4</x:v>
      </x:c>
      <x:c r="J34" s="109" t="n">
        <x:f>'Weekly Points'!Y34</x:f>
        <x:v>0</x:v>
      </x:c>
      <x:c r="K34" s="109" t="n">
        <x:f>'Weekly Points'!Z34</x:f>
        <x:v>9.107074211405193</x:v>
      </x:c>
      <x:c r="L34" s="173" t="n">
        <x:f>'Weekly Points'!AA34</x:f>
        <x:v>1.2333327618409007</x:v>
      </x:c>
      <x:c r="M34" s="173" t="n">
        <x:f>'Weekly Points'!AB34</x:f>
        <x:v>0.5294117647058824</x:v>
      </x:c>
      <x:c r="N34" s="109" t="n">
        <x:f>0.5*J34+0.3*I34+0.2*H34</x:f>
        <x:v>1.5968235294117648</x:v>
      </x:c>
      <x:c r="O34" s="175" t="n">
        <x:v>10</x:v>
      </x:c>
      <x:c r="P34" s="175" t="n">
        <x:v>6</x:v>
      </x:c>
      <x:c r="Q34" s="175" t="n">
        <x:v>37</x:v>
      </x:c>
      <x:c r="R34" s="175" t="n">
        <x:v>0</x:v>
      </x:c>
      <x:c r="S34" s="175" t="n">
        <x:v>4</x:v>
      </x:c>
      <x:c r="T34" s="175" t="n">
        <x:v>0</x:v>
      </x:c>
      <x:c r="U34" s="175" t="n">
        <x:v>0</x:v>
      </x:c>
      <x:c r="V34" s="175" t="n">
        <x:f>SUM(S34:U34)</x:f>
        <x:v>4</x:v>
      </x:c>
      <x:c r="W34" s="108" t="str">
        <x:v>https://fantasy.espn.com/football/leaders?leagueId=555583&amp;lineupSlot=0&amp;scoringPeriodId=0&amp;statSplit=lastSeason</x:v>
      </x:c>
    </x:row>
    <x:row r="35">
      <x:c r="A35" s="108" t="str">
        <x:v>QB</x:v>
      </x:c>
      <x:c r="B35" s="175" t="n">
        <x:f>1+COUNTIFS($A$4:$A$356,A35,$J$4:$J$356,"&gt;"&amp;J35)</x:f>
        <x:v>25</x:v>
      </x:c>
      <x:c r="C35" s="175" t="n">
        <x:v>28</x:v>
      </x:c>
      <x:c r="D35" s="108" t="str">
        <x:v>Joe Burrow</x:v>
      </x:c>
      <x:c r="E35" s="108" t="str">
        <x:v>CIN</x:v>
      </x:c>
      <x:c r="F35" s="108" t="str">
        <x:v>CIN</x:v>
      </x:c>
      <x:c r="G35" s="109" t="n">
        <x:v>144.05</x:v>
      </x:c>
      <x:c r="H35" s="109" t="n">
        <x:f>'Weekly Points'!W35</x:f>
        <x:v>8.473529411764707</x:v>
      </x:c>
      <x:c r="I35" s="109" t="n">
        <x:f>'Weekly Points'!X35</x:f>
        <x:v>0</x:v>
      </x:c>
      <x:c r="J35" s="109" t="n">
        <x:f>'Weekly Points'!Y35</x:f>
        <x:v>0</x:v>
      </x:c>
      <x:c r="K35" s="109" t="n">
        <x:f>'Weekly Points'!Z35</x:f>
        <x:v>10.858882480242762</x:v>
      </x:c>
      <x:c r="L35" s="173" t="n">
        <x:f>'Weekly Points'!AA35</x:f>
        <x:v>1.2815064364049076</x:v>
      </x:c>
      <x:c r="M35" s="173" t="n">
        <x:f>'Weekly Points'!AB35</x:f>
        <x:v>0.5294117647058824</x:v>
      </x:c>
      <x:c r="N35" s="109" t="n">
        <x:f>0.5*J35+0.3*I35+0.2*H35</x:f>
        <x:v>1.6947058823529415</x:v>
      </x:c>
      <x:c r="O35" s="175" t="n">
        <x:v>8</x:v>
      </x:c>
      <x:c r="P35" s="175" t="n">
        <x:v>10</x:v>
      </x:c>
      <x:c r="Q35" s="175" t="n">
        <x:v>14</x:v>
      </x:c>
      <x:c r="R35" s="175" t="n">
        <x:v>0</x:v>
      </x:c>
      <x:c r="S35" s="175" t="n">
        <x:v>0</x:v>
      </x:c>
      <x:c r="T35" s="175" t="n">
        <x:v>0</x:v>
      </x:c>
      <x:c r="U35" s="175" t="n">
        <x:v>0</x:v>
      </x:c>
      <x:c r="V35" s="175" t="n">
        <x:f>SUM(S35:U35)</x:f>
        <x:v>0</x:v>
      </x:c>
      <x:c r="W35" s="108" t="str">
        <x:v>https://fantasy.espn.com/football/leaders?leagueId=555583&amp;lineupSlot=0&amp;scoringPeriodId=0&amp;statSplit=lastSeason</x:v>
      </x:c>
    </x:row>
    <x:row r="36">
      <x:c r="A36" s="108" t="str">
        <x:v>QB</x:v>
      </x:c>
      <x:c r="B36" s="175" t="n">
        <x:f>1+COUNTIFS($A$4:$A$356,A36,$J$4:$J$356,"&gt;"&amp;J36)</x:f>
        <x:v>25</x:v>
      </x:c>
      <x:c r="C36" s="175" t="n">
        <x:v>34</x:v>
      </x:c>
      <x:c r="D36" s="108" t="str">
        <x:v>Jayden Daniels</x:v>
      </x:c>
      <x:c r="E36" s="108" t="str">
        <x:v>WSH</x:v>
      </x:c>
      <x:c r="F36" s="108" t="str">
        <x:v>WSH</x:v>
      </x:c>
      <x:c r="G36" s="109" t="n">
        <x:v>116.73</x:v>
      </x:c>
      <x:c r="H36" s="109" t="n">
        <x:f>'Weekly Points'!W36</x:f>
        <x:v>6.866470588235295</x:v>
      </x:c>
      <x:c r="I36" s="109" t="n">
        <x:f>'Weekly Points'!X36</x:f>
        <x:v>0</x:v>
      </x:c>
      <x:c r="J36" s="109" t="n">
        <x:f>'Weekly Points'!Y36</x:f>
        <x:v>0</x:v>
      </x:c>
      <x:c r="K36" s="109" t="n">
        <x:f>'Weekly Points'!Z36</x:f>
        <x:v>9.052584253178736</x:v>
      </x:c>
      <x:c r="L36" s="173" t="n">
        <x:f>'Weekly Points'!AA36</x:f>
        <x:v>1.3183751589483295</x:v>
      </x:c>
      <x:c r="M36" s="173" t="n">
        <x:f>'Weekly Points'!AB36</x:f>
        <x:v>0.6470588235294118</x:v>
      </x:c>
      <x:c r="N36" s="109" t="n">
        <x:f>0.5*J36+0.3*I36+0.2*H36</x:f>
        <x:v>1.373294117647059</x:v>
      </x:c>
      <x:c r="O36" s="175" t="n">
        <x:v>7</x:v>
      </x:c>
      <x:c r="P36" s="175" t="n">
        <x:v>12</x:v>
      </x:c>
      <x:c r="Q36" s="175" t="n">
        <x:v>58</x:v>
      </x:c>
      <x:c r="R36" s="175" t="n">
        <x:v>0</x:v>
      </x:c>
      <x:c r="S36" s="175" t="n">
        <x:v>2</x:v>
      </x:c>
      <x:c r="T36" s="175" t="n">
        <x:v>0</x:v>
      </x:c>
      <x:c r="U36" s="175" t="n">
        <x:v>0</x:v>
      </x:c>
      <x:c r="V36" s="175" t="n">
        <x:f>SUM(S36:U36)</x:f>
        <x:v>2</x:v>
      </x:c>
      <x:c r="W36" s="108" t="str">
        <x:v>https://fantasy.espn.com/football/leaders?leagueId=555583&amp;lineupSlot=0&amp;scoringPeriodId=0&amp;statSplit=lastSeason</x:v>
      </x:c>
    </x:row>
    <x:row r="37">
      <x:c r="A37" s="108" t="str">
        <x:v>QB</x:v>
      </x:c>
      <x:c r="B37" s="175" t="n">
        <x:f>1+COUNTIFS($A$4:$A$356,A37,$J$4:$J$356,"&gt;"&amp;J37)</x:f>
        <x:v>25</x:v>
      </x:c>
      <x:c r="C37" s="175" t="n">
        <x:v>30</x:v>
      </x:c>
      <x:c r="D37" s="108" t="str">
        <x:v>Justin Fields</x:v>
      </x:c>
      <x:c r="E37" s="108" t="str">
        <x:v>NYJ</x:v>
      </x:c>
      <x:c r="F37" s="108" t="str">
        <x:v>NYJ</x:v>
      </x:c>
      <x:c r="G37" s="109" t="n">
        <x:v>143.24</x:v>
      </x:c>
      <x:c r="H37" s="109" t="n">
        <x:f>'Weekly Points'!W37</x:f>
        <x:v>8.425882352941175</x:v>
      </x:c>
      <x:c r="I37" s="109" t="n">
        <x:f>'Weekly Points'!X37</x:f>
        <x:v>0.85</x:v>
      </x:c>
      <x:c r="J37" s="109" t="n">
        <x:f>'Weekly Points'!Y37</x:f>
        <x:v>0</x:v>
      </x:c>
      <x:c r="K37" s="109" t="n">
        <x:f>'Weekly Points'!Z37</x:f>
        <x:v>11.593194280836409</x:v>
      </x:c>
      <x:c r="L37" s="173" t="n">
        <x:f>'Weekly Points'!AA37</x:f>
        <x:v>1.3759027001830424</x:v>
      </x:c>
      <x:c r="M37" s="173" t="n">
        <x:f>'Weekly Points'!AB37</x:f>
        <x:v>0.6470588235294118</x:v>
      </x:c>
      <x:c r="N37" s="109" t="n">
        <x:f>0.5*J37+0.3*I37+0.2*H37</x:f>
        <x:v>1.9401764705882352</x:v>
      </x:c>
      <x:c r="O37" s="175" t="n">
        <x:v>9</x:v>
      </x:c>
      <x:c r="P37" s="175" t="n">
        <x:v>9</x:v>
      </x:c>
      <x:c r="Q37" s="175" t="n">
        <x:v>71</x:v>
      </x:c>
      <x:c r="R37" s="175" t="n">
        <x:v>1</x:v>
      </x:c>
      <x:c r="S37" s="175" t="n">
        <x:v>4</x:v>
      </x:c>
      <x:c r="T37" s="175" t="n">
        <x:v>0</x:v>
      </x:c>
      <x:c r="U37" s="175" t="n">
        <x:v>0</x:v>
      </x:c>
      <x:c r="V37" s="175" t="n">
        <x:f>SUM(S37:U37)</x:f>
        <x:v>4</x:v>
      </x:c>
      <x:c r="W37" s="108" t="str">
        <x:v>https://fantasy.espn.com/football/leaders?leagueId=555583&amp;lineupSlot=0&amp;scoringPeriodId=0&amp;statSplit=lastSeason</x:v>
      </x:c>
    </x:row>
    <x:row r="38">
      <x:c r="A38" s="108" t="str">
        <x:v>RB</x:v>
      </x:c>
      <x:c r="B38" s="175" t="n">
        <x:f>1+COUNTIFS($A$4:$A$356,A38,$J$4:$J$356,"&gt;"&amp;J38)</x:f>
        <x:v>1</x:v>
      </x:c>
      <x:c r="C38" s="175" t="n">
        <x:v>1</x:v>
      </x:c>
      <x:c r="D38" s="108" t="str">
        <x:v>Christian McCaffrey</x:v>
      </x:c>
      <x:c r="E38" s="108" t="str">
        <x:v>SF</x:v>
      </x:c>
      <x:c r="F38" s="108" t="str">
        <x:v>SF</x:v>
      </x:c>
      <x:c r="G38" s="109" t="n">
        <x:v>364.6</x:v>
      </x:c>
      <x:c r="H38" s="109" t="n">
        <x:f>'Weekly Points'!W38</x:f>
        <x:v>21.447058823529414</x:v>
      </x:c>
      <x:c r="I38" s="109" t="n">
        <x:f>'Weekly Points'!X38</x:f>
        <x:v>20.6</x:v>
      </x:c>
      <x:c r="J38" s="109" t="n">
        <x:f>'Weekly Points'!Y38</x:f>
        <x:v>15.4</x:v>
      </x:c>
      <x:c r="K38" s="109" t="n">
        <x:f>'Weekly Points'!Z38</x:f>
        <x:v>7.746810929974676</x:v>
      </x:c>
      <x:c r="L38" s="173" t="n">
        <x:f>'Weekly Points'!AA38</x:f>
        <x:v>0.3612062145078702</x:v>
      </x:c>
      <x:c r="M38" s="173" t="n">
        <x:f>'Weekly Points'!AB38</x:f>
        <x:v>0.11764705882352941</x:v>
      </x:c>
      <x:c r="N38" s="109" t="n">
        <x:f>0.5*J38+0.3*I38+0.2*H38</x:f>
        <x:v>18.169411764705885</x:v>
      </x:c>
      <x:c r="O38" s="175" t="n">
        <x:v>17</x:v>
      </x:c>
      <x:c r="P38" s="175" t="n">
        <x:v>14</x:v>
      </x:c>
      <x:c r="Q38" s="175" t="n">
        <x:v>311</x:v>
      </x:c>
      <x:c r="R38" s="175" t="n">
        <x:v>129</x:v>
      </x:c>
      <x:c r="S38" s="175" t="n">
        <x:v>10</x:v>
      </x:c>
      <x:c r="T38" s="175" t="n">
        <x:v>7</x:v>
      </x:c>
      <x:c r="U38" s="175" t="n">
        <x:v>0</x:v>
      </x:c>
      <x:c r="V38" s="175" t="n">
        <x:f>SUM(S38:U38)</x:f>
        <x:v>17</x:v>
      </x:c>
      <x:c r="W38" s="108" t="str">
        <x:v>https://fantasy.espn.com/football/leaders?leagueId=555583&amp;lineupSlot=2&amp;scoringPeriodId=0&amp;statSplit=lastSeason</x:v>
      </x:c>
    </x:row>
    <x:row r="39">
      <x:c r="A39" s="108" t="str">
        <x:v>RB</x:v>
      </x:c>
      <x:c r="B39" s="175" t="n">
        <x:f>1+COUNTIFS($A$4:$A$356,A39,$J$4:$J$356,"&gt;"&amp;J39)</x:f>
        <x:v>2</x:v>
      </x:c>
      <x:c r="C39" s="175" t="n">
        <x:v>5</x:v>
      </x:c>
      <x:c r="D39" s="108" t="str">
        <x:v>De'Von Achane</x:v>
      </x:c>
      <x:c r="E39" s="108" t="str">
        <x:v>MIA</x:v>
      </x:c>
      <x:c r="F39" s="108" t="str">
        <x:v>MIA</x:v>
      </x:c>
      <x:c r="G39" s="109" t="n">
        <x:v>294.8</x:v>
      </x:c>
      <x:c r="H39" s="109" t="n">
        <x:f>'Weekly Points'!W39</x:f>
        <x:v>17.341176470588238</x:v>
      </x:c>
      <x:c r="I39" s="109" t="n">
        <x:f>'Weekly Points'!X39</x:f>
        <x:v>16.1</x:v>
      </x:c>
      <x:c r="J39" s="109" t="n">
        <x:f>'Weekly Points'!Y39</x:f>
        <x:v>13.6</x:v>
      </x:c>
      <x:c r="K39" s="109" t="n">
        <x:f>'Weekly Points'!Z39</x:f>
        <x:v>8.148046234493663</x:v>
      </x:c>
      <x:c r="L39" s="173" t="n">
        <x:f>'Weekly Points'!AA39</x:f>
        <x:v>0.4698669809579113</x:v>
      </x:c>
      <x:c r="M39" s="173" t="n">
        <x:f>'Weekly Points'!AB39</x:f>
        <x:v>0.058823529411764705</x:v>
      </x:c>
      <x:c r="N39" s="109" t="n">
        <x:f>0.5*J39+0.3*I39+0.2*H39</x:f>
        <x:v>15.098235294117647</x:v>
      </x:c>
      <x:c r="O39" s="175" t="n">
        <x:v>16</x:v>
      </x:c>
      <x:c r="P39" s="175" t="n">
        <x:v>12</x:v>
      </x:c>
      <x:c r="Q39" s="175" t="n">
        <x:v>238</x:v>
      </x:c>
      <x:c r="R39" s="175" t="n">
        <x:v>85</x:v>
      </x:c>
      <x:c r="S39" s="175" t="n">
        <x:v>8</x:v>
      </x:c>
      <x:c r="T39" s="175" t="n">
        <x:v>4</x:v>
      </x:c>
      <x:c r="U39" s="175" t="n">
        <x:v>0</x:v>
      </x:c>
      <x:c r="V39" s="175" t="n">
        <x:f>SUM(S39:U39)</x:f>
        <x:v>12</x:v>
      </x:c>
      <x:c r="W39" s="108" t="str">
        <x:v>https://fantasy.espn.com/football/leaders?leagueId=555583&amp;lineupSlot=2&amp;scoringPeriodId=0&amp;statSplit=lastSeason</x:v>
      </x:c>
    </x:row>
    <x:row r="40">
      <x:c r="A40" s="108" t="str">
        <x:v>RB</x:v>
      </x:c>
      <x:c r="B40" s="175" t="n">
        <x:f>1+COUNTIFS($A$4:$A$356,A40,$J$4:$J$356,"&gt;"&amp;J40)</x:f>
        <x:v>2</x:v>
      </x:c>
      <x:c r="C40" s="175" t="n">
        <x:v>3</x:v>
      </x:c>
      <x:c r="D40" s="108" t="str">
        <x:v>Bijan Robinson</x:v>
      </x:c>
      <x:c r="E40" s="108" t="str">
        <x:v>ATL</x:v>
      </x:c>
      <x:c r="F40" s="108" t="str">
        <x:v>ATL</x:v>
      </x:c>
      <x:c r="G40" s="109" t="n">
        <x:v>336.8</x:v>
      </x:c>
      <x:c r="H40" s="109" t="n">
        <x:f>'Weekly Points'!W40</x:f>
        <x:v>19.811764705882357</x:v>
      </x:c>
      <x:c r="I40" s="109" t="n">
        <x:f>'Weekly Points'!X40</x:f>
        <x:v>18.3</x:v>
      </x:c>
      <x:c r="J40" s="109" t="n">
        <x:f>'Weekly Points'!Y40</x:f>
        <x:v>13.6</x:v>
      </x:c>
      <x:c r="K40" s="109" t="n">
        <x:f>'Weekly Points'!Z40</x:f>
        <x:v>9.857387934225432</x:v>
      </x:c>
      <x:c r="L40" s="173" t="n">
        <x:f>'Weekly Points'!AA40</x:f>
        <x:v>0.4975522413356066</x:v>
      </x:c>
      <x:c r="M40" s="173" t="n">
        <x:f>'Weekly Points'!AB40</x:f>
        <x:v>0.23529411764705882</x:v>
      </x:c>
      <x:c r="N40" s="109" t="n">
        <x:f>0.5*J40+0.3*I40+0.2*H40</x:f>
        <x:v>16.252352941176472</x:v>
      </x:c>
      <x:c r="O40" s="175" t="n">
        <x:v>17</x:v>
      </x:c>
      <x:c r="P40" s="175" t="n">
        <x:v>5</x:v>
      </x:c>
      <x:c r="Q40" s="175" t="n">
        <x:v>287</x:v>
      </x:c>
      <x:c r="R40" s="175" t="n">
        <x:v>103</x:v>
      </x:c>
      <x:c r="S40" s="175" t="n">
        <x:v>7</x:v>
      </x:c>
      <x:c r="T40" s="175" t="n">
        <x:v>4</x:v>
      </x:c>
      <x:c r="U40" s="175" t="n">
        <x:v>0</x:v>
      </x:c>
      <x:c r="V40" s="175" t="n">
        <x:f>SUM(S40:U40)</x:f>
        <x:v>11</x:v>
      </x:c>
      <x:c r="W40" s="108" t="str">
        <x:v>https://fantasy.espn.com/football/leaders?leagueId=555583&amp;lineupSlot=2&amp;scoringPeriodId=0&amp;statSplit=lastSeason</x:v>
      </x:c>
    </x:row>
    <x:row r="41">
      <x:c r="A41" s="108" t="str">
        <x:v>RB</x:v>
      </x:c>
      <x:c r="B41" s="175" t="n">
        <x:f>1+COUNTIFS($A$4:$A$356,A41,$J$4:$J$356,"&gt;"&amp;J41)</x:f>
        <x:v>4</x:v>
      </x:c>
      <x:c r="C41" s="175" t="n">
        <x:v>2</x:v>
      </x:c>
      <x:c r="D41" s="108" t="str">
        <x:v>Jonathan Taylor</x:v>
      </x:c>
      <x:c r="E41" s="108" t="str">
        <x:v>IND</x:v>
      </x:c>
      <x:c r="F41" s="108" t="str">
        <x:v>IND</x:v>
      </x:c>
      <x:c r="G41" s="109" t="n">
        <x:v>344.8</x:v>
      </x:c>
      <x:c r="H41" s="109" t="n">
        <x:f>'Weekly Points'!W41</x:f>
        <x:v>20.28235294117647</x:v>
      </x:c>
      <x:c r="I41" s="109" t="n">
        <x:f>'Weekly Points'!X41</x:f>
        <x:v>15.4</x:v>
      </x:c>
      <x:c r="J41" s="109" t="n">
        <x:f>'Weekly Points'!Y41</x:f>
        <x:v>11.4</x:v>
      </x:c>
      <x:c r="K41" s="109" t="n">
        <x:f>'Weekly Points'!Z41</x:f>
        <x:v>12.482704990322912</x:v>
      </x:c>
      <x:c r="L41" s="173" t="n">
        <x:f>'Weekly Points'!AA41</x:f>
        <x:v>0.6154465917502596</x:v>
      </x:c>
      <x:c r="M41" s="173" t="n">
        <x:f>'Weekly Points'!AB41</x:f>
        <x:v>0.17647058823529413</x:v>
      </x:c>
      <x:c r="N41" s="109" t="n">
        <x:f>0.5*J41+0.3*I41+0.2*H41</x:f>
        <x:v>14.376470588235295</x:v>
      </x:c>
      <x:c r="O41" s="175" t="n">
        <x:v>17</x:v>
      </x:c>
      <x:c r="P41" s="175" t="n">
        <x:v>11</x:v>
      </x:c>
      <x:c r="Q41" s="175" t="n">
        <x:v>323</x:v>
      </x:c>
      <x:c r="R41" s="175" t="n">
        <x:v>55</x:v>
      </x:c>
      <x:c r="S41" s="175" t="n">
        <x:v>18</x:v>
      </x:c>
      <x:c r="T41" s="175" t="n">
        <x:v>2</x:v>
      </x:c>
      <x:c r="U41" s="175" t="n">
        <x:v>0</x:v>
      </x:c>
      <x:c r="V41" s="175" t="n">
        <x:f>SUM(S41:U41)</x:f>
        <x:v>20</x:v>
      </x:c>
      <x:c r="W41" s="108" t="str">
        <x:v>https://fantasy.espn.com/football/leaders?leagueId=555583&amp;lineupSlot=2&amp;scoringPeriodId=0&amp;statSplit=lastSeason</x:v>
      </x:c>
    </x:row>
    <x:row r="42">
      <x:c r="A42" s="108" t="str">
        <x:v>RB</x:v>
      </x:c>
      <x:c r="B42" s="175" t="n">
        <x:f>1+COUNTIFS($A$4:$A$356,A42,$J$4:$J$356,"&gt;"&amp;J42)</x:f>
        <x:v>5</x:v>
      </x:c>
      <x:c r="C42" s="175" t="n">
        <x:v>7</x:v>
      </x:c>
      <x:c r="D42" s="108" t="str">
        <x:v>Derrick Henry</x:v>
      </x:c>
      <x:c r="E42" s="108" t="str">
        <x:v>BAL</x:v>
      </x:c>
      <x:c r="F42" s="108" t="str">
        <x:v>BAL</x:v>
      </x:c>
      <x:c r="G42" s="109" t="n">
        <x:v>273.5</x:v>
      </x:c>
      <x:c r="H42" s="109" t="n">
        <x:f>'Weekly Points'!W42</x:f>
        <x:v>16.088235294117652</x:v>
      </x:c>
      <x:c r="I42" s="109" t="n">
        <x:f>'Weekly Points'!X42</x:f>
        <x:v>12.6</x:v>
      </x:c>
      <x:c r="J42" s="109" t="n">
        <x:f>'Weekly Points'!Y42</x:f>
        <x:v>10</x:v>
      </x:c>
      <x:c r="K42" s="109" t="n">
        <x:f>'Weekly Points'!Z42</x:f>
        <x:v>9.965049650296379</x:v>
      </x:c>
      <x:c r="L42" s="173" t="n">
        <x:f>'Weekly Points'!AA42</x:f>
        <x:v>0.619399795448038</x:v>
      </x:c>
      <x:c r="M42" s="173" t="n">
        <x:f>'Weekly Points'!AB42</x:f>
        <x:v>0.11764705882352941</x:v>
      </x:c>
      <x:c r="N42" s="109" t="n">
        <x:f>0.5*J42+0.3*I42+0.2*H42</x:f>
        <x:v>11.99764705882353</x:v>
      </x:c>
      <x:c r="O42" s="175" t="n">
        <x:v>17</x:v>
      </x:c>
      <x:c r="P42" s="175" t="n">
        <x:v>7</x:v>
      </x:c>
      <x:c r="Q42" s="175" t="n">
        <x:v>307</x:v>
      </x:c>
      <x:c r="R42" s="175" t="n">
        <x:v>21</x:v>
      </x:c>
      <x:c r="S42" s="175" t="n">
        <x:v>16</x:v>
      </x:c>
      <x:c r="T42" s="175" t="n">
        <x:v>0</x:v>
      </x:c>
      <x:c r="U42" s="175" t="n">
        <x:v>0</x:v>
      </x:c>
      <x:c r="V42" s="175" t="n">
        <x:f>SUM(S42:U42)</x:f>
        <x:v>16</x:v>
      </x:c>
      <x:c r="W42" s="108" t="str">
        <x:v>https://fantasy.espn.com/football/leaders?leagueId=555583&amp;lineupSlot=2&amp;scoringPeriodId=0&amp;statSplit=lastSeason</x:v>
      </x:c>
    </x:row>
    <x:row r="43">
      <x:c r="A43" s="108" t="str">
        <x:v>RB</x:v>
      </x:c>
      <x:c r="B43" s="175" t="n">
        <x:f>1+COUNTIFS($A$4:$A$356,A43,$J$4:$J$356,"&gt;"&amp;J43)</x:f>
        <x:v>5</x:v>
      </x:c>
      <x:c r="C43" s="175" t="n">
        <x:v>4</x:v>
      </x:c>
      <x:c r="D43" s="108" t="str">
        <x:v>Jahmyr Gibbs</x:v>
      </x:c>
      <x:c r="E43" s="108" t="str">
        <x:v>DET</x:v>
      </x:c>
      <x:c r="F43" s="108" t="str">
        <x:v>DET</x:v>
      </x:c>
      <x:c r="G43" s="109" t="n">
        <x:v>335.9</x:v>
      </x:c>
      <x:c r="H43" s="109" t="n">
        <x:f>'Weekly Points'!W43</x:f>
        <x:v>19.758823529411767</x:v>
      </x:c>
      <x:c r="I43" s="109" t="n">
        <x:f>'Weekly Points'!X43</x:f>
        <x:v>17.1</x:v>
      </x:c>
      <x:c r="J43" s="109" t="n">
        <x:f>'Weekly Points'!Y43</x:f>
        <x:v>10</x:v>
      </x:c>
      <x:c r="K43" s="109" t="n">
        <x:f>'Weekly Points'!Z43</x:f>
        <x:v>13.339991129000024</x:v>
      </x:c>
      <x:c r="L43" s="173" t="n">
        <x:f>'Weekly Points'!AA43</x:f>
        <x:v>0.67514096217029</x:v>
      </x:c>
      <x:c r="M43" s="173" t="n">
        <x:f>'Weekly Points'!AB43</x:f>
        <x:v>0.23529411764705882</x:v>
      </x:c>
      <x:c r="N43" s="109" t="n">
        <x:f>0.5*J43+0.3*I43+0.2*H43</x:f>
        <x:v>14.081764705882353</x:v>
      </x:c>
      <x:c r="O43" s="175" t="n">
        <x:v>17</x:v>
      </x:c>
      <x:c r="P43" s="175" t="n">
        <x:v>8</x:v>
      </x:c>
      <x:c r="Q43" s="175" t="n">
        <x:v>243</x:v>
      </x:c>
      <x:c r="R43" s="175" t="n">
        <x:v>94</x:v>
      </x:c>
      <x:c r="S43" s="175" t="n">
        <x:v>13</x:v>
      </x:c>
      <x:c r="T43" s="175" t="n">
        <x:v>5</x:v>
      </x:c>
      <x:c r="U43" s="175" t="n">
        <x:v>0</x:v>
      </x:c>
      <x:c r="V43" s="175" t="n">
        <x:f>SUM(S43:U43)</x:f>
        <x:v>18</x:v>
      </x:c>
      <x:c r="W43" s="108" t="str">
        <x:v>https://fantasy.espn.com/football/leaders?leagueId=555583&amp;lineupSlot=2&amp;scoringPeriodId=0&amp;statSplit=lastSeason</x:v>
      </x:c>
    </x:row>
    <x:row r="44">
      <x:c r="A44" s="108" t="str">
        <x:v>RB</x:v>
      </x:c>
      <x:c r="B44" s="175" t="n">
        <x:f>1+COUNTIFS($A$4:$A$356,A44,$J$4:$J$356,"&gt;"&amp;J44)</x:f>
        <x:v>7</x:v>
      </x:c>
      <x:c r="C44" s="175" t="n">
        <x:v>11</x:v>
      </x:c>
      <x:c r="D44" s="108" t="str">
        <x:v>Javonte Williams</x:v>
      </x:c>
      <x:c r="E44" s="108" t="str">
        <x:v>DAL</x:v>
      </x:c>
      <x:c r="F44" s="108" t="str">
        <x:v>DAL</x:v>
      </x:c>
      <x:c r="G44" s="109" t="n">
        <x:v>225.3</x:v>
      </x:c>
      <x:c r="H44" s="109" t="n">
        <x:f>'Weekly Points'!W44</x:f>
        <x:v>13.25294117647059</x:v>
      </x:c>
      <x:c r="I44" s="109" t="n">
        <x:f>'Weekly Points'!X44</x:f>
        <x:v>13.7</x:v>
      </x:c>
      <x:c r="J44" s="109" t="n">
        <x:f>'Weekly Points'!Y44</x:f>
        <x:v>9.7</x:v>
      </x:c>
      <x:c r="K44" s="109" t="n">
        <x:f>'Weekly Points'!Z44</x:f>
        <x:v>6.524714791788745</x:v>
      </x:c>
      <x:c r="L44" s="173" t="n">
        <x:f>'Weekly Points'!AA44</x:f>
        <x:v>0.4923220215730522</x:v>
      </x:c>
      <x:c r="M44" s="173" t="n">
        <x:f>'Weekly Points'!AB44</x:f>
        <x:v>0.17647058823529413</x:v>
      </x:c>
      <x:c r="N44" s="109" t="n">
        <x:f>0.5*J44+0.3*I44+0.2*H44</x:f>
        <x:v>11.610588235294117</x:v>
      </x:c>
      <x:c r="O44" s="175" t="n">
        <x:v>16</x:v>
      </x:c>
      <x:c r="P44" s="175" t="n">
        <x:v>10</x:v>
      </x:c>
      <x:c r="Q44" s="175" t="n">
        <x:v>252</x:v>
      </x:c>
      <x:c r="R44" s="175" t="n">
        <x:v>51</x:v>
      </x:c>
      <x:c r="S44" s="175" t="n">
        <x:v>11</x:v>
      </x:c>
      <x:c r="T44" s="175" t="n">
        <x:v>2</x:v>
      </x:c>
      <x:c r="U44" s="175" t="n">
        <x:v>0</x:v>
      </x:c>
      <x:c r="V44" s="175" t="n">
        <x:f>SUM(S44:U44)</x:f>
        <x:v>13</x:v>
      </x:c>
      <x:c r="W44" s="108" t="str">
        <x:v>https://fantasy.espn.com/football/leaders?leagueId=555583&amp;lineupSlot=2&amp;scoringPeriodId=0&amp;statSplit=lastSeason</x:v>
      </x:c>
    </x:row>
    <x:row r="45">
      <x:c r="A45" s="108" t="str">
        <x:v>RB</x:v>
      </x:c>
      <x:c r="B45" s="175" t="n">
        <x:f>1+COUNTIFS($A$4:$A$356,A45,$J$4:$J$356,"&gt;"&amp;J45)</x:f>
        <x:v>8</x:v>
      </x:c>
      <x:c r="C45" s="175" t="n">
        <x:v>9</x:v>
      </x:c>
      <x:c r="D45" s="108" t="str">
        <x:v>Kyren Williams</x:v>
      </x:c>
      <x:c r="E45" s="108" t="str">
        <x:v>LAR</x:v>
      </x:c>
      <x:c r="F45" s="108" t="str">
        <x:v>LAR</x:v>
      </x:c>
      <x:c r="G45" s="109" t="n">
        <x:v>245.7</x:v>
      </x:c>
      <x:c r="H45" s="109" t="n">
        <x:f>'Weekly Points'!W45</x:f>
        <x:v>14.452941176470587</x:v>
      </x:c>
      <x:c r="I45" s="109" t="n">
        <x:f>'Weekly Points'!X45</x:f>
        <x:v>14.5</x:v>
      </x:c>
      <x:c r="J45" s="109" t="n">
        <x:f>'Weekly Points'!Y45</x:f>
        <x:v>9.6</x:v>
      </x:c>
      <x:c r="K45" s="109" t="n">
        <x:f>'Weekly Points'!Z45</x:f>
        <x:v>5.5238645516318625</x:v>
      </x:c>
      <x:c r="L45" s="173" t="n">
        <x:f>'Weekly Points'!AA45</x:f>
        <x:v>0.38219657052397915</x:v>
      </x:c>
      <x:c r="M45" s="173" t="n">
        <x:f>'Weekly Points'!AB45</x:f>
        <x:v>0.058823529411764705</x:v>
      </x:c>
      <x:c r="N45" s="109" t="n">
        <x:f>0.5*J45+0.3*I45+0.2*H45</x:f>
        <x:v>12.040588235294116</x:v>
      </x:c>
      <x:c r="O45" s="175" t="n">
        <x:v>17</x:v>
      </x:c>
      <x:c r="P45" s="175" t="n">
        <x:v>8</x:v>
      </x:c>
      <x:c r="Q45" s="175" t="n">
        <x:v>259</x:v>
      </x:c>
      <x:c r="R45" s="175" t="n">
        <x:v>50</x:v>
      </x:c>
      <x:c r="S45" s="175" t="n">
        <x:v>10</x:v>
      </x:c>
      <x:c r="T45" s="175" t="n">
        <x:v>3</x:v>
      </x:c>
      <x:c r="U45" s="175" t="n">
        <x:v>0</x:v>
      </x:c>
      <x:c r="V45" s="175" t="n">
        <x:f>SUM(S45:U45)</x:f>
        <x:v>13</x:v>
      </x:c>
      <x:c r="W45" s="108" t="str">
        <x:v>https://fantasy.espn.com/football/leaders?leagueId=555583&amp;lineupSlot=2&amp;scoringPeriodId=0&amp;statSplit=lastSeason</x:v>
      </x:c>
    </x:row>
    <x:row r="46">
      <x:c r="A46" s="108" t="str">
        <x:v>RB</x:v>
      </x:c>
      <x:c r="B46" s="175" t="n">
        <x:f>1+COUNTIFS($A$4:$A$356,A46,$J$4:$J$356,"&gt;"&amp;J46)</x:f>
        <x:v>9</x:v>
      </x:c>
      <x:c r="C46" s="175" t="n">
        <x:v>6</x:v>
      </x:c>
      <x:c r="D46" s="108" t="str">
        <x:v>James Cook III</x:v>
      </x:c>
      <x:c r="E46" s="108" t="str">
        <x:v>BUF</x:v>
      </x:c>
      <x:c r="F46" s="108" t="str">
        <x:v>BUF</x:v>
      </x:c>
      <x:c r="G46" s="109" t="n">
        <x:v>292.2</x:v>
      </x:c>
      <x:c r="H46" s="109" t="n">
        <x:f>'Weekly Points'!W46</x:f>
        <x:v>17.188235294117646</x:v>
      </x:c>
      <x:c r="I46" s="109" t="n">
        <x:f>'Weekly Points'!X46</x:f>
        <x:v>18.7</x:v>
      </x:c>
      <x:c r="J46" s="109" t="n">
        <x:f>'Weekly Points'!Y46</x:f>
        <x:v>8.7</x:v>
      </x:c>
      <x:c r="K46" s="109" t="n">
        <x:f>'Weekly Points'!Z46</x:f>
        <x:v>9.343943137476886</x:v>
      </x:c>
      <x:c r="L46" s="173" t="n">
        <x:f>'Weekly Points'!AA46</x:f>
        <x:v>0.5436243440694971</x:v>
      </x:c>
      <x:c r="M46" s="173" t="n">
        <x:f>'Weekly Points'!AB46</x:f>
        <x:v>0.23529411764705882</x:v>
      </x:c>
      <x:c r="N46" s="109" t="n">
        <x:f>0.5*J46+0.3*I46+0.2*H46</x:f>
        <x:v>13.397647058823528</x:v>
      </x:c>
      <x:c r="O46" s="175" t="n">
        <x:v>17</x:v>
      </x:c>
      <x:c r="P46" s="175" t="n">
        <x:v>7</x:v>
      </x:c>
      <x:c r="Q46" s="175" t="n">
        <x:v>309</x:v>
      </x:c>
      <x:c r="R46" s="175" t="n">
        <x:v>40</x:v>
      </x:c>
      <x:c r="S46" s="175" t="n">
        <x:v>12</x:v>
      </x:c>
      <x:c r="T46" s="175" t="n">
        <x:v>2</x:v>
      </x:c>
      <x:c r="U46" s="175" t="n">
        <x:v>0</x:v>
      </x:c>
      <x:c r="V46" s="175" t="n">
        <x:f>SUM(S46:U46)</x:f>
        <x:v>14</x:v>
      </x:c>
      <x:c r="W46" s="108" t="str">
        <x:v>https://fantasy.espn.com/football/leaders?leagueId=555583&amp;lineupSlot=2&amp;scoringPeriodId=0&amp;statSplit=lastSeason</x:v>
      </x:c>
    </x:row>
    <x:row r="47">
      <x:c r="A47" s="108" t="str">
        <x:v>RB</x:v>
      </x:c>
      <x:c r="B47" s="175" t="n">
        <x:f>1+COUNTIFS($A$4:$A$356,A47,$J$4:$J$356,"&gt;"&amp;J47)</x:f>
        <x:v>10</x:v>
      </x:c>
      <x:c r="C47" s="175" t="n">
        <x:v>8</x:v>
      </x:c>
      <x:c r="D47" s="108" t="str">
        <x:v>Chase Brown</x:v>
      </x:c>
      <x:c r="E47" s="108" t="str">
        <x:v>CIN</x:v>
      </x:c>
      <x:c r="F47" s="108" t="str">
        <x:v>CIN</x:v>
      </x:c>
      <x:c r="G47" s="109" t="n">
        <x:v>247.1</x:v>
      </x:c>
      <x:c r="H47" s="109" t="n">
        <x:f>'Weekly Points'!W47</x:f>
        <x:v>14.53529411764706</x:v>
      </x:c>
      <x:c r="I47" s="109" t="n">
        <x:f>'Weekly Points'!X47</x:f>
        <x:v>14</x:v>
      </x:c>
      <x:c r="J47" s="109" t="n">
        <x:f>'Weekly Points'!Y47</x:f>
        <x:v>8.6</x:v>
      </x:c>
      <x:c r="K47" s="109" t="n">
        <x:f>'Weekly Points'!Z47</x:f>
        <x:v>7.1160085620150335</x:v>
      </x:c>
      <x:c r="L47" s="173" t="n">
        <x:f>'Weekly Points'!AA47</x:f>
        <x:v>0.4895675659824183</x:v>
      </x:c>
      <x:c r="M47" s="173" t="n">
        <x:f>'Weekly Points'!AB47</x:f>
        <x:v>0.058823529411764705</x:v>
      </x:c>
      <x:c r="N47" s="109" t="n">
        <x:f>0.5*J47+0.3*I47+0.2*H47</x:f>
        <x:v>11.407058823529413</x:v>
      </x:c>
      <x:c r="O47" s="175" t="n">
        <x:v>17</x:v>
      </x:c>
      <x:c r="P47" s="175" t="n">
        <x:v>10</x:v>
      </x:c>
      <x:c r="Q47" s="175" t="n">
        <x:v>232</x:v>
      </x:c>
      <x:c r="R47" s="175" t="n">
        <x:v>88</x:v>
      </x:c>
      <x:c r="S47" s="175" t="n">
        <x:v>6</x:v>
      </x:c>
      <x:c r="T47" s="175" t="n">
        <x:v>5</x:v>
      </x:c>
      <x:c r="U47" s="175" t="n">
        <x:v>0</x:v>
      </x:c>
      <x:c r="V47" s="175" t="n">
        <x:f>SUM(S47:U47)</x:f>
        <x:v>11</x:v>
      </x:c>
      <x:c r="W47" s="108" t="str">
        <x:v>https://fantasy.espn.com/football/leaders?leagueId=555583&amp;lineupSlot=2&amp;scoringPeriodId=0&amp;statSplit=lastSeason</x:v>
      </x:c>
    </x:row>
    <x:row r="48">
      <x:c r="A48" s="108" t="str">
        <x:v>RB</x:v>
      </x:c>
      <x:c r="B48" s="175" t="n">
        <x:f>1+COUNTIFS($A$4:$A$356,A48,$J$4:$J$356,"&gt;"&amp;J48)</x:f>
        <x:v>11</x:v>
      </x:c>
      <x:c r="C48" s="175" t="n">
        <x:v>15</x:v>
      </x:c>
      <x:c r="D48" s="108" t="str">
        <x:v>D'Andre Swift</x:v>
      </x:c>
      <x:c r="E48" s="108" t="str">
        <x:v>CHI</x:v>
      </x:c>
      <x:c r="F48" s="108" t="str">
        <x:v>CHI</x:v>
      </x:c>
      <x:c r="G48" s="109" t="n">
        <x:v>213.6</x:v>
      </x:c>
      <x:c r="H48" s="109" t="n">
        <x:f>'Weekly Points'!W48</x:f>
        <x:v>12.564705882352941</x:v>
      </x:c>
      <x:c r="I48" s="109" t="n">
        <x:f>'Weekly Points'!X48</x:f>
        <x:v>12.3</x:v>
      </x:c>
      <x:c r="J48" s="109" t="n">
        <x:f>'Weekly Points'!Y48</x:f>
        <x:v>8</x:v>
      </x:c>
      <x:c r="K48" s="109" t="n">
        <x:f>'Weekly Points'!Z48</x:f>
        <x:v>7.224626281925924</x:v>
      </x:c>
      <x:c r="L48" s="173" t="n">
        <x:f>'Weekly Points'!AA48</x:f>
        <x:v>0.5749936647600221</x:v>
      </x:c>
      <x:c r="M48" s="173" t="n">
        <x:f>'Weekly Points'!AB48</x:f>
        <x:v>0.17647058823529413</x:v>
      </x:c>
      <x:c r="N48" s="109" t="n">
        <x:f>0.5*J48+0.3*I48+0.2*H48</x:f>
        <x:v>10.202941176470588</x:v>
      </x:c>
      <x:c r="O48" s="175" t="n">
        <x:v>16</x:v>
      </x:c>
      <x:c r="P48" s="175" t="n">
        <x:v>5</x:v>
      </x:c>
      <x:c r="Q48" s="175" t="n">
        <x:v>223</x:v>
      </x:c>
      <x:c r="R48" s="175" t="n">
        <x:v>48</x:v>
      </x:c>
      <x:c r="S48" s="175" t="n">
        <x:v>9</x:v>
      </x:c>
      <x:c r="T48" s="175" t="n">
        <x:v>1</x:v>
      </x:c>
      <x:c r="U48" s="175" t="n">
        <x:v>0</x:v>
      </x:c>
      <x:c r="V48" s="175" t="n">
        <x:f>SUM(S48:U48)</x:f>
        <x:v>10</x:v>
      </x:c>
      <x:c r="W48" s="108" t="str">
        <x:v>https://fantasy.espn.com/football/leaders?leagueId=555583&amp;lineupSlot=2&amp;scoringPeriodId=0&amp;statSplit=lastSeason</x:v>
      </x:c>
    </x:row>
    <x:row r="49">
      <x:c r="A49" s="108" t="str">
        <x:v>RB</x:v>
      </x:c>
      <x:c r="B49" s="175" t="n">
        <x:f>1+COUNTIFS($A$4:$A$356,A49,$J$4:$J$356,"&gt;"&amp;J49)</x:f>
        <x:v>12</x:v>
      </x:c>
      <x:c r="C49" s="175" t="n">
        <x:v>16</x:v>
      </x:c>
      <x:c r="D49" s="108" t="str">
        <x:v>Jaylen Warren</x:v>
      </x:c>
      <x:c r="E49" s="108" t="str">
        <x:v>PIT</x:v>
      </x:c>
      <x:c r="F49" s="108" t="str">
        <x:v>PIT</x:v>
      </x:c>
      <x:c r="G49" s="109" t="n">
        <x:v>206.75</x:v>
      </x:c>
      <x:c r="H49" s="109" t="n">
        <x:f>'Weekly Points'!W49</x:f>
        <x:v>12.161764705882351</x:v>
      </x:c>
      <x:c r="I49" s="109" t="n">
        <x:f>'Weekly Points'!X49</x:f>
        <x:v>11.4</x:v>
      </x:c>
      <x:c r="J49" s="109" t="n">
        <x:f>'Weekly Points'!Y49</x:f>
        <x:v>7.92</x:v>
      </x:c>
      <x:c r="K49" s="109" t="n">
        <x:f>'Weekly Points'!Z49</x:f>
        <x:v>6.808089682216831</x:v>
      </x:c>
      <x:c r="L49" s="173" t="n">
        <x:f>'Weekly Points'!AA49</x:f>
        <x:v>0.559794556699812</x:v>
      </x:c>
      <x:c r="M49" s="173" t="n">
        <x:f>'Weekly Points'!AB49</x:f>
        <x:v>0.058823529411764705</x:v>
      </x:c>
      <x:c r="N49" s="109" t="n">
        <x:f>0.5*J49+0.3*I49+0.2*H49</x:f>
        <x:v>9.81235294117647</x:v>
      </x:c>
      <x:c r="O49" s="175" t="n">
        <x:v>16</x:v>
      </x:c>
      <x:c r="P49" s="175" t="n">
        <x:v>5</x:v>
      </x:c>
      <x:c r="Q49" s="175" t="n">
        <x:v>211</x:v>
      </x:c>
      <x:c r="R49" s="175" t="n">
        <x:v>45</x:v>
      </x:c>
      <x:c r="S49" s="175" t="n">
        <x:v>6</x:v>
      </x:c>
      <x:c r="T49" s="175" t="n">
        <x:v>2</x:v>
      </x:c>
      <x:c r="U49" s="175" t="n">
        <x:v>0</x:v>
      </x:c>
      <x:c r="V49" s="175" t="n">
        <x:f>SUM(S49:U49)</x:f>
        <x:v>8</x:v>
      </x:c>
      <x:c r="W49" s="108" t="str">
        <x:v>https://fantasy.espn.com/football/leaders?leagueId=555583&amp;lineupSlot=2&amp;scoringPeriodId=0&amp;statSplit=lastSeason</x:v>
      </x:c>
    </x:row>
    <x:row r="50">
      <x:c r="A50" s="108" t="str">
        <x:v>RB</x:v>
      </x:c>
      <x:c r="B50" s="175" t="n">
        <x:f>1+COUNTIFS($A$4:$A$356,A50,$J$4:$J$356,"&gt;"&amp;J50)</x:f>
        <x:v>13</x:v>
      </x:c>
      <x:c r="C50" s="175" t="n">
        <x:v>10</x:v>
      </x:c>
      <x:c r="D50" s="108" t="str">
        <x:v>Travis Etienne Jr.</x:v>
      </x:c>
      <x:c r="E50" s="108" t="str">
        <x:v>JAX</x:v>
      </x:c>
      <x:c r="F50" s="108" t="str">
        <x:v>JAX</x:v>
      </x:c>
      <x:c r="G50" s="109" t="n">
        <x:v>239.4</x:v>
      </x:c>
      <x:c r="H50" s="109" t="n">
        <x:f>'Weekly Points'!W50</x:f>
        <x:v>14.082352941176469</x:v>
      </x:c>
      <x:c r="I50" s="109" t="n">
        <x:f>'Weekly Points'!X50</x:f>
        <x:v>14.6</x:v>
      </x:c>
      <x:c r="J50" s="109" t="n">
        <x:f>'Weekly Points'!Y50</x:f>
        <x:v>7.5</x:v>
      </x:c>
      <x:c r="K50" s="109" t="n">
        <x:f>'Weekly Points'!Z50</x:f>
        <x:v>7.029286240572588</x:v>
      </x:c>
      <x:c r="L50" s="173" t="n">
        <x:f>'Weekly Points'!AA50</x:f>
        <x:v>0.4991556645352298</x:v>
      </x:c>
      <x:c r="M50" s="173" t="n">
        <x:f>'Weekly Points'!AB50</x:f>
        <x:v>0.17647058823529413</x:v>
      </x:c>
      <x:c r="N50" s="109" t="n">
        <x:f>0.5*J50+0.3*I50+0.2*H50</x:f>
        <x:v>10.946470588235293</x:v>
      </x:c>
      <x:c r="O50" s="175" t="n">
        <x:v>17</x:v>
      </x:c>
      <x:c r="P50" s="175" t="n">
        <x:v>8</x:v>
      </x:c>
      <x:c r="Q50" s="175" t="n">
        <x:v>260</x:v>
      </x:c>
      <x:c r="R50" s="175" t="n">
        <x:v>52</x:v>
      </x:c>
      <x:c r="S50" s="175" t="n">
        <x:v>7</x:v>
      </x:c>
      <x:c r="T50" s="175" t="n">
        <x:v>6</x:v>
      </x:c>
      <x:c r="U50" s="175" t="n">
        <x:v>0</x:v>
      </x:c>
      <x:c r="V50" s="175" t="n">
        <x:f>SUM(S50:U50)</x:f>
        <x:v>13</x:v>
      </x:c>
      <x:c r="W50" s="108" t="str">
        <x:v>https://fantasy.espn.com/football/leaders?leagueId=555583&amp;lineupSlot=2&amp;scoringPeriodId=0&amp;statSplit=lastSeason</x:v>
      </x:c>
    </x:row>
    <x:row r="51">
      <x:c r="A51" s="108" t="str">
        <x:v>RB</x:v>
      </x:c>
      <x:c r="B51" s="175" t="n">
        <x:f>1+COUNTIFS($A$4:$A$356,A51,$J$4:$J$356,"&gt;"&amp;J51)</x:f>
        <x:v>13</x:v>
      </x:c>
      <x:c r="C51" s="175" t="n">
        <x:v>14</x:v>
      </x:c>
      <x:c r="D51" s="108" t="str">
        <x:v>Saquon Barkley</x:v>
      </x:c>
      <x:c r="E51" s="108" t="str">
        <x:v>PHI</x:v>
      </x:c>
      <x:c r="F51" s="108" t="str">
        <x:v>PHI</x:v>
      </x:c>
      <x:c r="G51" s="109" t="n">
        <x:v>219.8</x:v>
      </x:c>
      <x:c r="H51" s="109" t="n">
        <x:f>'Weekly Points'!W51</x:f>
        <x:v>12.92941176470588</x:v>
      </x:c>
      <x:c r="I51" s="109" t="n">
        <x:f>'Weekly Points'!X51</x:f>
        <x:v>11.6</x:v>
      </x:c>
      <x:c r="J51" s="109" t="n">
        <x:f>'Weekly Points'!Y51</x:f>
        <x:v>7.5</x:v>
      </x:c>
      <x:c r="K51" s="109" t="n">
        <x:f>'Weekly Points'!Z51</x:f>
        <x:v>7.756649117778383</x:v>
      </x:c>
      <x:c r="L51" s="173" t="n">
        <x:f>'Weekly Points'!AA51</x:f>
        <x:v>0.5999228162066994</x:v>
      </x:c>
      <x:c r="M51" s="173" t="n">
        <x:f>'Weekly Points'!AB51</x:f>
        <x:v>0.17647058823529413</x:v>
      </x:c>
      <x:c r="N51" s="109" t="n">
        <x:f>0.5*J51+0.3*I51+0.2*H51</x:f>
        <x:v>9.815882352941177</x:v>
      </x:c>
      <x:c r="O51" s="175" t="n">
        <x:v>16</x:v>
      </x:c>
      <x:c r="P51" s="175" t="n">
        <x:v>9</x:v>
      </x:c>
      <x:c r="Q51" s="175" t="n">
        <x:v>280</x:v>
      </x:c>
      <x:c r="R51" s="175" t="n">
        <x:v>50</x:v>
      </x:c>
      <x:c r="S51" s="175" t="n">
        <x:v>7</x:v>
      </x:c>
      <x:c r="T51" s="175" t="n">
        <x:v>2</x:v>
      </x:c>
      <x:c r="U51" s="175" t="n">
        <x:v>0</x:v>
      </x:c>
      <x:c r="V51" s="175" t="n">
        <x:f>SUM(S51:U51)</x:f>
        <x:v>9</x:v>
      </x:c>
      <x:c r="W51" s="108" t="str">
        <x:v>https://fantasy.espn.com/football/leaders?leagueId=555583&amp;lineupSlot=2&amp;scoringPeriodId=0&amp;statSplit=lastSeason</x:v>
      </x:c>
    </x:row>
    <x:row r="52">
      <x:c r="A52" s="108" t="str">
        <x:v>RB</x:v>
      </x:c>
      <x:c r="B52" s="175" t="n">
        <x:f>1+COUNTIFS($A$4:$A$356,A52,$J$4:$J$356,"&gt;"&amp;J52)</x:f>
        <x:v>15</x:v>
      </x:c>
      <x:c r="C52" s="175" t="n">
        <x:v>12</x:v>
      </x:c>
      <x:c r="D52" s="108" t="str">
        <x:v>Ashton Jeanty</x:v>
      </x:c>
      <x:c r="E52" s="108" t="str">
        <x:v>LV</x:v>
      </x:c>
      <x:c r="F52" s="108" t="str">
        <x:v>LV</x:v>
      </x:c>
      <x:c r="G52" s="109" t="n">
        <x:v>223.1</x:v>
      </x:c>
      <x:c r="H52" s="109" t="n">
        <x:f>'Weekly Points'!W52</x:f>
        <x:v>13.123529411764705</x:v>
      </x:c>
      <x:c r="I52" s="109" t="n">
        <x:f>'Weekly Points'!X52</x:f>
        <x:v>10.9</x:v>
      </x:c>
      <x:c r="J52" s="109" t="n">
        <x:f>'Weekly Points'!Y52</x:f>
        <x:v>6.3</x:v>
      </x:c>
      <x:c r="K52" s="109" t="n">
        <x:f>'Weekly Points'!Z52</x:f>
        <x:v>9.163067134314714</x:v>
      </x:c>
      <x:c r="L52" s="173" t="n">
        <x:f>'Weekly Points'!AA52</x:f>
        <x:v>0.6982166798895121</x:v>
      </x:c>
      <x:c r="M52" s="173" t="n">
        <x:f>'Weekly Points'!AB52</x:f>
        <x:v>0.35294117647058826</x:v>
      </x:c>
      <x:c r="N52" s="109" t="n">
        <x:f>0.5*J52+0.3*I52+0.2*H52</x:f>
        <x:v>9.044705882352941</x:v>
      </x:c>
      <x:c r="O52" s="175" t="n">
        <x:v>17</x:v>
      </x:c>
      <x:c r="P52" s="175" t="n">
        <x:v>8</x:v>
      </x:c>
      <x:c r="Q52" s="175" t="n">
        <x:v>266</x:v>
      </x:c>
      <x:c r="R52" s="175" t="n">
        <x:v>73</x:v>
      </x:c>
      <x:c r="S52" s="175" t="n">
        <x:v>5</x:v>
      </x:c>
      <x:c r="T52" s="175" t="n">
        <x:v>5</x:v>
      </x:c>
      <x:c r="U52" s="175" t="n">
        <x:v>0</x:v>
      </x:c>
      <x:c r="V52" s="175" t="n">
        <x:f>SUM(S52:U52)</x:f>
        <x:v>10</x:v>
      </x:c>
      <x:c r="W52" s="108" t="str">
        <x:v>https://fantasy.espn.com/football/leaders?leagueId=555583&amp;lineupSlot=2&amp;scoringPeriodId=0&amp;statSplit=lastSeason</x:v>
      </x:c>
    </x:row>
    <x:row r="53">
      <x:c r="A53" s="108" t="str">
        <x:v>RB</x:v>
      </x:c>
      <x:c r="B53" s="175" t="n">
        <x:f>1+COUNTIFS($A$4:$A$356,A53,$J$4:$J$356,"&gt;"&amp;J53)</x:f>
        <x:v>15</x:v>
      </x:c>
      <x:c r="C53" s="175" t="n">
        <x:v>19</x:v>
      </x:c>
      <x:c r="D53" s="108" t="str">
        <x:v>Rico Dowdle</x:v>
      </x:c>
      <x:c r="E53" s="108" t="str">
        <x:v>CAR</x:v>
      </x:c>
      <x:c r="F53" s="108" t="str">
        <x:v>CAR</x:v>
      </x:c>
      <x:c r="G53" s="109" t="n">
        <x:v>202.21</x:v>
      </x:c>
      <x:c r="H53" s="109" t="n">
        <x:f>'Weekly Points'!W53</x:f>
        <x:v>11.894705882352943</x:v>
      </x:c>
      <x:c r="I53" s="109" t="n">
        <x:f>'Weekly Points'!X53</x:f>
        <x:v>9.4</x:v>
      </x:c>
      <x:c r="J53" s="109" t="n">
        <x:f>'Weekly Points'!Y53</x:f>
        <x:v>6.3</x:v>
      </x:c>
      <x:c r="K53" s="109" t="n">
        <x:f>'Weekly Points'!Z53</x:f>
        <x:v>8.96654508692438</x:v>
      </x:c>
      <x:c r="L53" s="173" t="n">
        <x:f>'Weekly Points'!AA53</x:f>
        <x:v>0.7538265490218805</x:v>
      </x:c>
      <x:c r="M53" s="173" t="n">
        <x:f>'Weekly Points'!AB53</x:f>
        <x:v>0.17647058823529413</x:v>
      </x:c>
      <x:c r="N53" s="109" t="n">
        <x:f>0.5*J53+0.3*I53+0.2*H53</x:f>
        <x:v>8.34894117647059</x:v>
      </x:c>
      <x:c r="O53" s="175" t="n">
        <x:v>17</x:v>
      </x:c>
      <x:c r="P53" s="175" t="n">
        <x:v>14</x:v>
      </x:c>
      <x:c r="Q53" s="175" t="n">
        <x:v>236</x:v>
      </x:c>
      <x:c r="R53" s="175" t="n">
        <x:v>50</x:v>
      </x:c>
      <x:c r="S53" s="175" t="n">
        <x:v>6</x:v>
      </x:c>
      <x:c r="T53" s="175" t="n">
        <x:v>1</x:v>
      </x:c>
      <x:c r="U53" s="175" t="n">
        <x:v>0</x:v>
      </x:c>
      <x:c r="V53" s="175" t="n">
        <x:f>SUM(S53:U53)</x:f>
        <x:v>7</x:v>
      </x:c>
      <x:c r="W53" s="108" t="str">
        <x:v>https://fantasy.espn.com/football/leaders?leagueId=555583&amp;lineupSlot=2&amp;scoringPeriodId=0&amp;statSplit=lastSeason</x:v>
      </x:c>
    </x:row>
    <x:row r="54">
      <x:c r="A54" s="108" t="str">
        <x:v>RB</x:v>
      </x:c>
      <x:c r="B54" s="175" t="n">
        <x:f>1+COUNTIFS($A$4:$A$356,A54,$J$4:$J$356,"&gt;"&amp;J54)</x:f>
        <x:v>17</x:v>
      </x:c>
      <x:c r="C54" s="175" t="n">
        <x:v>22</x:v>
      </x:c>
      <x:c r="D54" s="108" t="str">
        <x:v>Kenneth Walker III</x:v>
      </x:c>
      <x:c r="E54" s="108" t="str">
        <x:v>SEA</x:v>
      </x:c>
      <x:c r="F54" s="108" t="str">
        <x:v>SEA</x:v>
      </x:c>
      <x:c r="G54" s="109" t="n">
        <x:v>177.9</x:v>
      </x:c>
      <x:c r="H54" s="109" t="n">
        <x:f>'Weekly Points'!W54</x:f>
        <x:v>10.464705882352941</x:v>
      </x:c>
      <x:c r="I54" s="109" t="n">
        <x:f>'Weekly Points'!X54</x:f>
        <x:v>8.9</x:v>
      </x:c>
      <x:c r="J54" s="109" t="n">
        <x:f>'Weekly Points'!Y54</x:f>
        <x:v>6.2</x:v>
      </x:c>
      <x:c r="K54" s="109" t="n">
        <x:f>'Weekly Points'!Z54</x:f>
        <x:v>6.404588536764835</x:v>
      </x:c>
      <x:c r="L54" s="173" t="n">
        <x:f>'Weekly Points'!AA54</x:f>
        <x:v>0.6120180164418335</x:v>
      </x:c>
      <x:c r="M54" s="173" t="n">
        <x:f>'Weekly Points'!AB54</x:f>
        <x:v>0.23529411764705882</x:v>
      </x:c>
      <x:c r="N54" s="109" t="n">
        <x:f>0.5*J54+0.3*I54+0.2*H54</x:f>
        <x:v>7.8629411764705885</x:v>
      </x:c>
      <x:c r="O54" s="175" t="n">
        <x:v>17</x:v>
      </x:c>
      <x:c r="P54" s="175" t="n">
        <x:v>8</x:v>
      </x:c>
      <x:c r="Q54" s="175" t="n">
        <x:v>221</x:v>
      </x:c>
      <x:c r="R54" s="175" t="n">
        <x:v>36</x:v>
      </x:c>
      <x:c r="S54" s="175" t="n">
        <x:v>5</x:v>
      </x:c>
      <x:c r="T54" s="175" t="n">
        <x:v>0</x:v>
      </x:c>
      <x:c r="U54" s="175" t="n">
        <x:v>0</x:v>
      </x:c>
      <x:c r="V54" s="175" t="n">
        <x:f>SUM(S54:U54)</x:f>
        <x:v>5</x:v>
      </x:c>
      <x:c r="W54" s="108" t="str">
        <x:v>https://fantasy.espn.com/football/leaders?leagueId=555583&amp;lineupSlot=2&amp;scoringPeriodId=0&amp;statSplit=lastSeason</x:v>
      </x:c>
    </x:row>
    <x:row r="55">
      <x:c r="A55" s="108" t="str">
        <x:v>RB</x:v>
      </x:c>
      <x:c r="B55" s="175" t="n">
        <x:f>1+COUNTIFS($A$4:$A$356,A55,$J$4:$J$356,"&gt;"&amp;J55)</x:f>
        <x:v>18</x:v>
      </x:c>
      <x:c r="C55" s="175" t="n">
        <x:v>24</x:v>
      </x:c>
      <x:c r="D55" s="108" t="str">
        <x:v>Tony Pollard</x:v>
      </x:c>
      <x:c r="E55" s="108" t="str">
        <x:v>TEN</x:v>
      </x:c>
      <x:c r="F55" s="108" t="str">
        <x:v>TEN</x:v>
      </x:c>
      <x:c r="G55" s="109" t="n">
        <x:v>170.8</x:v>
      </x:c>
      <x:c r="H55" s="109" t="n">
        <x:f>'Weekly Points'!W55</x:f>
        <x:v>10.04705882352941</x:v>
      </x:c>
      <x:c r="I55" s="109" t="n">
        <x:f>'Weekly Points'!X55</x:f>
        <x:v>9.1</x:v>
      </x:c>
      <x:c r="J55" s="109" t="n">
        <x:f>'Weekly Points'!Y55</x:f>
        <x:v>6.1</x:v>
      </x:c>
      <x:c r="K55" s="109" t="n">
        <x:f>'Weekly Points'!Z55</x:f>
        <x:v>6.0215414918205346</x:v>
      </x:c>
      <x:c r="L55" s="173" t="n">
        <x:f>'Weekly Points'!AA55</x:f>
        <x:v>0.5993337550406856</x:v>
      </x:c>
      <x:c r="M55" s="173" t="n">
        <x:f>'Weekly Points'!AB55</x:f>
        <x:v>0.11764705882352941</x:v>
      </x:c>
      <x:c r="N55" s="109" t="n">
        <x:f>0.5*J55+0.3*I55+0.2*H55</x:f>
        <x:v>7.789411764705882</x:v>
      </x:c>
      <x:c r="O55" s="175" t="n">
        <x:v>17</x:v>
      </x:c>
      <x:c r="P55" s="175" t="n">
        <x:v>10</x:v>
      </x:c>
      <x:c r="Q55" s="175" t="n">
        <x:v>242</x:v>
      </x:c>
      <x:c r="R55" s="175" t="n">
        <x:v>41</x:v>
      </x:c>
      <x:c r="S55" s="175" t="n">
        <x:v>5</x:v>
      </x:c>
      <x:c r="T55" s="175" t="n">
        <x:v>0</x:v>
      </x:c>
      <x:c r="U55" s="175" t="n">
        <x:v>0</x:v>
      </x:c>
      <x:c r="V55" s="175" t="n">
        <x:f>SUM(S55:U55)</x:f>
        <x:v>5</x:v>
      </x:c>
      <x:c r="W55" s="108" t="str">
        <x:v>https://fantasy.espn.com/football/leaders?leagueId=555583&amp;lineupSlot=2&amp;scoringPeriodId=0&amp;statSplit=lastSeason</x:v>
      </x:c>
    </x:row>
    <x:row r="56">
      <x:c r="A56" s="108" t="str">
        <x:v>RB</x:v>
      </x:c>
      <x:c r="B56" s="175" t="n">
        <x:f>1+COUNTIFS($A$4:$A$356,A56,$J$4:$J$356,"&gt;"&amp;J56)</x:f>
        <x:v>19</x:v>
      </x:c>
      <x:c r="C56" s="175" t="n">
        <x:v>21</x:v>
      </x:c>
      <x:c r="D56" s="108" t="str">
        <x:v>Breece Hall</x:v>
      </x:c>
      <x:c r="E56" s="108" t="str">
        <x:v>NYJ</x:v>
      </x:c>
      <x:c r="F56" s="108" t="str">
        <x:v>NYJ</x:v>
      </x:c>
      <x:c r="G56" s="109" t="n">
        <x:v>193.7</x:v>
      </x:c>
      <x:c r="H56" s="109" t="n">
        <x:f>'Weekly Points'!W56</x:f>
        <x:v>11.394117647058824</x:v>
      </x:c>
      <x:c r="I56" s="109" t="n">
        <x:f>'Weekly Points'!X56</x:f>
        <x:v>7.4</x:v>
      </x:c>
      <x:c r="J56" s="109" t="n">
        <x:f>'Weekly Points'!Y56</x:f>
        <x:v>5.9</x:v>
      </x:c>
      <x:c r="K56" s="109" t="n">
        <x:f>'Weekly Points'!Z56</x:f>
        <x:v>7.85219868708461</x:v>
      </x:c>
      <x:c r="L56" s="173" t="n">
        <x:f>'Weekly Points'!AA56</x:f>
        <x:v>0.6891449544679317</x:v>
      </x:c>
      <x:c r="M56" s="173" t="n">
        <x:f>'Weekly Points'!AB56</x:f>
        <x:v>0.23529411764705882</x:v>
      </x:c>
      <x:c r="N56" s="109" t="n">
        <x:f>0.5*J56+0.3*I56+0.2*H56</x:f>
        <x:v>7.448823529411765</x:v>
      </x:c>
      <x:c r="O56" s="175" t="n">
        <x:v>16</x:v>
      </x:c>
      <x:c r="P56" s="175" t="n">
        <x:v>9</x:v>
      </x:c>
      <x:c r="Q56" s="175" t="n">
        <x:v>243</x:v>
      </x:c>
      <x:c r="R56" s="175" t="n">
        <x:v>48</x:v>
      </x:c>
      <x:c r="S56" s="175" t="n">
        <x:v>4</x:v>
      </x:c>
      <x:c r="T56" s="175" t="n">
        <x:v>1</x:v>
      </x:c>
      <x:c r="U56" s="175" t="n">
        <x:v>0</x:v>
      </x:c>
      <x:c r="V56" s="175" t="n">
        <x:f>SUM(S56:U56)</x:f>
        <x:v>5</x:v>
      </x:c>
      <x:c r="W56" s="108" t="str">
        <x:v>https://fantasy.espn.com/football/leaders?leagueId=555583&amp;lineupSlot=2&amp;scoringPeriodId=0&amp;statSplit=lastSeason</x:v>
      </x:c>
    </x:row>
    <x:row r="57">
      <x:c r="A57" s="108" t="str">
        <x:v>RB</x:v>
      </x:c>
      <x:c r="B57" s="175" t="n">
        <x:f>1+COUNTIFS($A$4:$A$356,A57,$J$4:$J$356,"&gt;"&amp;J57)</x:f>
        <x:v>20</x:v>
      </x:c>
      <x:c r="C57" s="175" t="n">
        <x:v>17</x:v>
      </x:c>
      <x:c r="D57" s="108" t="str">
        <x:v>Kenneth Gainwell</x:v>
      </x:c>
      <x:c r="E57" s="108" t="str">
        <x:v>PIT</x:v>
      </x:c>
      <x:c r="F57" s="108" t="str">
        <x:v>PIT</x:v>
      </x:c>
      <x:c r="G57" s="109" t="n">
        <x:v>205.29</x:v>
      </x:c>
      <x:c r="H57" s="109" t="n">
        <x:f>'Weekly Points'!W57</x:f>
        <x:v>12.075882352941179</x:v>
      </x:c>
      <x:c r="I57" s="109" t="n">
        <x:f>'Weekly Points'!X57</x:f>
        <x:v>7.32</x:v>
      </x:c>
      <x:c r="J57" s="109" t="n">
        <x:f>'Weekly Points'!Y57</x:f>
        <x:v>5.4</x:v>
      </x:c>
      <x:c r="K57" s="109" t="n">
        <x:f>'Weekly Points'!Z57</x:f>
        <x:v>8.362894277224932</x:v>
      </x:c>
      <x:c r="L57" s="173" t="n">
        <x:f>'Weekly Points'!AA57</x:f>
        <x:v>0.6925286312671042</x:v>
      </x:c>
      <x:c r="M57" s="173" t="n">
        <x:f>'Weekly Points'!AB57</x:f>
        <x:v>0.4117647058823529</x:v>
      </x:c>
      <x:c r="N57" s="109" t="n">
        <x:f>0.5*J57+0.3*I57+0.2*H57</x:f>
        <x:v>7.3111764705882365</x:v>
      </x:c>
      <x:c r="O57" s="175" t="n">
        <x:v>17</x:v>
      </x:c>
      <x:c r="P57" s="175" t="n">
        <x:v>5</x:v>
      </x:c>
      <x:c r="Q57" s="175" t="n">
        <x:v>114</x:v>
      </x:c>
      <x:c r="R57" s="175" t="n">
        <x:v>85</x:v>
      </x:c>
      <x:c r="S57" s="175" t="n">
        <x:v>5</x:v>
      </x:c>
      <x:c r="T57" s="175" t="n">
        <x:v>3</x:v>
      </x:c>
      <x:c r="U57" s="175" t="n">
        <x:v>0</x:v>
      </x:c>
      <x:c r="V57" s="175" t="n">
        <x:f>SUM(S57:U57)</x:f>
        <x:v>8</x:v>
      </x:c>
      <x:c r="W57" s="108" t="str">
        <x:v>https://fantasy.espn.com/football/leaders?leagueId=555583&amp;lineupSlot=2&amp;scoringPeriodId=0&amp;statSplit=lastSeason</x:v>
      </x:c>
    </x:row>
    <x:row r="58">
      <x:c r="A58" s="108" t="str">
        <x:v>RB</x:v>
      </x:c>
      <x:c r="B58" s="175" t="n">
        <x:f>1+COUNTIFS($A$4:$A$356,A58,$J$4:$J$356,"&gt;"&amp;J58)</x:f>
        <x:v>21</x:v>
      </x:c>
      <x:c r="C58" s="175" t="n">
        <x:v>23</x:v>
      </x:c>
      <x:c r="D58" s="108" t="str">
        <x:v>Zach Charbonnet</x:v>
      </x:c>
      <x:c r="E58" s="108" t="str">
        <x:v>SEA</x:v>
      </x:c>
      <x:c r="F58" s="108" t="str">
        <x:v>SEA</x:v>
      </x:c>
      <x:c r="G58" s="109" t="n">
        <x:v>171.4</x:v>
      </x:c>
      <x:c r="H58" s="109" t="n">
        <x:f>'Weekly Points'!W58</x:f>
        <x:v>10.082352941176469</x:v>
      </x:c>
      <x:c r="I58" s="109" t="n">
        <x:f>'Weekly Points'!X58</x:f>
        <x:v>10.7</x:v>
      </x:c>
      <x:c r="J58" s="109" t="n">
        <x:f>'Weekly Points'!Y58</x:f>
        <x:v>5.1</x:v>
      </x:c>
      <x:c r="K58" s="109" t="n">
        <x:f>'Weekly Points'!Z58</x:f>
        <x:v>6.503414062142116</x:v>
      </x:c>
      <x:c r="L58" s="173" t="n">
        <x:f>'Weekly Points'!AA58</x:f>
        <x:v>0.6450293993956592</x:v>
      </x:c>
      <x:c r="M58" s="173" t="n">
        <x:f>'Weekly Points'!AB58</x:f>
        <x:v>0.23529411764705882</x:v>
      </x:c>
      <x:c r="N58" s="109" t="n">
        <x:f>0.5*J58+0.3*I58+0.2*H58</x:f>
        <x:v>7.776470588235293</x:v>
      </x:c>
      <x:c r="O58" s="175" t="n">
        <x:v>16</x:v>
      </x:c>
      <x:c r="P58" s="175" t="n">
        <x:v>8</x:v>
      </x:c>
      <x:c r="Q58" s="175" t="n">
        <x:v>184</x:v>
      </x:c>
      <x:c r="R58" s="175" t="n">
        <x:v>24</x:v>
      </x:c>
      <x:c r="S58" s="175" t="n">
        <x:v>12</x:v>
      </x:c>
      <x:c r="T58" s="175" t="n">
        <x:v>0</x:v>
      </x:c>
      <x:c r="U58" s="175" t="n">
        <x:v>0</x:v>
      </x:c>
      <x:c r="V58" s="175" t="n">
        <x:f>SUM(S58:U58)</x:f>
        <x:v>12</x:v>
      </x:c>
      <x:c r="W58" s="108" t="str">
        <x:v>https://fantasy.espn.com/football/leaders?leagueId=555583&amp;lineupSlot=2&amp;scoringPeriodId=0&amp;statSplit=lastSeason</x:v>
      </x:c>
    </x:row>
    <x:row r="59">
      <x:c r="A59" s="108" t="str">
        <x:v>RB</x:v>
      </x:c>
      <x:c r="B59" s="175" t="n">
        <x:f>1+COUNTIFS($A$4:$A$356,A59,$J$4:$J$356,"&gt;"&amp;J59)</x:f>
        <x:v>22</x:v>
      </x:c>
      <x:c r="C59" s="175" t="n">
        <x:v>20</x:v>
      </x:c>
      <x:c r="D59" s="108" t="str">
        <x:v>RJ Harvey</x:v>
      </x:c>
      <x:c r="E59" s="108" t="str">
        <x:v>DEN</x:v>
      </x:c>
      <x:c r="F59" s="108" t="str">
        <x:v>DEN</x:v>
      </x:c>
      <x:c r="G59" s="109" t="n">
        <x:v>195.69</x:v>
      </x:c>
      <x:c r="H59" s="109" t="n">
        <x:f>'Weekly Points'!W59</x:f>
        <x:v>11.511176470588236</x:v>
      </x:c>
      <x:c r="I59" s="109" t="n">
        <x:f>'Weekly Points'!X59</x:f>
        <x:v>7.4</x:v>
      </x:c>
      <x:c r="J59" s="109" t="n">
        <x:f>'Weekly Points'!Y59</x:f>
        <x:v>5</x:v>
      </x:c>
      <x:c r="K59" s="109" t="n">
        <x:f>'Weekly Points'!Z59</x:f>
        <x:v>7.1756654803931035</x:v>
      </x:c>
      <x:c r="L59" s="173" t="n">
        <x:f>'Weekly Points'!AA59</x:f>
        <x:v>0.6233650833802583</x:v>
      </x:c>
      <x:c r="M59" s="173" t="n">
        <x:f>'Weekly Points'!AB59</x:f>
        <x:v>0.29411764705882354</x:v>
      </x:c>
      <x:c r="N59" s="109" t="n">
        <x:f>0.5*J59+0.3*I59+0.2*H59</x:f>
        <x:v>7.022235294117648</x:v>
      </x:c>
      <x:c r="O59" s="175" t="n">
        <x:v>17</x:v>
      </x:c>
      <x:c r="P59" s="175" t="n">
        <x:v>12</x:v>
      </x:c>
      <x:c r="Q59" s="175" t="n">
        <x:v>146</x:v>
      </x:c>
      <x:c r="R59" s="175" t="n">
        <x:v>58</x:v>
      </x:c>
      <x:c r="S59" s="175" t="n">
        <x:v>7</x:v>
      </x:c>
      <x:c r="T59" s="175" t="n">
        <x:v>5</x:v>
      </x:c>
      <x:c r="U59" s="175" t="n">
        <x:v>0</x:v>
      </x:c>
      <x:c r="V59" s="175" t="n">
        <x:f>SUM(S59:U59)</x:f>
        <x:v>12</x:v>
      </x:c>
      <x:c r="W59" s="108" t="str">
        <x:v>https://fantasy.espn.com/football/leaders?leagueId=555583&amp;lineupSlot=2&amp;scoringPeriodId=0&amp;statSplit=lastSeason</x:v>
      </x:c>
    </x:row>
    <x:row r="60">
      <x:c r="A60" s="108" t="str">
        <x:v>RB</x:v>
      </x:c>
      <x:c r="B60" s="175" t="n">
        <x:f>1+COUNTIFS($A$4:$A$356,A60,$J$4:$J$356,"&gt;"&amp;J60)</x:f>
        <x:v>22</x:v>
      </x:c>
      <x:c r="C60" s="175" t="n">
        <x:v>27</x:v>
      </x:c>
      <x:c r="D60" s="108" t="str">
        <x:v>David Montgomery</x:v>
      </x:c>
      <x:c r="E60" s="108" t="str">
        <x:v>DET</x:v>
      </x:c>
      <x:c r="F60" s="108" t="str">
        <x:v>HOU</x:v>
      </x:c>
      <x:c r="G60" s="109" t="n">
        <x:v>153.95</x:v>
      </x:c>
      <x:c r="H60" s="109" t="n">
        <x:f>'Weekly Points'!W60</x:f>
        <x:v>9.055882352941175</x:v>
      </x:c>
      <x:c r="I60" s="109" t="n">
        <x:f>'Weekly Points'!X60</x:f>
        <x:v>7.1</x:v>
      </x:c>
      <x:c r="J60" s="109" t="n">
        <x:f>'Weekly Points'!Y60</x:f>
        <x:v>5</x:v>
      </x:c>
      <x:c r="K60" s="109" t="n">
        <x:f>'Weekly Points'!Z60</x:f>
        <x:v>6.540594557273042</x:v>
      </x:c>
      <x:c r="L60" s="173" t="n">
        <x:f>'Weekly Points'!AA60</x:f>
        <x:v>0.7222481810564582</x:v>
      </x:c>
      <x:c r="M60" s="173" t="n">
        <x:f>'Weekly Points'!AB60</x:f>
        <x:v>0.17647058823529413</x:v>
      </x:c>
      <x:c r="N60" s="109" t="n">
        <x:f>0.5*J60+0.3*I60+0.2*H60</x:f>
        <x:v>6.4411764705882355</x:v>
      </x:c>
      <x:c r="O60" s="175" t="n">
        <x:v>17</x:v>
      </x:c>
      <x:c r="P60" s="175" t="n">
        <x:v>8</x:v>
      </x:c>
      <x:c r="Q60" s="175" t="n">
        <x:v>158</x:v>
      </x:c>
      <x:c r="R60" s="175" t="n">
        <x:v>29</x:v>
      </x:c>
      <x:c r="S60" s="175" t="n">
        <x:v>8</x:v>
      </x:c>
      <x:c r="T60" s="175" t="n">
        <x:v>0</x:v>
      </x:c>
      <x:c r="U60" s="175" t="n">
        <x:v>0</x:v>
      </x:c>
      <x:c r="V60" s="175" t="n">
        <x:f>SUM(S60:U60)</x:f>
        <x:v>8</x:v>
      </x:c>
      <x:c r="W60" s="108" t="str">
        <x:v>https://fantasy.espn.com/football/leaders?leagueId=555583&amp;lineupSlot=2&amp;scoringPeriodId=0&amp;statSplit=lastSeason</x:v>
      </x:c>
    </x:row>
    <x:row r="61">
      <x:c r="A61" s="108" t="str">
        <x:v>RB</x:v>
      </x:c>
      <x:c r="B61" s="175" t="n">
        <x:f>1+COUNTIFS($A$4:$A$356,A61,$J$4:$J$356,"&gt;"&amp;J61)</x:f>
        <x:v>22</x:v>
      </x:c>
      <x:c r="C61" s="175" t="n">
        <x:v>18</x:v>
      </x:c>
      <x:c r="D61" s="108" t="str">
        <x:v>TreVeyon Henderson</x:v>
      </x:c>
      <x:c r="E61" s="108" t="str">
        <x:v>NE</x:v>
      </x:c>
      <x:c r="F61" s="108" t="str">
        <x:v>NE</x:v>
      </x:c>
      <x:c r="G61" s="109" t="n">
        <x:v>202.97</x:v>
      </x:c>
      <x:c r="H61" s="109" t="n">
        <x:f>'Weekly Points'!W61</x:f>
        <x:v>11.93941176470588</x:v>
      </x:c>
      <x:c r="I61" s="109" t="n">
        <x:f>'Weekly Points'!X61</x:f>
        <x:v>9.39</x:v>
      </x:c>
      <x:c r="J61" s="109" t="n">
        <x:f>'Weekly Points'!Y61</x:f>
        <x:v>5</x:v>
      </x:c>
      <x:c r="K61" s="109" t="n">
        <x:f>'Weekly Points'!Z61</x:f>
        <x:v>9.845876694803433</x:v>
      </x:c>
      <x:c r="L61" s="173" t="n">
        <x:f>'Weekly Points'!AA61</x:f>
        <x:v>0.8246534158331694</x:v>
      </x:c>
      <x:c r="M61" s="173" t="n">
        <x:f>'Weekly Points'!AB61</x:f>
        <x:v>0.29411764705882354</x:v>
      </x:c>
      <x:c r="N61" s="109" t="n">
        <x:f>0.5*J61+0.3*I61+0.2*H61</x:f>
        <x:v>7.704882352941176</x:v>
      </x:c>
      <x:c r="O61" s="175" t="n">
        <x:v>17</x:v>
      </x:c>
      <x:c r="P61" s="175" t="n">
        <x:v>14</x:v>
      </x:c>
      <x:c r="Q61" s="175" t="n">
        <x:v>180</x:v>
      </x:c>
      <x:c r="R61" s="175" t="n">
        <x:v>42</x:v>
      </x:c>
      <x:c r="S61" s="175" t="n">
        <x:v>9</x:v>
      </x:c>
      <x:c r="T61" s="175" t="n">
        <x:v>1</x:v>
      </x:c>
      <x:c r="U61" s="175" t="n">
        <x:v>0</x:v>
      </x:c>
      <x:c r="V61" s="175" t="n">
        <x:f>SUM(S61:U61)</x:f>
        <x:v>10</x:v>
      </x:c>
      <x:c r="W61" s="108" t="str">
        <x:v>https://fantasy.espn.com/football/leaders?leagueId=555583&amp;lineupSlot=2&amp;scoringPeriodId=0&amp;statSplit=lastSeason</x:v>
      </x:c>
    </x:row>
    <x:row r="62">
      <x:c r="A62" s="108" t="str">
        <x:v>RB</x:v>
      </x:c>
      <x:c r="B62" s="175" t="n">
        <x:f>1+COUNTIFS($A$4:$A$356,A62,$J$4:$J$356,"&gt;"&amp;J62)</x:f>
        <x:v>25</x:v>
      </x:c>
      <x:c r="C62" s="175" t="n">
        <x:v>28</x:v>
      </x:c>
      <x:c r="D62" s="108" t="str">
        <x:v>Tyrone Tracy Jr.</x:v>
      </x:c>
      <x:c r="E62" s="108" t="str">
        <x:v>NYG</x:v>
      </x:c>
      <x:c r="F62" s="108" t="str">
        <x:v>NYG</x:v>
      </x:c>
      <x:c r="G62" s="109" t="n">
        <x:v>146.76</x:v>
      </x:c>
      <x:c r="H62" s="109" t="n">
        <x:f>'Weekly Points'!W62</x:f>
        <x:v>8.632941176470588</x:v>
      </x:c>
      <x:c r="I62" s="109" t="n">
        <x:f>'Weekly Points'!X62</x:f>
        <x:v>6.3</x:v>
      </x:c>
      <x:c r="J62" s="109" t="n">
        <x:f>'Weekly Points'!Y62</x:f>
        <x:v>4.5</x:v>
      </x:c>
      <x:c r="K62" s="109" t="n">
        <x:f>'Weekly Points'!Z62</x:f>
        <x:v>7.015961436531185</x:v>
      </x:c>
      <x:c r="L62" s="173" t="n">
        <x:f>'Weekly Points'!AA62</x:f>
        <x:v>0.8126965414352013</x:v>
      </x:c>
      <x:c r="M62" s="173" t="n">
        <x:f>'Weekly Points'!AB62</x:f>
        <x:v>0.23529411764705882</x:v>
      </x:c>
      <x:c r="N62" s="109" t="n">
        <x:f>0.5*J62+0.3*I62+0.2*H62</x:f>
        <x:v>5.866588235294118</x:v>
      </x:c>
      <x:c r="O62" s="175" t="n">
        <x:v>15</x:v>
      </x:c>
      <x:c r="P62" s="175" t="n">
        <x:v>14</x:v>
      </x:c>
      <x:c r="Q62" s="175" t="n">
        <x:v>176</x:v>
      </x:c>
      <x:c r="R62" s="175" t="n">
        <x:v>48</x:v>
      </x:c>
      <x:c r="S62" s="175" t="n">
        <x:v>2</x:v>
      </x:c>
      <x:c r="T62" s="175" t="n">
        <x:v>2</x:v>
      </x:c>
      <x:c r="U62" s="175" t="n">
        <x:v>0</x:v>
      </x:c>
      <x:c r="V62" s="175" t="n">
        <x:f>SUM(S62:U62)</x:f>
        <x:v>4</x:v>
      </x:c>
      <x:c r="W62" s="108" t="str">
        <x:v>https://fantasy.espn.com/football/leaders?leagueId=555583&amp;lineupSlot=2&amp;scoringPeriodId=0&amp;statSplit=lastSeason</x:v>
      </x:c>
    </x:row>
    <x:row r="63">
      <x:c r="A63" s="108" t="str">
        <x:v>RB</x:v>
      </x:c>
      <x:c r="B63" s="175" t="n">
        <x:f>1+COUNTIFS($A$4:$A$356,A63,$J$4:$J$356,"&gt;"&amp;J63)</x:f>
        <x:v>26</x:v>
      </x:c>
      <x:c r="C63" s="175" t="n">
        <x:v>35</x:v>
      </x:c>
      <x:c r="D63" s="108" t="str">
        <x:v>Rachaad White</x:v>
      </x:c>
      <x:c r="E63" s="108" t="str">
        <x:v>TB</x:v>
      </x:c>
      <x:c r="F63" s="108" t="str">
        <x:v>TB</x:v>
      </x:c>
      <x:c r="G63" s="109" t="n">
        <x:v>123</x:v>
      </x:c>
      <x:c r="H63" s="109" t="n">
        <x:f>'Weekly Points'!W63</x:f>
        <x:v>7.235294117647059</x:v>
      </x:c>
      <x:c r="I63" s="109" t="n">
        <x:f>'Weekly Points'!X63</x:f>
        <x:v>6.4</x:v>
      </x:c>
      <x:c r="J63" s="109" t="n">
        <x:f>'Weekly Points'!Y63</x:f>
        <x:v>4.4</x:v>
      </x:c>
      <x:c r="K63" s="109" t="n">
        <x:f>'Weekly Points'!Z63</x:f>
        <x:v>5.005871984505749</x:v>
      </x:c>
      <x:c r="L63" s="173" t="n">
        <x:f>'Weekly Points'!AA63</x:f>
        <x:v>0.6918684856633962</x:v>
      </x:c>
      <x:c r="M63" s="173" t="n">
        <x:f>'Weekly Points'!AB63</x:f>
        <x:v>0.23529411764705882</x:v>
      </x:c>
      <x:c r="N63" s="109" t="n">
        <x:f>0.5*J63+0.3*I63+0.2*H63</x:f>
        <x:v>5.567058823529412</x:v>
      </x:c>
      <x:c r="O63" s="175" t="n">
        <x:v>17</x:v>
      </x:c>
      <x:c r="P63" s="175" t="n">
        <x:v>9</x:v>
      </x:c>
      <x:c r="Q63" s="175" t="n">
        <x:v>132</x:v>
      </x:c>
      <x:c r="R63" s="175" t="n">
        <x:v>45</x:v>
      </x:c>
      <x:c r="S63" s="175" t="n">
        <x:v>4</x:v>
      </x:c>
      <x:c r="T63" s="175" t="n">
        <x:v>0</x:v>
      </x:c>
      <x:c r="U63" s="175" t="n">
        <x:v>0</x:v>
      </x:c>
      <x:c r="V63" s="175" t="n">
        <x:f>SUM(S63:U63)</x:f>
        <x:v>4</x:v>
      </x:c>
      <x:c r="W63" s="108" t="str">
        <x:v>https://fantasy.espn.com/football/leaders?leagueId=555583&amp;lineupSlot=2&amp;scoringPeriodId=0&amp;statSplit=lastSeason</x:v>
      </x:c>
    </x:row>
    <x:row r="64">
      <x:c r="A64" s="108" t="str">
        <x:v>RB</x:v>
      </x:c>
      <x:c r="B64" s="175" t="n">
        <x:f>1+COUNTIFS($A$4:$A$356,A64,$J$4:$J$356,"&gt;"&amp;J64)</x:f>
        <x:v>27</x:v>
      </x:c>
      <x:c r="C64" s="175" t="n">
        <x:v>29</x:v>
      </x:c>
      <x:c r="D64" s="108" t="str">
        <x:v>Woody Marks</x:v>
      </x:c>
      <x:c r="E64" s="108" t="str">
        <x:v>HOU</x:v>
      </x:c>
      <x:c r="F64" s="108" t="str">
        <x:v>HOU</x:v>
      </x:c>
      <x:c r="G64" s="109" t="n">
        <x:v>138.6</x:v>
      </x:c>
      <x:c r="H64" s="109" t="n">
        <x:f>'Weekly Points'!W64</x:f>
        <x:v>8.152941176470588</x:v>
      </x:c>
      <x:c r="I64" s="109" t="n">
        <x:f>'Weekly Points'!X64</x:f>
        <x:v>6.7</x:v>
      </x:c>
      <x:c r="J64" s="109" t="n">
        <x:f>'Weekly Points'!Y64</x:f>
        <x:v>4.1</x:v>
      </x:c>
      <x:c r="K64" s="109" t="n">
        <x:f>'Weekly Points'!Z64</x:f>
        <x:v>6.280887689889892</x:v>
      </x:c>
      <x:c r="L64" s="173" t="n">
        <x:f>'Weekly Points'!AA64</x:f>
        <x:v>0.7703830499864948</x:v>
      </x:c>
      <x:c r="M64" s="173" t="n">
        <x:f>'Weekly Points'!AB64</x:f>
        <x:v>0.23529411764705882</x:v>
      </x:c>
      <x:c r="N64" s="109" t="n">
        <x:f>0.5*J64+0.3*I64+0.2*H64</x:f>
        <x:v>5.6905882352941175</x:v>
      </x:c>
      <x:c r="O64" s="175" t="n">
        <x:v>16</x:v>
      </x:c>
      <x:c r="P64" s="175" t="n">
        <x:v>6</x:v>
      </x:c>
      <x:c r="Q64" s="175" t="n">
        <x:v>196</x:v>
      </x:c>
      <x:c r="R64" s="175" t="n">
        <x:v>36</x:v>
      </x:c>
      <x:c r="S64" s="175" t="n">
        <x:v>2</x:v>
      </x:c>
      <x:c r="T64" s="175" t="n">
        <x:v>3</x:v>
      </x:c>
      <x:c r="U64" s="175" t="n">
        <x:v>1</x:v>
      </x:c>
      <x:c r="V64" s="175" t="n">
        <x:f>SUM(S64:U64)</x:f>
        <x:v>6</x:v>
      </x:c>
      <x:c r="W64" s="108" t="str">
        <x:v>https://fantasy.espn.com/football/leaders?leagueId=555583&amp;lineupSlot=2&amp;scoringPeriodId=0&amp;statSplit=lastSeason</x:v>
      </x:c>
    </x:row>
    <x:row r="65">
      <x:c r="A65" s="108" t="str">
        <x:v>RB</x:v>
      </x:c>
      <x:c r="B65" s="175" t="n">
        <x:f>1+COUNTIFS($A$4:$A$356,A65,$J$4:$J$356,"&gt;"&amp;J65)</x:f>
        <x:v>28</x:v>
      </x:c>
      <x:c r="C65" s="175" t="n">
        <x:v>13</x:v>
      </x:c>
      <x:c r="D65" s="108" t="str">
        <x:v>Josh Jacobs</x:v>
      </x:c>
      <x:c r="E65" s="108" t="str">
        <x:v>GB</x:v>
      </x:c>
      <x:c r="F65" s="108" t="str">
        <x:v>GB</x:v>
      </x:c>
      <x:c r="G65" s="109" t="n">
        <x:v>220.6</x:v>
      </x:c>
      <x:c r="H65" s="109" t="n">
        <x:f>'Weekly Points'!W65</x:f>
        <x:v>12.976470588235294</x:v>
      </x:c>
      <x:c r="I65" s="109" t="n">
        <x:f>'Weekly Points'!X65</x:f>
        <x:v>13.5</x:v>
      </x:c>
      <x:c r="J65" s="109" t="n">
        <x:f>'Weekly Points'!Y65</x:f>
        <x:v>4</x:v>
      </x:c>
      <x:c r="K65" s="109" t="n">
        <x:f>'Weekly Points'!Z65</x:f>
        <x:v>9.196388639778162</x:v>
      </x:c>
      <x:c r="L65" s="173" t="n">
        <x:f>'Weekly Points'!AA65</x:f>
        <x:v>0.7086972206538021</x:v>
      </x:c>
      <x:c r="M65" s="173" t="n">
        <x:f>'Weekly Points'!AB65</x:f>
        <x:v>0.29411764705882354</x:v>
      </x:c>
      <x:c r="N65" s="109" t="n">
        <x:f>0.5*J65+0.3*I65+0.2*H65</x:f>
        <x:v>8.645294117647058</x:v>
      </x:c>
      <x:c r="O65" s="175" t="n">
        <x:v>15</x:v>
      </x:c>
      <x:c r="P65" s="175" t="n">
        <x:v>5</x:v>
      </x:c>
      <x:c r="Q65" s="175" t="n">
        <x:v>234</x:v>
      </x:c>
      <x:c r="R65" s="175" t="n">
        <x:v>44</x:v>
      </x:c>
      <x:c r="S65" s="175" t="n">
        <x:v>13</x:v>
      </x:c>
      <x:c r="T65" s="175" t="n">
        <x:v>1</x:v>
      </x:c>
      <x:c r="U65" s="175" t="n">
        <x:v>0</x:v>
      </x:c>
      <x:c r="V65" s="175" t="n">
        <x:f>SUM(S65:U65)</x:f>
        <x:v>14</x:v>
      </x:c>
      <x:c r="W65" s="108" t="str">
        <x:v>https://fantasy.espn.com/football/leaders?leagueId=555583&amp;lineupSlot=2&amp;scoringPeriodId=0&amp;statSplit=lastSeason</x:v>
      </x:c>
    </x:row>
    <x:row r="66">
      <x:c r="A66" s="108" t="str">
        <x:v>RB</x:v>
      </x:c>
      <x:c r="B66" s="175" t="n">
        <x:f>1+COUNTIFS($A$4:$A$356,A66,$J$4:$J$356,"&gt;"&amp;J66)</x:f>
        <x:v>29</x:v>
      </x:c>
      <x:c r="C66" s="175" t="n">
        <x:v>32</x:v>
      </x:c>
      <x:c r="D66" s="108" t="str">
        <x:v>Kareem Hunt</x:v>
      </x:c>
      <x:c r="E66" s="108" t="str">
        <x:v>KC</x:v>
      </x:c>
      <x:c r="F66" s="108" t="str">
        <x:v>KC</x:v>
      </x:c>
      <x:c r="G66" s="109" t="n">
        <x:v>135.9</x:v>
      </x:c>
      <x:c r="H66" s="109" t="n">
        <x:f>'Weekly Points'!W66</x:f>
        <x:v>7.9941176470588236</x:v>
      </x:c>
      <x:c r="I66" s="109" t="n">
        <x:f>'Weekly Points'!X66</x:f>
        <x:v>5.2</x:v>
      </x:c>
      <x:c r="J66" s="109" t="n">
        <x:f>'Weekly Points'!Y66</x:f>
        <x:v>3.6</x:v>
      </x:c>
      <x:c r="K66" s="109" t="n">
        <x:f>'Weekly Points'!Z66</x:f>
        <x:v>5.734669649261338</x:v>
      </x:c>
      <x:c r="L66" s="173" t="n">
        <x:f>'Weekly Points'!AA66</x:f>
        <x:v>0.7173611776117936</x:v>
      </x:c>
      <x:c r="M66" s="173" t="n">
        <x:f>'Weekly Points'!AB66</x:f>
        <x:v>0.4117647058823529</x:v>
      </x:c>
      <x:c r="N66" s="109" t="n">
        <x:f>0.5*J66+0.3*I66+0.2*H66</x:f>
        <x:v>4.958823529411765</x:v>
      </x:c>
      <x:c r="O66" s="175" t="n">
        <x:v>17</x:v>
      </x:c>
      <x:c r="P66" s="175" t="n">
        <x:v>10</x:v>
      </x:c>
      <x:c r="Q66" s="175" t="n">
        <x:v>163</x:v>
      </x:c>
      <x:c r="R66" s="175" t="n">
        <x:v>25</x:v>
      </x:c>
      <x:c r="S66" s="175" t="n">
        <x:v>8</x:v>
      </x:c>
      <x:c r="T66" s="175" t="n">
        <x:v>1</x:v>
      </x:c>
      <x:c r="U66" s="175" t="n">
        <x:v>0</x:v>
      </x:c>
      <x:c r="V66" s="175" t="n">
        <x:f>SUM(S66:U66)</x:f>
        <x:v>9</x:v>
      </x:c>
      <x:c r="W66" s="108" t="str">
        <x:v>https://fantasy.espn.com/football/leaders?leagueId=555583&amp;lineupSlot=2&amp;scoringPeriodId=0&amp;statSplit=lastSeason</x:v>
      </x:c>
    </x:row>
    <x:row r="67">
      <x:c r="A67" s="108" t="str">
        <x:v>RB</x:v>
      </x:c>
      <x:c r="B67" s="175" t="n">
        <x:f>1+COUNTIFS($A$4:$A$356,A67,$J$4:$J$356,"&gt;"&amp;J67)</x:f>
        <x:v>29</x:v>
      </x:c>
      <x:c r="C67" s="175" t="n">
        <x:v>37</x:v>
      </x:c>
      <x:c r="D67" s="108" t="str">
        <x:v>Jordan Mason</x:v>
      </x:c>
      <x:c r="E67" s="108" t="str">
        <x:v>MIN</x:v>
      </x:c>
      <x:c r="F67" s="108" t="str">
        <x:v>MIN</x:v>
      </x:c>
      <x:c r="G67" s="109" t="n">
        <x:v>120.9</x:v>
      </x:c>
      <x:c r="H67" s="109" t="n">
        <x:f>'Weekly Points'!W67</x:f>
        <x:v>7.111764705882353</x:v>
      </x:c>
      <x:c r="I67" s="109" t="n">
        <x:f>'Weekly Points'!X67</x:f>
        <x:v>4.8</x:v>
      </x:c>
      <x:c r="J67" s="109" t="n">
        <x:f>'Weekly Points'!Y67</x:f>
        <x:v>3.6</x:v>
      </x:c>
      <x:c r="K67" s="109" t="n">
        <x:f>'Weekly Points'!Z67</x:f>
        <x:v>5.525543077162447</x:v>
      </x:c>
      <x:c r="L67" s="173" t="n">
        <x:f>'Weekly Points'!AA67</x:f>
        <x:v>0.7769580836373995</x:v>
      </x:c>
      <x:c r="M67" s="173" t="n">
        <x:f>'Weekly Points'!AB67</x:f>
        <x:v>0.23529411764705882</x:v>
      </x:c>
      <x:c r="N67" s="109" t="n">
        <x:f>0.5*J67+0.3*I67+0.2*H67</x:f>
        <x:v>4.662352941176471</x:v>
      </x:c>
      <x:c r="O67" s="175" t="n">
        <x:v>16</x:v>
      </x:c>
      <x:c r="P67" s="175" t="n">
        <x:v>6</x:v>
      </x:c>
      <x:c r="Q67" s="175" t="n">
        <x:v>159</x:v>
      </x:c>
      <x:c r="R67" s="175" t="n">
        <x:v>16</x:v>
      </x:c>
      <x:c r="S67" s="175" t="n">
        <x:v>6</x:v>
      </x:c>
      <x:c r="T67" s="175" t="n">
        <x:v>0</x:v>
      </x:c>
      <x:c r="U67" s="175" t="n">
        <x:v>0</x:v>
      </x:c>
      <x:c r="V67" s="175" t="n">
        <x:f>SUM(S67:U67)</x:f>
        <x:v>6</x:v>
      </x:c>
      <x:c r="W67" s="108" t="str">
        <x:v>https://fantasy.espn.com/football/leaders?leagueId=555583&amp;lineupSlot=2&amp;scoringPeriodId=0&amp;statSplit=lastSeason</x:v>
      </x:c>
    </x:row>
    <x:row r="68">
      <x:c r="A68" s="108" t="str">
        <x:v>RB</x:v>
      </x:c>
      <x:c r="B68" s="175" t="n">
        <x:f>1+COUNTIFS($A$4:$A$356,A68,$J$4:$J$356,"&gt;"&amp;J68)</x:f>
        <x:v>31</x:v>
      </x:c>
      <x:c r="C68" s="175" t="n">
        <x:v>30</x:v>
      </x:c>
      <x:c r="D68" s="108" t="str">
        <x:v>Kyle Monangai</x:v>
      </x:c>
      <x:c r="E68" s="108" t="str">
        <x:v>CHI</x:v>
      </x:c>
      <x:c r="F68" s="108" t="str">
        <x:v>CHI</x:v>
      </x:c>
      <x:c r="G68" s="109" t="n">
        <x:v>137.7</x:v>
      </x:c>
      <x:c r="H68" s="109" t="n">
        <x:f>'Weekly Points'!W68</x:f>
        <x:v>8.1</x:v>
      </x:c>
      <x:c r="I68" s="109" t="n">
        <x:f>'Weekly Points'!X68</x:f>
        <x:v>6.2</x:v>
      </x:c>
      <x:c r="J68" s="109" t="n">
        <x:f>'Weekly Points'!Y68</x:f>
        <x:v>3.3</x:v>
      </x:c>
      <x:c r="K68" s="109" t="n">
        <x:f>'Weekly Points'!Z68</x:f>
        <x:v>5.878174986887562</x:v>
      </x:c>
      <x:c r="L68" s="173" t="n">
        <x:f>'Weekly Points'!AA68</x:f>
        <x:v>0.7257006156651312</x:v>
      </x:c>
      <x:c r="M68" s="173" t="n">
        <x:f>'Weekly Points'!AB68</x:f>
        <x:v>0.29411764705882354</x:v>
      </x:c>
      <x:c r="N68" s="109" t="n">
        <x:f>0.5*J68+0.3*I68+0.2*H68</x:f>
        <x:v>5.13</x:v>
      </x:c>
      <x:c r="O68" s="175" t="n">
        <x:v>17</x:v>
      </x:c>
      <x:c r="P68" s="175" t="n">
        <x:v>5</x:v>
      </x:c>
      <x:c r="Q68" s="175" t="n">
        <x:v>169</x:v>
      </x:c>
      <x:c r="R68" s="175" t="n">
        <x:v>30</x:v>
      </x:c>
      <x:c r="S68" s="175" t="n">
        <x:v>5</x:v>
      </x:c>
      <x:c r="T68" s="175" t="n">
        <x:v>0</x:v>
      </x:c>
      <x:c r="U68" s="175" t="n">
        <x:v>0</x:v>
      </x:c>
      <x:c r="V68" s="175" t="n">
        <x:f>SUM(S68:U68)</x:f>
        <x:v>5</x:v>
      </x:c>
      <x:c r="W68" s="108" t="str">
        <x:v>https://fantasy.espn.com/football/leaders?leagueId=555583&amp;lineupSlot=2&amp;scoringPeriodId=0&amp;statSplit=lastSeason</x:v>
      </x:c>
    </x:row>
    <x:row r="69">
      <x:c r="A69" s="108" t="str">
        <x:v>RB</x:v>
      </x:c>
      <x:c r="B69" s="175" t="n">
        <x:f>1+COUNTIFS($A$4:$A$356,A69,$J$4:$J$356,"&gt;"&amp;J69)</x:f>
        <x:v>32</x:v>
      </x:c>
      <x:c r="C69" s="175" t="n">
        <x:v>26</x:v>
      </x:c>
      <x:c r="D69" s="108" t="str">
        <x:v>Quinshon Judkins</x:v>
      </x:c>
      <x:c r="E69" s="108" t="str">
        <x:v>CLE</x:v>
      </x:c>
      <x:c r="F69" s="108" t="str">
        <x:v>CLE</x:v>
      </x:c>
      <x:c r="G69" s="109" t="n">
        <x:v>158.8</x:v>
      </x:c>
      <x:c r="H69" s="109" t="n">
        <x:f>'Weekly Points'!W69</x:f>
        <x:v>9.341176470588236</x:v>
      </x:c>
      <x:c r="I69" s="109" t="n">
        <x:f>'Weekly Points'!X69</x:f>
        <x:v>8.6</x:v>
      </x:c>
      <x:c r="J69" s="109" t="n">
        <x:f>'Weekly Points'!Y69</x:f>
        <x:v>3.2</x:v>
      </x:c>
      <x:c r="K69" s="109" t="n">
        <x:f>'Weekly Points'!Z69</x:f>
        <x:v>7.638914214770502</x:v>
      </x:c>
      <x:c r="L69" s="173" t="n">
        <x:f>'Weekly Points'!AA69</x:f>
        <x:v>0.8177678945283282</x:v>
      </x:c>
      <x:c r="M69" s="173" t="n">
        <x:f>'Weekly Points'!AB69</x:f>
        <x:v>0.35294117647058826</x:v>
      </x:c>
      <x:c r="N69" s="109" t="n">
        <x:f>0.5*J69+0.3*I69+0.2*H69</x:f>
        <x:v>6.048235294117647</x:v>
      </x:c>
      <x:c r="O69" s="175" t="n">
        <x:v>14</x:v>
      </x:c>
      <x:c r="P69" s="175" t="n">
        <x:v>9</x:v>
      </x:c>
      <x:c r="Q69" s="175" t="n">
        <x:v>230</x:v>
      </x:c>
      <x:c r="R69" s="175" t="n">
        <x:v>36</x:v>
      </x:c>
      <x:c r="S69" s="175" t="n">
        <x:v>7</x:v>
      </x:c>
      <x:c r="T69" s="175" t="n">
        <x:v>0</x:v>
      </x:c>
      <x:c r="U69" s="175" t="n">
        <x:v>0</x:v>
      </x:c>
      <x:c r="V69" s="175" t="n">
        <x:f>SUM(S69:U69)</x:f>
        <x:v>7</x:v>
      </x:c>
      <x:c r="W69" s="108" t="str">
        <x:v>https://fantasy.espn.com/football/leaders?leagueId=555583&amp;lineupSlot=2&amp;scoringPeriodId=0&amp;statSplit=lastSeason</x:v>
      </x:c>
    </x:row>
    <x:row r="70">
      <x:c r="A70" s="108" t="str">
        <x:v>RB</x:v>
      </x:c>
      <x:c r="B70" s="175" t="n">
        <x:f>1+COUNTIFS($A$4:$A$356,A70,$J$4:$J$356,"&gt;"&amp;J70)</x:f>
        <x:v>33</x:v>
      </x:c>
      <x:c r="C70" s="175" t="n">
        <x:v>31</x:v>
      </x:c>
      <x:c r="D70" s="108" t="str">
        <x:v>Jacory Croskey-Merritt</x:v>
      </x:c>
      <x:c r="E70" s="108" t="str">
        <x:v>WSH</x:v>
      </x:c>
      <x:c r="F70" s="108" t="str">
        <x:v>WSH</x:v>
      </x:c>
      <x:c r="G70" s="109" t="n">
        <x:v>136.8</x:v>
      </x:c>
      <x:c r="H70" s="109" t="n">
        <x:f>'Weekly Points'!W70</x:f>
        <x:v>8.047058823529412</x:v>
      </x:c>
      <x:c r="I70" s="109" t="n">
        <x:f>'Weekly Points'!X70</x:f>
        <x:v>4.6</x:v>
      </x:c>
      <x:c r="J70" s="109" t="n">
        <x:f>'Weekly Points'!Y70</x:f>
        <x:v>3</x:v>
      </x:c>
      <x:c r="K70" s="109" t="n">
        <x:f>'Weekly Points'!Z70</x:f>
        <x:v>7.395874656706687</x:v>
      </x:c>
      <x:c r="L70" s="173" t="n">
        <x:f>'Weekly Points'!AA70</x:f>
        <x:v>0.9190779909650123</x:v>
      </x:c>
      <x:c r="M70" s="173" t="n">
        <x:f>'Weekly Points'!AB70</x:f>
        <x:v>0.47058823529411764</x:v>
      </x:c>
      <x:c r="N70" s="109" t="n">
        <x:f>0.5*J70+0.3*I70+0.2*H70</x:f>
        <x:v>4.489411764705882</x:v>
      </x:c>
      <x:c r="O70" s="175" t="n">
        <x:v>17</x:v>
      </x:c>
      <x:c r="P70" s="175" t="n">
        <x:v>12</x:v>
      </x:c>
      <x:c r="Q70" s="175" t="n">
        <x:v>175</x:v>
      </x:c>
      <x:c r="R70" s="175" t="n">
        <x:v>13</x:v>
      </x:c>
      <x:c r="S70" s="175" t="n">
        <x:v>8</x:v>
      </x:c>
      <x:c r="T70" s="175" t="n">
        <x:v>0</x:v>
      </x:c>
      <x:c r="U70" s="175" t="n">
        <x:v>0</x:v>
      </x:c>
      <x:c r="V70" s="175" t="n">
        <x:f>SUM(S70:U70)</x:f>
        <x:v>8</x:v>
      </x:c>
      <x:c r="W70" s="108" t="str">
        <x:v>https://fantasy.espn.com/football/leaders?leagueId=555583&amp;lineupSlot=2&amp;scoringPeriodId=0&amp;statSplit=lastSeason</x:v>
      </x:c>
    </x:row>
    <x:row r="71">
      <x:c r="A71" s="108" t="str">
        <x:v>RB</x:v>
      </x:c>
      <x:c r="B71" s="175" t="n">
        <x:f>1+COUNTIFS($A$4:$A$356,A71,$J$4:$J$356,"&gt;"&amp;J71)</x:f>
        <x:v>34</x:v>
      </x:c>
      <x:c r="C71" s="175" t="n">
        <x:v>38</x:v>
      </x:c>
      <x:c r="D71" s="108" t="str">
        <x:v>Chuba Hubbard</x:v>
      </x:c>
      <x:c r="E71" s="108" t="str">
        <x:v>CAR</x:v>
      </x:c>
      <x:c r="F71" s="108" t="str">
        <x:v>CAR</x:v>
      </x:c>
      <x:c r="G71" s="109" t="n">
        <x:v>117.39</x:v>
      </x:c>
      <x:c r="H71" s="109" t="n">
        <x:f>'Weekly Points'!W71</x:f>
        <x:v>6.905294117647059</x:v>
      </x:c>
      <x:c r="I71" s="109" t="n">
        <x:f>'Weekly Points'!X71</x:f>
        <x:v>5.8</x:v>
      </x:c>
      <x:c r="J71" s="109" t="n">
        <x:f>'Weekly Points'!Y71</x:f>
        <x:v>2.7</x:v>
      </x:c>
      <x:c r="K71" s="109" t="n">
        <x:f>'Weekly Points'!Z71</x:f>
        <x:v>5.601986115915191</x:v>
      </x:c>
      <x:c r="L71" s="173" t="n">
        <x:f>'Weekly Points'!AA71</x:f>
        <x:v>0.8112595959669329</x:v>
      </x:c>
      <x:c r="M71" s="173" t="n">
        <x:f>'Weekly Points'!AB71</x:f>
        <x:v>0.29411764705882354</x:v>
      </x:c>
      <x:c r="N71" s="109" t="n">
        <x:f>0.5*J71+0.3*I71+0.2*H71</x:f>
        <x:v>4.471058823529412</x:v>
      </x:c>
      <x:c r="O71" s="175" t="n">
        <x:v>15</x:v>
      </x:c>
      <x:c r="P71" s="175" t="n">
        <x:v>14</x:v>
      </x:c>
      <x:c r="Q71" s="175" t="n">
        <x:v>134</x:v>
      </x:c>
      <x:c r="R71" s="175" t="n">
        <x:v>39</x:v>
      </x:c>
      <x:c r="S71" s="175" t="n">
        <x:v>1</x:v>
      </x:c>
      <x:c r="T71" s="175" t="n">
        <x:v>3</x:v>
      </x:c>
      <x:c r="U71" s="175" t="n">
        <x:v>0</x:v>
      </x:c>
      <x:c r="V71" s="175" t="n">
        <x:f>SUM(S71:U71)</x:f>
        <x:v>4</x:v>
      </x:c>
      <x:c r="W71" s="108" t="str">
        <x:v>https://fantasy.espn.com/football/leaders?leagueId=555583&amp;lineupSlot=2&amp;scoringPeriodId=0&amp;statSplit=lastSeason</x:v>
      </x:c>
    </x:row>
    <x:row r="72">
      <x:c r="A72" s="108" t="str">
        <x:v>RB</x:v>
      </x:c>
      <x:c r="B72" s="175" t="n">
        <x:f>1+COUNTIFS($A$4:$A$356,A72,$J$4:$J$356,"&gt;"&amp;J72)</x:f>
        <x:v>35</x:v>
      </x:c>
      <x:c r="C72" s="175" t="n">
        <x:v>43</x:v>
      </x:c>
      <x:c r="D72" s="108" t="str">
        <x:v>Devin Singletary</x:v>
      </x:c>
      <x:c r="E72" s="108" t="str">
        <x:v>NYG</x:v>
      </x:c>
      <x:c r="F72" s="108" t="str">
        <x:v>NYG</x:v>
      </x:c>
      <x:c r="G72" s="109" t="n">
        <x:v>108.52</x:v>
      </x:c>
      <x:c r="H72" s="109" t="n">
        <x:f>'Weekly Points'!W72</x:f>
        <x:v>6.383529411764706</x:v>
      </x:c>
      <x:c r="I72" s="109" t="n">
        <x:f>'Weekly Points'!X72</x:f>
        <x:v>4.83</x:v>
      </x:c>
      <x:c r="J72" s="109" t="n">
        <x:f>'Weekly Points'!Y72</x:f>
        <x:v>2.53</x:v>
      </x:c>
      <x:c r="K72" s="109" t="n">
        <x:f>'Weekly Points'!Z72</x:f>
        <x:v>5.679907767660929</x:v>
      </x:c>
      <x:c r="L72" s="173" t="n">
        <x:f>'Weekly Points'!AA72</x:f>
        <x:v>0.8897754519925892</x:v>
      </x:c>
      <x:c r="M72" s="173" t="n">
        <x:f>'Weekly Points'!AB72</x:f>
        <x:v>0.35294117647058826</x:v>
      </x:c>
      <x:c r="N72" s="109" t="n">
        <x:f>0.5*J72+0.3*I72+0.2*H72</x:f>
        <x:v>3.990705882352941</x:v>
      </x:c>
      <x:c r="O72" s="175" t="n">
        <x:v>17</x:v>
      </x:c>
      <x:c r="P72" s="175" t="n">
        <x:v>14</x:v>
      </x:c>
      <x:c r="Q72" s="175" t="n">
        <x:v>119</x:v>
      </x:c>
      <x:c r="R72" s="175" t="n">
        <x:v>19</x:v>
      </x:c>
      <x:c r="S72" s="175" t="n">
        <x:v>5</x:v>
      </x:c>
      <x:c r="T72" s="175" t="n">
        <x:v>0</x:v>
      </x:c>
      <x:c r="U72" s="175" t="n">
        <x:v>0</x:v>
      </x:c>
      <x:c r="V72" s="175" t="n">
        <x:f>SUM(S72:U72)</x:f>
        <x:v>5</x:v>
      </x:c>
      <x:c r="W72" s="108" t="str">
        <x:v>https://fantasy.espn.com/football/leaders?leagueId=555583&amp;lineupSlot=2&amp;scoringPeriodId=0&amp;statSplit=lastSeason</x:v>
      </x:c>
    </x:row>
    <x:row r="73">
      <x:c r="A73" s="108" t="str">
        <x:v>RB</x:v>
      </x:c>
      <x:c r="B73" s="175" t="n">
        <x:f>1+COUNTIFS($A$4:$A$356,A73,$J$4:$J$356,"&gt;"&amp;J73)</x:f>
        <x:v>36</x:v>
      </x:c>
      <x:c r="C73" s="175" t="n">
        <x:v>57</x:v>
      </x:c>
      <x:c r="D73" s="108" t="str">
        <x:v>Samaje Perine</x:v>
      </x:c>
      <x:c r="E73" s="108" t="str">
        <x:v>CIN</x:v>
      </x:c>
      <x:c r="F73" s="108" t="str">
        <x:v>CIN</x:v>
      </x:c>
      <x:c r="G73" s="109" t="n">
        <x:v>81.8</x:v>
      </x:c>
      <x:c r="H73" s="109" t="n">
        <x:f>'Weekly Points'!W73</x:f>
        <x:v>4.811764705882353</x:v>
      </x:c>
      <x:c r="I73" s="109" t="n">
        <x:f>'Weekly Points'!X73</x:f>
        <x:v>4.3</x:v>
      </x:c>
      <x:c r="J73" s="109" t="n">
        <x:f>'Weekly Points'!Y73</x:f>
        <x:v>2.39</x:v>
      </x:c>
      <x:c r="K73" s="109" t="n">
        <x:f>'Weekly Points'!Z73</x:f>
        <x:v>4.042487928308387</x:v>
      </x:c>
      <x:c r="L73" s="173" t="n">
        <x:f>'Weekly Points'!AA73</x:f>
        <x:v>0.8401258530714252</x:v>
      </x:c>
      <x:c r="M73" s="173" t="n">
        <x:f>'Weekly Points'!AB73</x:f>
        <x:v>0.29411764705882354</x:v>
      </x:c>
      <x:c r="N73" s="109" t="n">
        <x:f>0.5*J73+0.3*I73+0.2*H73</x:f>
        <x:v>3.4473529411764705</x:v>
      </x:c>
      <x:c r="O73" s="175" t="n">
        <x:v>15</x:v>
      </x:c>
      <x:c r="P73" s="175" t="n">
        <x:v>10</x:v>
      </x:c>
      <x:c r="Q73" s="175" t="n">
        <x:v>84</x:v>
      </x:c>
      <x:c r="R73" s="175" t="n">
        <x:v>21</x:v>
      </x:c>
      <x:c r="S73" s="175" t="n">
        <x:v>3</x:v>
      </x:c>
      <x:c r="T73" s="175" t="n">
        <x:v>0</x:v>
      </x:c>
      <x:c r="U73" s="175" t="n">
        <x:v>0</x:v>
      </x:c>
      <x:c r="V73" s="175" t="n">
        <x:f>SUM(S73:U73)</x:f>
        <x:v>3</x:v>
      </x:c>
      <x:c r="W73" s="108" t="str">
        <x:v>https://fantasy.espn.com/football/leaders?leagueId=555583&amp;lineupSlot=2&amp;scoringPeriodId=0&amp;statSplit=lastSeason</x:v>
      </x:c>
    </x:row>
    <x:row r="74">
      <x:c r="A74" s="108" t="str">
        <x:v>RB</x:v>
      </x:c>
      <x:c r="B74" s="175" t="n">
        <x:f>1+COUNTIFS($A$4:$A$356,A74,$J$4:$J$356,"&gt;"&amp;J74)</x:f>
        <x:v>37</x:v>
      </x:c>
      <x:c r="C74" s="175" t="n">
        <x:v>40</x:v>
      </x:c>
      <x:c r="D74" s="108" t="str">
        <x:v>Tyler Allgeier</x:v>
      </x:c>
      <x:c r="E74" s="108" t="str">
        <x:v>ATL</x:v>
      </x:c>
      <x:c r="F74" s="108" t="str">
        <x:v>ATL</x:v>
      </x:c>
      <x:c r="G74" s="109" t="n">
        <x:v>116</x:v>
      </x:c>
      <x:c r="H74" s="109" t="n">
        <x:f>'Weekly Points'!W74</x:f>
        <x:v>6.823529411764706</x:v>
      </x:c>
      <x:c r="I74" s="109" t="n">
        <x:f>'Weekly Points'!X74</x:f>
        <x:v>7.7</x:v>
      </x:c>
      <x:c r="J74" s="109" t="n">
        <x:f>'Weekly Points'!Y74</x:f>
        <x:v>2.3</x:v>
      </x:c>
      <x:c r="K74" s="109" t="n">
        <x:f>'Weekly Points'!Z74</x:f>
        <x:v>5.059357017013678</x:v>
      </x:c>
      <x:c r="L74" s="173" t="n">
        <x:f>'Weekly Points'!AA74</x:f>
        <x:v>0.7414574938726942</x:v>
      </x:c>
      <x:c r="M74" s="173" t="n">
        <x:f>'Weekly Points'!AB74</x:f>
        <x:v>0.4117647058823529</x:v>
      </x:c>
      <x:c r="N74" s="109" t="n">
        <x:f>0.5*J74+0.3*I74+0.2*H74</x:f>
        <x:v>4.824705882352941</x:v>
      </x:c>
      <x:c r="O74" s="175" t="n">
        <x:v>17</x:v>
      </x:c>
      <x:c r="P74" s="175" t="n">
        <x:v>5</x:v>
      </x:c>
      <x:c r="Q74" s="175" t="n">
        <x:v>143</x:v>
      </x:c>
      <x:c r="R74" s="175" t="n">
        <x:v>16</x:v>
      </x:c>
      <x:c r="S74" s="175" t="n">
        <x:v>8</x:v>
      </x:c>
      <x:c r="T74" s="175" t="n">
        <x:v>0</x:v>
      </x:c>
      <x:c r="U74" s="175" t="n">
        <x:v>0</x:v>
      </x:c>
      <x:c r="V74" s="175" t="n">
        <x:f>SUM(S74:U74)</x:f>
        <x:v>8</x:v>
      </x:c>
      <x:c r="W74" s="108" t="str">
        <x:v>https://fantasy.espn.com/football/leaders?leagueId=555583&amp;lineupSlot=2&amp;scoringPeriodId=0&amp;statSplit=lastSeason</x:v>
      </x:c>
    </x:row>
    <x:row r="75">
      <x:c r="A75" s="108" t="str">
        <x:v>RB</x:v>
      </x:c>
      <x:c r="B75" s="175" t="n">
        <x:f>1+COUNTIFS($A$4:$A$356,A75,$J$4:$J$356,"&gt;"&amp;J75)</x:f>
        <x:v>37</x:v>
      </x:c>
      <x:c r="C75" s="175" t="n">
        <x:v>33</x:v>
      </x:c>
      <x:c r="D75" s="108" t="str">
        <x:v>Blake Corum</x:v>
      </x:c>
      <x:c r="E75" s="108" t="str">
        <x:v>LAR</x:v>
      </x:c>
      <x:c r="F75" s="108" t="str">
        <x:v>LAR</x:v>
      </x:c>
      <x:c r="G75" s="109" t="n">
        <x:v>129.98</x:v>
      </x:c>
      <x:c r="H75" s="109" t="n">
        <x:f>'Weekly Points'!W75</x:f>
        <x:v>7.645882352941174</x:v>
      </x:c>
      <x:c r="I75" s="109" t="n">
        <x:f>'Weekly Points'!X75</x:f>
        <x:v>5.8</x:v>
      </x:c>
      <x:c r="J75" s="109" t="n">
        <x:f>'Weekly Points'!Y75</x:f>
        <x:v>2.3</x:v>
      </x:c>
      <x:c r="K75" s="109" t="n">
        <x:f>'Weekly Points'!Z75</x:f>
        <x:v>6.677387705861811</x:v>
      </x:c>
      <x:c r="L75" s="173" t="n">
        <x:f>'Weekly Points'!AA75</x:f>
        <x:v>0.8733312124915434</x:v>
      </x:c>
      <x:c r="M75" s="173" t="n">
        <x:f>'Weekly Points'!AB75</x:f>
        <x:v>0.4117647058823529</x:v>
      </x:c>
      <x:c r="N75" s="109" t="n">
        <x:f>0.5*J75+0.3*I75+0.2*H75</x:f>
        <x:v>4.419176470588234</x:v>
      </x:c>
      <x:c r="O75" s="175" t="n">
        <x:v>17</x:v>
      </x:c>
      <x:c r="P75" s="175" t="n">
        <x:v>8</x:v>
      </x:c>
      <x:c r="Q75" s="175" t="n">
        <x:v>145</x:v>
      </x:c>
      <x:c r="R75" s="175" t="n">
        <x:v>14</x:v>
      </x:c>
      <x:c r="S75" s="175" t="n">
        <x:v>6</x:v>
      </x:c>
      <x:c r="T75" s="175" t="n">
        <x:v>0</x:v>
      </x:c>
      <x:c r="U75" s="175" t="n">
        <x:v>0</x:v>
      </x:c>
      <x:c r="V75" s="175" t="n">
        <x:f>SUM(S75:U75)</x:f>
        <x:v>6</x:v>
      </x:c>
      <x:c r="W75" s="108" t="str">
        <x:v>https://fantasy.espn.com/football/leaders?leagueId=555583&amp;lineupSlot=2&amp;scoringPeriodId=0&amp;statSplit=lastSeason</x:v>
      </x:c>
    </x:row>
    <x:row r="76">
      <x:c r="A76" s="108" t="str">
        <x:v>RB</x:v>
      </x:c>
      <x:c r="B76" s="175" t="n">
        <x:f>1+COUNTIFS($A$4:$A$356,A76,$J$4:$J$356,"&gt;"&amp;J76)</x:f>
        <x:v>39</x:v>
      </x:c>
      <x:c r="C76" s="175" t="n">
        <x:v>47</x:v>
      </x:c>
      <x:c r="D76" s="108" t="str">
        <x:v>Ty Johnson</x:v>
      </x:c>
      <x:c r="E76" s="108" t="str">
        <x:v>BUF</x:v>
      </x:c>
      <x:c r="F76" s="108" t="str">
        <x:v>BUF</x:v>
      </x:c>
      <x:c r="G76" s="109" t="n">
        <x:v>97</x:v>
      </x:c>
      <x:c r="H76" s="109" t="n">
        <x:f>'Weekly Points'!W76</x:f>
        <x:v>5.705882352941177</x:v>
      </x:c>
      <x:c r="I76" s="109" t="n">
        <x:f>'Weekly Points'!X76</x:f>
        <x:v>4.3</x:v>
      </x:c>
      <x:c r="J76" s="109" t="n">
        <x:f>'Weekly Points'!Y76</x:f>
        <x:v>2.29</x:v>
      </x:c>
      <x:c r="K76" s="109" t="n">
        <x:f>'Weekly Points'!Z76</x:f>
        <x:v>4.810306409249316</x:v>
      </x:c>
      <x:c r="L76" s="173" t="n">
        <x:f>'Weekly Points'!AA76</x:f>
        <x:v>0.8430433913117358</x:v>
      </x:c>
      <x:c r="M76" s="173" t="n">
        <x:f>'Weekly Points'!AB76</x:f>
        <x:v>0.35294117647058826</x:v>
      </x:c>
      <x:c r="N76" s="109" t="n">
        <x:f>0.5*J76+0.3*I76+0.2*H76</x:f>
        <x:v>3.5761764705882353</x:v>
      </x:c>
      <x:c r="O76" s="175" t="n">
        <x:v>17</x:v>
      </x:c>
      <x:c r="P76" s="175" t="n">
        <x:v>7</x:v>
      </x:c>
      <x:c r="Q76" s="175" t="n">
        <x:v>50</x:v>
      </x:c>
      <x:c r="R76" s="175" t="n">
        <x:v>33</x:v>
      </x:c>
      <x:c r="S76" s="175" t="n">
        <x:v>3</x:v>
      </x:c>
      <x:c r="T76" s="175" t="n">
        <x:v>2</x:v>
      </x:c>
      <x:c r="U76" s="175" t="n">
        <x:v>0</x:v>
      </x:c>
      <x:c r="V76" s="175" t="n">
        <x:f>SUM(S76:U76)</x:f>
        <x:v>5</x:v>
      </x:c>
      <x:c r="W76" s="108" t="str">
        <x:v>https://fantasy.espn.com/football/leaders?leagueId=555583&amp;lineupSlot=2&amp;scoringPeriodId=0&amp;statSplit=lastSeason</x:v>
      </x:c>
    </x:row>
    <x:row r="77">
      <x:c r="A77" s="108" t="str">
        <x:v>RB</x:v>
      </x:c>
      <x:c r="B77" s="175" t="n">
        <x:f>1+COUNTIFS($A$4:$A$356,A77,$J$4:$J$356,"&gt;"&amp;J77)</x:f>
        <x:v>40</x:v>
      </x:c>
      <x:c r="C77" s="175" t="n">
        <x:v>58</x:v>
      </x:c>
      <x:c r="D77" s="108" t="str">
        <x:v>Isiah Pacheco</x:v>
      </x:c>
      <x:c r="E77" s="108" t="str">
        <x:v>KC</x:v>
      </x:c>
      <x:c r="F77" s="108" t="str">
        <x:v>KC</x:v>
      </x:c>
      <x:c r="G77" s="109" t="n">
        <x:v>77.8</x:v>
      </x:c>
      <x:c r="H77" s="109" t="n">
        <x:f>'Weekly Points'!W77</x:f>
        <x:v>4.576470588235294</x:v>
      </x:c>
      <x:c r="I77" s="109" t="n">
        <x:f>'Weekly Points'!X77</x:f>
        <x:v>3.8</x:v>
      </x:c>
      <x:c r="J77" s="109" t="n">
        <x:f>'Weekly Points'!Y77</x:f>
        <x:v>2.1</x:v>
      </x:c>
      <x:c r="K77" s="109" t="n">
        <x:f>'Weekly Points'!Z77</x:f>
        <x:v>3.809358354456083</x:v>
      </x:c>
      <x:c r="L77" s="173" t="n">
        <x:f>'Weekly Points'!AA77</x:f>
        <x:v>0.8323790748811494</x:v>
      </x:c>
      <x:c r="M77" s="173" t="n">
        <x:f>'Weekly Points'!AB77</x:f>
        <x:v>0.29411764705882354</x:v>
      </x:c>
      <x:c r="N77" s="109" t="n">
        <x:f>0.5*J77+0.3*I77+0.2*H77</x:f>
        <x:v>3.105294117647059</x:v>
      </x:c>
      <x:c r="O77" s="175" t="n">
        <x:v>13</x:v>
      </x:c>
      <x:c r="P77" s="175" t="n">
        <x:v>10</x:v>
      </x:c>
      <x:c r="Q77" s="175" t="n">
        <x:v>118</x:v>
      </x:c>
      <x:c r="R77" s="175" t="n">
        <x:v>26</x:v>
      </x:c>
      <x:c r="S77" s="175" t="n">
        <x:v>1</x:v>
      </x:c>
      <x:c r="T77" s="175" t="n">
        <x:v>1</x:v>
      </x:c>
      <x:c r="U77" s="175" t="n">
        <x:v>0</x:v>
      </x:c>
      <x:c r="V77" s="175" t="n">
        <x:f>SUM(S77:U77)</x:f>
        <x:v>2</x:v>
      </x:c>
      <x:c r="W77" s="108" t="str">
        <x:v>https://fantasy.espn.com/football/leaders?leagueId=555583&amp;lineupSlot=2&amp;scoringPeriodId=0&amp;statSplit=lastSeason</x:v>
      </x:c>
    </x:row>
    <x:row r="78">
      <x:c r="A78" s="108" t="str">
        <x:v>RB</x:v>
      </x:c>
      <x:c r="B78" s="175" t="n">
        <x:f>1+COUNTIFS($A$4:$A$356,A78,$J$4:$J$356,"&gt;"&amp;J78)</x:f>
        <x:v>41</x:v>
      </x:c>
      <x:c r="C78" s="175" t="n">
        <x:v>25</x:v>
      </x:c>
      <x:c r="D78" s="108" t="str">
        <x:v>Rhamondre Stevenson</x:v>
      </x:c>
      <x:c r="E78" s="108" t="str">
        <x:v>NE</x:v>
      </x:c>
      <x:c r="F78" s="108" t="str">
        <x:v>NE</x:v>
      </x:c>
      <x:c r="G78" s="109" t="n">
        <x:v>164</x:v>
      </x:c>
      <x:c r="H78" s="109" t="n">
        <x:f>'Weekly Points'!W78</x:f>
        <x:v>9.647058823529411</x:v>
      </x:c>
      <x:c r="I78" s="109" t="n">
        <x:f>'Weekly Points'!X78</x:f>
        <x:v>5.4</x:v>
      </x:c>
      <x:c r="J78" s="109" t="n">
        <x:f>'Weekly Points'!Y78</x:f>
        <x:v>1.8</x:v>
      </x:c>
      <x:c r="K78" s="109" t="n">
        <x:f>'Weekly Points'!Z78</x:f>
        <x:v>9.585658260685982</x:v>
      </x:c>
      <x:c r="L78" s="173" t="n">
        <x:f>'Weekly Points'!AA78</x:f>
        <x:v>0.9936353075101323</x:v>
      </x:c>
      <x:c r="M78" s="173" t="n">
        <x:f>'Weekly Points'!AB78</x:f>
        <x:v>0.47058823529411764</x:v>
      </x:c>
      <x:c r="N78" s="109" t="n">
        <x:f>0.5*J78+0.3*I78+0.2*H78</x:f>
        <x:v>4.449411764705882</x:v>
      </x:c>
      <x:c r="O78" s="175" t="n">
        <x:v>14</x:v>
      </x:c>
      <x:c r="P78" s="175" t="n">
        <x:v>14</x:v>
      </x:c>
      <x:c r="Q78" s="175" t="n">
        <x:v>130</x:v>
      </x:c>
      <x:c r="R78" s="175" t="n">
        <x:v>37</x:v>
      </x:c>
      <x:c r="S78" s="175" t="n">
        <x:v>7</x:v>
      </x:c>
      <x:c r="T78" s="175" t="n">
        <x:v>2</x:v>
      </x:c>
      <x:c r="U78" s="175" t="n">
        <x:v>0</x:v>
      </x:c>
      <x:c r="V78" s="175" t="n">
        <x:f>SUM(S78:U78)</x:f>
        <x:v>9</x:v>
      </x:c>
      <x:c r="W78" s="108" t="str">
        <x:v>https://fantasy.espn.com/football/leaders?leagueId=555583&amp;lineupSlot=2&amp;scoringPeriodId=0&amp;statSplit=lastSeason</x:v>
      </x:c>
    </x:row>
    <x:row r="79">
      <x:c r="A79" s="108" t="str">
        <x:v>RB</x:v>
      </x:c>
      <x:c r="B79" s="175" t="n">
        <x:f>1+COUNTIFS($A$4:$A$356,A79,$J$4:$J$356,"&gt;"&amp;J79)</x:f>
        <x:v>42</x:v>
      </x:c>
      <x:c r="C79" s="175" t="n">
        <x:v>46</x:v>
      </x:c>
      <x:c r="D79" s="108" t="str">
        <x:v>Bhayshul Tuten</x:v>
      </x:c>
      <x:c r="E79" s="108" t="str">
        <x:v>JAX</x:v>
      </x:c>
      <x:c r="F79" s="108" t="str">
        <x:v>JAX</x:v>
      </x:c>
      <x:c r="G79" s="109" t="n">
        <x:v>99.27</x:v>
      </x:c>
      <x:c r="H79" s="109" t="n">
        <x:f>'Weekly Points'!W79</x:f>
        <x:v>5.839411764705883</x:v>
      </x:c>
      <x:c r="I79" s="109" t="n">
        <x:f>'Weekly Points'!X79</x:f>
        <x:v>5.04</x:v>
      </x:c>
      <x:c r="J79" s="109" t="n">
        <x:f>'Weekly Points'!Y79</x:f>
        <x:v>1.6</x:v>
      </x:c>
      <x:c r="K79" s="109" t="n">
        <x:f>'Weekly Points'!Z79</x:f>
        <x:v>4.811000226916541</x:v>
      </x:c>
      <x:c r="L79" s="173" t="n">
        <x:f>'Weekly Points'!AA79</x:f>
        <x:v>0.8238843946568065</x:v>
      </x:c>
      <x:c r="M79" s="173" t="n">
        <x:f>'Weekly Points'!AB79</x:f>
        <x:v>0.4117647058823529</x:v>
      </x:c>
      <x:c r="N79" s="109" t="n">
        <x:f>0.5*J79+0.3*I79+0.2*H79</x:f>
        <x:v>3.4798823529411766</x:v>
      </x:c>
      <x:c r="O79" s="175" t="n">
        <x:v>15</x:v>
      </x:c>
      <x:c r="P79" s="175" t="n">
        <x:v>8</x:v>
      </x:c>
      <x:c r="Q79" s="175" t="n">
        <x:v>83</x:v>
      </x:c>
      <x:c r="R79" s="175" t="n">
        <x:v>14</x:v>
      </x:c>
      <x:c r="S79" s="175" t="n">
        <x:v>5</x:v>
      </x:c>
      <x:c r="T79" s="175" t="n">
        <x:v>2</x:v>
      </x:c>
      <x:c r="U79" s="175" t="n">
        <x:v>0</x:v>
      </x:c>
      <x:c r="V79" s="175" t="n">
        <x:f>SUM(S79:U79)</x:f>
        <x:v>7</x:v>
      </x:c>
      <x:c r="W79" s="108" t="str">
        <x:v>https://fantasy.espn.com/football/leaders?leagueId=555583&amp;lineupSlot=2&amp;scoringPeriodId=0&amp;statSplit=lastSeason</x:v>
      </x:c>
    </x:row>
    <x:row r="80">
      <x:c r="A80" s="108" t="str">
        <x:v>RB</x:v>
      </x:c>
      <x:c r="B80" s="175" t="n">
        <x:f>1+COUNTIFS($A$4:$A$356,A80,$J$4:$J$356,"&gt;"&amp;J80)</x:f>
        <x:v>42</x:v>
      </x:c>
      <x:c r="C80" s="175" t="n">
        <x:v>56</x:v>
      </x:c>
      <x:c r="D80" s="108" t="str">
        <x:v>Nick Chubb</x:v>
      </x:c>
      <x:c r="E80" s="108" t="str">
        <x:v>HOU</x:v>
      </x:c>
      <x:c r="F80" s="108" t="str">
        <x:v>HOU</x:v>
      </x:c>
      <x:c r="G80" s="109" t="n">
        <x:v>81.8</x:v>
      </x:c>
      <x:c r="H80" s="109" t="n">
        <x:f>'Weekly Points'!W80</x:f>
        <x:v>4.811764705882353</x:v>
      </x:c>
      <x:c r="I80" s="109" t="n">
        <x:f>'Weekly Points'!X80</x:f>
        <x:v>4.7</x:v>
      </x:c>
      <x:c r="J80" s="109" t="n">
        <x:f>'Weekly Points'!Y80</x:f>
        <x:v>1.6</x:v>
      </x:c>
      <x:c r="K80" s="109" t="n">
        <x:f>'Weekly Points'!Z80</x:f>
        <x:v>4.1938165059779555</x:v>
      </x:c>
      <x:c r="L80" s="173" t="n">
        <x:f>'Weekly Points'!AA80</x:f>
        <x:v>0.8715755574770813</x:v>
      </x:c>
      <x:c r="M80" s="173" t="n">
        <x:f>'Weekly Points'!AB80</x:f>
        <x:v>0.4117647058823529</x:v>
      </x:c>
      <x:c r="N80" s="109" t="n">
        <x:f>0.5*J80+0.3*I80+0.2*H80</x:f>
        <x:v>3.1723529411764706</x:v>
      </x:c>
      <x:c r="O80" s="175" t="n">
        <x:v>15</x:v>
      </x:c>
      <x:c r="P80" s="175" t="n">
        <x:v>6</x:v>
      </x:c>
      <x:c r="Q80" s="175" t="n">
        <x:v>122</x:v>
      </x:c>
      <x:c r="R80" s="175" t="n">
        <x:v>20</x:v>
      </x:c>
      <x:c r="S80" s="175" t="n">
        <x:v>3</x:v>
      </x:c>
      <x:c r="T80" s="175" t="n">
        <x:v>0</x:v>
      </x:c>
      <x:c r="U80" s="175" t="n">
        <x:v>0</x:v>
      </x:c>
      <x:c r="V80" s="175" t="n">
        <x:f>SUM(S80:U80)</x:f>
        <x:v>3</x:v>
      </x:c>
      <x:c r="W80" s="108" t="str">
        <x:v>https://fantasy.espn.com/football/leaders?leagueId=555583&amp;lineupSlot=2&amp;scoringPeriodId=0&amp;statSplit=lastSeason</x:v>
      </x:c>
    </x:row>
    <x:row r="81">
      <x:c r="A81" s="108" t="str">
        <x:v>RB</x:v>
      </x:c>
      <x:c r="B81" s="175" t="n">
        <x:f>1+COUNTIFS($A$4:$A$356,A81,$J$4:$J$356,"&gt;"&amp;J81)</x:f>
        <x:v>42</x:v>
      </x:c>
      <x:c r="C81" s="175" t="n">
        <x:v>52</x:v>
      </x:c>
      <x:c r="D81" s="108" t="str">
        <x:v>Ray Davis</x:v>
      </x:c>
      <x:c r="E81" s="108" t="str">
        <x:v>BUF</x:v>
      </x:c>
      <x:c r="F81" s="108" t="str">
        <x:v>BUF</x:v>
      </x:c>
      <x:c r="G81" s="109" t="n">
        <x:v>87.39</x:v>
      </x:c>
      <x:c r="H81" s="109" t="n">
        <x:f>'Weekly Points'!W81</x:f>
        <x:v>5.140588235294118</x:v>
      </x:c>
      <x:c r="I81" s="109" t="n">
        <x:f>'Weekly Points'!X81</x:f>
        <x:v>3.15</x:v>
      </x:c>
      <x:c r="J81" s="109" t="n">
        <x:f>'Weekly Points'!Y81</x:f>
        <x:v>1.6</x:v>
      </x:c>
      <x:c r="K81" s="109" t="n">
        <x:f>'Weekly Points'!Z81</x:f>
        <x:v>5.845872823261206</x:v>
      </x:c>
      <x:c r="L81" s="173" t="n">
        <x:f>'Weekly Points'!AA81</x:f>
        <x:v>1.1371991989408456</x:v>
      </x:c>
      <x:c r="M81" s="173" t="n">
        <x:f>'Weekly Points'!AB81</x:f>
        <x:v>0.47058823529411764</x:v>
      </x:c>
      <x:c r="N81" s="109" t="n">
        <x:f>0.5*J81+0.3*I81+0.2*H81</x:f>
        <x:v>2.7731176470588235</x:v>
      </x:c>
      <x:c r="O81" s="175" t="n">
        <x:v>16</x:v>
      </x:c>
      <x:c r="P81" s="175" t="n">
        <x:v>7</x:v>
      </x:c>
      <x:c r="Q81" s="175" t="n">
        <x:v>58</x:v>
      </x:c>
      <x:c r="R81" s="175" t="n">
        <x:v>13</x:v>
      </x:c>
      <x:c r="S81" s="175" t="n">
        <x:v>0</x:v>
      </x:c>
      <x:c r="T81" s="175" t="n">
        <x:v>2</x:v>
      </x:c>
      <x:c r="U81" s="175" t="n">
        <x:v>0</x:v>
      </x:c>
      <x:c r="V81" s="175" t="n">
        <x:f>SUM(S81:U81)</x:f>
        <x:v>2</x:v>
      </x:c>
      <x:c r="W81" s="108" t="str">
        <x:v>https://fantasy.espn.com/football/leaders?leagueId=555583&amp;lineupSlot=2&amp;scoringPeriodId=0&amp;statSplit=lastSeason</x:v>
      </x:c>
    </x:row>
    <x:row r="82">
      <x:c r="A82" s="108" t="str">
        <x:v>RB</x:v>
      </x:c>
      <x:c r="B82" s="175" t="n">
        <x:f>1+COUNTIFS($A$4:$A$356,A82,$J$4:$J$356,"&gt;"&amp;J82)</x:f>
        <x:v>45</x:v>
      </x:c>
      <x:c r="C82" s="175" t="n">
        <x:v>48</x:v>
      </x:c>
      <x:c r="D82" s="108" t="str">
        <x:v>Emanuel Wilson</x:v>
      </x:c>
      <x:c r="E82" s="108" t="str">
        <x:v>GB</x:v>
      </x:c>
      <x:c r="F82" s="108" t="str">
        <x:v>GB</x:v>
      </x:c>
      <x:c r="G82" s="109" t="n">
        <x:v>93.49</x:v>
      </x:c>
      <x:c r="H82" s="109" t="n">
        <x:f>'Weekly Points'!W82</x:f>
        <x:v>5.499411764705884</x:v>
      </x:c>
      <x:c r="I82" s="109" t="n">
        <x:f>'Weekly Points'!X82</x:f>
        <x:v>2.65</x:v>
      </x:c>
      <x:c r="J82" s="109" t="n">
        <x:f>'Weekly Points'!Y82</x:f>
        <x:v>1.4</x:v>
      </x:c>
      <x:c r="K82" s="109" t="n">
        <x:f>'Weekly Points'!Z82</x:f>
        <x:v>6.224587366988542</x:v>
      </x:c>
      <x:c r="L82" s="173" t="n">
        <x:f>'Weekly Points'!AA82</x:f>
        <x:v>1.1318642126302834</x:v>
      </x:c>
      <x:c r="M82" s="173" t="n">
        <x:f>'Weekly Points'!AB82</x:f>
        <x:v>0.5294117647058824</x:v>
      </x:c>
      <x:c r="N82" s="109" t="n">
        <x:f>0.5*J82+0.3*I82+0.2*H82</x:f>
        <x:v>2.594882352941177</x:v>
      </x:c>
      <x:c r="O82" s="175" t="n">
        <x:v>17</x:v>
      </x:c>
      <x:c r="P82" s="175" t="n">
        <x:v>5</x:v>
      </x:c>
      <x:c r="Q82" s="175" t="n">
        <x:v>125</x:v>
      </x:c>
      <x:c r="R82" s="175" t="n">
        <x:v>17</x:v>
      </x:c>
      <x:c r="S82" s="175" t="n">
        <x:v>3</x:v>
      </x:c>
      <x:c r="T82" s="175" t="n">
        <x:v>0</x:v>
      </x:c>
      <x:c r="U82" s="175" t="n">
        <x:v>0</x:v>
      </x:c>
      <x:c r="V82" s="175" t="n">
        <x:f>SUM(S82:U82)</x:f>
        <x:v>3</x:v>
      </x:c>
      <x:c r="W82" s="108" t="str">
        <x:v>https://fantasy.espn.com/football/leaders?leagueId=555583&amp;lineupSlot=2&amp;scoringPeriodId=0&amp;statSplit=lastSeason</x:v>
      </x:c>
    </x:row>
    <x:row r="83">
      <x:c r="A83" s="108" t="str">
        <x:v>RB</x:v>
      </x:c>
      <x:c r="B83" s="175" t="n">
        <x:f>1+COUNTIFS($A$4:$A$356,A83,$J$4:$J$356,"&gt;"&amp;J83)</x:f>
        <x:v>46</x:v>
      </x:c>
      <x:c r="C83" s="175" t="n">
        <x:v>44</x:v>
      </x:c>
      <x:c r="D83" s="108" t="str">
        <x:v>Sean Tucker</x:v>
      </x:c>
      <x:c r="E83" s="108" t="str">
        <x:v>TB</x:v>
      </x:c>
      <x:c r="F83" s="108" t="str">
        <x:v>TB</x:v>
      </x:c>
      <x:c r="G83" s="109" t="n">
        <x:v>106.31</x:v>
      </x:c>
      <x:c r="H83" s="109" t="n">
        <x:f>'Weekly Points'!W83</x:f>
        <x:v>6.253529411764706</x:v>
      </x:c>
      <x:c r="I83" s="109" t="n">
        <x:f>'Weekly Points'!X83</x:f>
        <x:v>3.72</x:v>
      </x:c>
      <x:c r="J83" s="109" t="n">
        <x:f>'Weekly Points'!Y83</x:f>
        <x:v>1.1</x:v>
      </x:c>
      <x:c r="K83" s="109" t="n">
        <x:f>'Weekly Points'!Z83</x:f>
        <x:v>8.11687997228178</x:v>
      </x:c>
      <x:c r="L83" s="173" t="n">
        <x:f>'Weekly Points'!AA83</x:f>
        <x:v>1.2979678254989206</x:v>
      </x:c>
      <x:c r="M83" s="173" t="n">
        <x:f>'Weekly Points'!AB83</x:f>
        <x:v>0.47058823529411764</x:v>
      </x:c>
      <x:c r="N83" s="109" t="n">
        <x:f>0.5*J83+0.3*I83+0.2*H83</x:f>
        <x:v>2.9167058823529413</x:v>
      </x:c>
      <x:c r="O83" s="175" t="n">
        <x:v>16</x:v>
      </x:c>
      <x:c r="P83" s="175" t="n">
        <x:v>9</x:v>
      </x:c>
      <x:c r="Q83" s="175" t="n">
        <x:v>86</x:v>
      </x:c>
      <x:c r="R83" s="175" t="n">
        <x:v>11</x:v>
      </x:c>
      <x:c r="S83" s="175" t="n">
        <x:v>7</x:v>
      </x:c>
      <x:c r="T83" s="175" t="n">
        <x:v>1</x:v>
      </x:c>
      <x:c r="U83" s="175" t="n">
        <x:v>0</x:v>
      </x:c>
      <x:c r="V83" s="175" t="n">
        <x:f>SUM(S83:U83)</x:f>
        <x:v>8</x:v>
      </x:c>
      <x:c r="W83" s="108" t="str">
        <x:v>https://fantasy.espn.com/football/leaders?leagueId=555583&amp;lineupSlot=2&amp;scoringPeriodId=0&amp;statSplit=lastSeason</x:v>
      </x:c>
    </x:row>
    <x:row r="84">
      <x:c r="A84" s="108" t="str">
        <x:v>RB</x:v>
      </x:c>
      <x:c r="B84" s="175" t="n">
        <x:f>1+COUNTIFS($A$4:$A$356,A84,$J$4:$J$356,"&gt;"&amp;J84)</x:f>
        <x:v>47</x:v>
      </x:c>
      <x:c r="C84" s="175" t="n">
        <x:v>39</x:v>
      </x:c>
      <x:c r="D84" s="108" t="str">
        <x:v>Kimani Vidal</x:v>
      </x:c>
      <x:c r="E84" s="108" t="str">
        <x:v>LAC</x:v>
      </x:c>
      <x:c r="F84" s="108" t="str">
        <x:v>LAC</x:v>
      </x:c>
      <x:c r="G84" s="109" t="n">
        <x:v>116.71</x:v>
      </x:c>
      <x:c r="H84" s="109" t="n">
        <x:f>'Weekly Points'!W84</x:f>
        <x:v>6.86529411764706</x:v>
      </x:c>
      <x:c r="I84" s="109" t="n">
        <x:f>'Weekly Points'!X84</x:f>
        <x:v>2.4</x:v>
      </x:c>
      <x:c r="J84" s="109" t="n">
        <x:f>'Weekly Points'!Y84</x:f>
        <x:v>0.75</x:v>
      </x:c>
      <x:c r="K84" s="109" t="n">
        <x:f>'Weekly Points'!Z84</x:f>
        <x:v>8.040836302456764</x:v>
      </x:c>
      <x:c r="L84" s="173" t="n">
        <x:f>'Weekly Points'!AA84</x:f>
        <x:v>1.1712296901873445</x:v>
      </x:c>
      <x:c r="M84" s="173" t="n">
        <x:f>'Weekly Points'!AB84</x:f>
        <x:v>0.5882352941176471</x:v>
      </x:c>
      <x:c r="N84" s="109" t="n">
        <x:f>0.5*J84+0.3*I84+0.2*H84</x:f>
        <x:v>2.468058823529412</x:v>
      </x:c>
      <x:c r="O84" s="175" t="n">
        <x:v>13</x:v>
      </x:c>
      <x:c r="P84" s="175" t="n">
        <x:v>12</x:v>
      </x:c>
      <x:c r="Q84" s="175" t="n">
        <x:v>155</x:v>
      </x:c>
      <x:c r="R84" s="175" t="n">
        <x:v>22</x:v>
      </x:c>
      <x:c r="S84" s="175" t="n">
        <x:v>3</x:v>
      </x:c>
      <x:c r="T84" s="175" t="n">
        <x:v>1</x:v>
      </x:c>
      <x:c r="U84" s="175" t="n">
        <x:v>0</x:v>
      </x:c>
      <x:c r="V84" s="175" t="n">
        <x:f>SUM(S84:U84)</x:f>
        <x:v>4</x:v>
      </x:c>
      <x:c r="W84" s="108" t="str">
        <x:v>https://fantasy.espn.com/football/leaders?leagueId=555583&amp;lineupSlot=2&amp;scoringPeriodId=0&amp;statSplit=lastSeason</x:v>
      </x:c>
    </x:row>
    <x:row r="85">
      <x:c r="A85" s="108" t="str">
        <x:v>RB</x:v>
      </x:c>
      <x:c r="B85" s="175" t="n">
        <x:f>1+COUNTIFS($A$4:$A$356,A85,$J$4:$J$356,"&gt;"&amp;J85)</x:f>
        <x:v>48</x:v>
      </x:c>
      <x:c r="C85" s="175" t="n">
        <x:v>54</x:v>
      </x:c>
      <x:c r="D85" s="108" t="str">
        <x:v>Dylan Sampson</x:v>
      </x:c>
      <x:c r="E85" s="108" t="str">
        <x:v>CLE</x:v>
      </x:c>
      <x:c r="F85" s="108" t="str">
        <x:v>CLE</x:v>
      </x:c>
      <x:c r="G85" s="109" t="n">
        <x:v>83.9</x:v>
      </x:c>
      <x:c r="H85" s="109" t="n">
        <x:f>'Weekly Points'!W85</x:f>
        <x:v>4.93529411764706</x:v>
      </x:c>
      <x:c r="I85" s="109" t="n">
        <x:f>'Weekly Points'!X85</x:f>
        <x:v>3.52</x:v>
      </x:c>
      <x:c r="J85" s="109" t="n">
        <x:f>'Weekly Points'!Y85</x:f>
        <x:v>0.7</x:v>
      </x:c>
      <x:c r="K85" s="109" t="n">
        <x:f>'Weekly Points'!Z85</x:f>
        <x:v>4.871331642612555</x:v>
      </x:c>
      <x:c r="L85" s="173" t="n">
        <x:f>'Weekly Points'!AA85</x:f>
        <x:v>0.9870397845579668</x:v>
      </x:c>
      <x:c r="M85" s="173" t="n">
        <x:f>'Weekly Points'!AB85</x:f>
        <x:v>0.35294117647058826</x:v>
      </x:c>
      <x:c r="N85" s="109" t="n">
        <x:f>0.5*J85+0.3*I85+0.2*H85</x:f>
        <x:v>2.393058823529412</x:v>
      </x:c>
      <x:c r="O85" s="175" t="n">
        <x:v>15</x:v>
      </x:c>
      <x:c r="P85" s="175" t="n">
        <x:v>9</x:v>
      </x:c>
      <x:c r="Q85" s="175" t="n">
        <x:v>65</x:v>
      </x:c>
      <x:c r="R85" s="175" t="n">
        <x:v>40</x:v>
      </x:c>
      <x:c r="S85" s="175" t="n">
        <x:v>0</x:v>
      </x:c>
      <x:c r="T85" s="175" t="n">
        <x:v>2</x:v>
      </x:c>
      <x:c r="U85" s="175" t="n">
        <x:v>0</x:v>
      </x:c>
      <x:c r="V85" s="175" t="n">
        <x:f>SUM(S85:U85)</x:f>
        <x:v>2</x:v>
      </x:c>
      <x:c r="W85" s="108" t="str">
        <x:v>https://fantasy.espn.com/football/leaders?leagueId=555583&amp;lineupSlot=2&amp;scoringPeriodId=0&amp;statSplit=lastSeason</x:v>
      </x:c>
    </x:row>
    <x:row r="86">
      <x:c r="A86" s="108" t="str">
        <x:v>RB</x:v>
      </x:c>
      <x:c r="B86" s="175" t="n">
        <x:f>1+COUNTIFS($A$4:$A$356,A86,$J$4:$J$356,"&gt;"&amp;J86)</x:f>
        <x:v>49</x:v>
      </x:c>
      <x:c r="C86" s="175" t="n">
        <x:v>51</x:v>
      </x:c>
      <x:c r="D86" s="108" t="str">
        <x:v>Tyjae Spears</x:v>
      </x:c>
      <x:c r="E86" s="108" t="str">
        <x:v>TEN</x:v>
      </x:c>
      <x:c r="F86" s="108" t="str">
        <x:v>TEN</x:v>
      </x:c>
      <x:c r="G86" s="109" t="n">
        <x:v>89.2</x:v>
      </x:c>
      <x:c r="H86" s="109" t="n">
        <x:f>'Weekly Points'!W86</x:f>
        <x:v>5.247058823529412</x:v>
      </x:c>
      <x:c r="I86" s="109" t="n">
        <x:f>'Weekly Points'!X86</x:f>
        <x:v>5.4</x:v>
      </x:c>
      <x:c r="J86" s="109" t="n">
        <x:f>'Weekly Points'!Y86</x:f>
        <x:v>0.6</x:v>
      </x:c>
      <x:c r="K86" s="109" t="n">
        <x:f>'Weekly Points'!Z86</x:f>
        <x:v>5.18267676093199</x:v>
      </x:c>
      <x:c r="L86" s="173" t="n">
        <x:f>'Weekly Points'!AA86</x:f>
        <x:v>0.9877298759623748</x:v>
      </x:c>
      <x:c r="M86" s="173" t="n">
        <x:f>'Weekly Points'!AB86</x:f>
        <x:v>0.35294117647058826</x:v>
      </x:c>
      <x:c r="N86" s="109" t="n">
        <x:f>0.5*J86+0.3*I86+0.2*H86</x:f>
        <x:v>2.9694117647058826</x:v>
      </x:c>
      <x:c r="O86" s="175" t="n">
        <x:v>13</x:v>
      </x:c>
      <x:c r="P86" s="175" t="n">
        <x:v>10</x:v>
      </x:c>
      <x:c r="Q86" s="175" t="n">
        <x:v>72</x:v>
      </x:c>
      <x:c r="R86" s="175" t="n">
        <x:v>50</x:v>
      </x:c>
      <x:c r="S86" s="175" t="n">
        <x:v>2</x:v>
      </x:c>
      <x:c r="T86" s="175" t="n">
        <x:v>0</x:v>
      </x:c>
      <x:c r="U86" s="175" t="n">
        <x:v>0</x:v>
      </x:c>
      <x:c r="V86" s="175" t="n">
        <x:f>SUM(S86:U86)</x:f>
        <x:v>2</x:v>
      </x:c>
      <x:c r="W86" s="108" t="str">
        <x:v>https://fantasy.espn.com/football/leaders?leagueId=555583&amp;lineupSlot=2&amp;scoringPeriodId=0&amp;statSplit=lastSeason</x:v>
      </x:c>
    </x:row>
    <x:row r="87">
      <x:c r="A87" s="108" t="str">
        <x:v>RB</x:v>
      </x:c>
      <x:c r="B87" s="175" t="n">
        <x:f>1+COUNTIFS($A$4:$A$356,A87,$J$4:$J$356,"&gt;"&amp;J87)</x:f>
        <x:v>50</x:v>
      </x:c>
      <x:c r="C87" s="175" t="n">
        <x:v>55</x:v>
      </x:c>
      <x:c r="D87" s="108" t="str">
        <x:v>Michael Carter</x:v>
      </x:c>
      <x:c r="E87" s="108" t="str">
        <x:v>ARI</x:v>
      </x:c>
      <x:c r="F87" s="108" t="str">
        <x:v>ARI</x:v>
      </x:c>
      <x:c r="G87" s="109" t="n">
        <x:v>83.31</x:v>
      </x:c>
      <x:c r="H87" s="109" t="n">
        <x:f>'Weekly Points'!W87</x:f>
        <x:v>4.9005882352941175</x:v>
      </x:c>
      <x:c r="I87" s="109" t="n">
        <x:f>'Weekly Points'!X87</x:f>
        <x:v>5.3</x:v>
      </x:c>
      <x:c r="J87" s="109" t="n">
        <x:f>'Weekly Points'!Y87</x:f>
        <x:v>0.1</x:v>
      </x:c>
      <x:c r="K87" s="109" t="n">
        <x:f>'Weekly Points'!Z87</x:f>
        <x:v>4.429606901412141</x:v>
      </x:c>
      <x:c r="L87" s="173" t="n">
        <x:f>'Weekly Points'!AA87</x:f>
        <x:v>0.9038928978994887</x:v>
      </x:c>
      <x:c r="M87" s="173" t="n">
        <x:f>'Weekly Points'!AB87</x:f>
        <x:v>0.35294117647058826</x:v>
      </x:c>
      <x:c r="N87" s="109" t="n">
        <x:f>0.5*J87+0.3*I87+0.2*H87</x:f>
        <x:v>2.6201176470588234</x:v>
      </x:c>
      <x:c r="O87" s="175" t="n">
        <x:v>13</x:v>
      </x:c>
      <x:c r="P87" s="175" t="n">
        <x:v>8</x:v>
      </x:c>
      <x:c r="Q87" s="175" t="n">
        <x:v>92</x:v>
      </x:c>
      <x:c r="R87" s="175" t="n">
        <x:v>45</x:v>
      </x:c>
      <x:c r="S87" s="175" t="n">
        <x:v>1</x:v>
      </x:c>
      <x:c r="T87" s="175" t="n">
        <x:v>0</x:v>
      </x:c>
      <x:c r="U87" s="175" t="n">
        <x:v>0</x:v>
      </x:c>
      <x:c r="V87" s="175" t="n">
        <x:f>SUM(S87:U87)</x:f>
        <x:v>1</x:v>
      </x:c>
      <x:c r="W87" s="108" t="str">
        <x:v>https://fantasy.espn.com/football/leaders?leagueId=555583&amp;lineupSlot=2&amp;scoringPeriodId=0&amp;statSplit=lastSeason</x:v>
      </x:c>
    </x:row>
    <x:row r="88">
      <x:c r="A88" s="108" t="str">
        <x:v>RB</x:v>
      </x:c>
      <x:c r="B88" s="175" t="n">
        <x:f>1+COUNTIFS($A$4:$A$356,A88,$J$4:$J$356,"&gt;"&amp;J88)</x:f>
        <x:v>51</x:v>
      </x:c>
      <x:c r="C88" s="175" t="n">
        <x:v>45</x:v>
      </x:c>
      <x:c r="D88" s="108" t="str">
        <x:v>Aaron Jones Sr.</x:v>
      </x:c>
      <x:c r="E88" s="108" t="str">
        <x:v>MIN</x:v>
      </x:c>
      <x:c r="F88" s="108" t="str">
        <x:v>MIN</x:v>
      </x:c>
      <x:c r="G88" s="109" t="n">
        <x:v>104.2</x:v>
      </x:c>
      <x:c r="H88" s="109" t="n">
        <x:f>'Weekly Points'!W88</x:f>
        <x:v>6.129411764705882</x:v>
      </x:c>
      <x:c r="I88" s="109" t="n">
        <x:f>'Weekly Points'!X88</x:f>
        <x:v>7.2</x:v>
      </x:c>
      <x:c r="J88" s="109" t="n">
        <x:f>'Weekly Points'!Y88</x:f>
        <x:v>0</x:v>
      </x:c>
      <x:c r="K88" s="109" t="n">
        <x:f>'Weekly Points'!Z88</x:f>
        <x:v>5.243681318656416</x:v>
      </x:c>
      <x:c r="L88" s="173" t="n">
        <x:f>'Weekly Points'!AA88</x:f>
        <x:v>0.8554950327942331</x:v>
      </x:c>
      <x:c r="M88" s="173" t="n">
        <x:f>'Weekly Points'!AB88</x:f>
        <x:v>0.4117647058823529</x:v>
      </x:c>
      <x:c r="N88" s="109" t="n">
        <x:f>0.5*J88+0.3*I88+0.2*H88</x:f>
        <x:v>3.3858823529411763</x:v>
      </x:c>
      <x:c r="O88" s="175" t="n">
        <x:v>12</x:v>
      </x:c>
      <x:c r="P88" s="175" t="n">
        <x:v>6</x:v>
      </x:c>
      <x:c r="Q88" s="175" t="n">
        <x:v>132</x:v>
      </x:c>
      <x:c r="R88" s="175" t="n">
        <x:v>41</x:v>
      </x:c>
      <x:c r="S88" s="175" t="n">
        <x:v>2</x:v>
      </x:c>
      <x:c r="T88" s="175" t="n">
        <x:v>1</x:v>
      </x:c>
      <x:c r="U88" s="175" t="n">
        <x:v>0</x:v>
      </x:c>
      <x:c r="V88" s="175" t="n">
        <x:f>SUM(S88:U88)</x:f>
        <x:v>3</x:v>
      </x:c>
      <x:c r="W88" s="108" t="str">
        <x:v>https://fantasy.espn.com/football/leaders?leagueId=555583&amp;lineupSlot=2&amp;scoringPeriodId=0&amp;statSplit=lastSeason</x:v>
      </x:c>
    </x:row>
    <x:row r="89">
      <x:c r="A89" s="108" t="str">
        <x:v>RB</x:v>
      </x:c>
      <x:c r="B89" s="175" t="n">
        <x:f>1+COUNTIFS($A$4:$A$356,A89,$J$4:$J$356,"&gt;"&amp;J89)</x:f>
        <x:v>51</x:v>
      </x:c>
      <x:c r="C89" s="175" t="n">
        <x:v>42</x:v>
      </x:c>
      <x:c r="D89" s="108" t="str">
        <x:v>J.K. Dobbins</x:v>
      </x:c>
      <x:c r="E89" s="108" t="str">
        <x:v>DEN</x:v>
      </x:c>
      <x:c r="F89" s="108" t="str">
        <x:v>DEN</x:v>
      </x:c>
      <x:c r="G89" s="109" t="n">
        <x:v>110.4</x:v>
      </x:c>
      <x:c r="H89" s="109" t="n">
        <x:f>'Weekly Points'!W89</x:f>
        <x:v>6.4941176470588236</x:v>
      </x:c>
      <x:c r="I89" s="109" t="n">
        <x:f>'Weekly Points'!X89</x:f>
        <x:v>6.4</x:v>
      </x:c>
      <x:c r="J89" s="109" t="n">
        <x:f>'Weekly Points'!Y89</x:f>
        <x:v>0</x:v>
      </x:c>
      <x:c r="K89" s="109" t="n">
        <x:f>'Weekly Points'!Z89</x:f>
        <x:v>6.138448796985929</x:v>
      </x:c>
      <x:c r="L89" s="173" t="n">
        <x:f>'Weekly Points'!AA89</x:f>
        <x:v>0.9452321517097898</x:v>
      </x:c>
      <x:c r="M89" s="173" t="n">
        <x:f>'Weekly Points'!AB89</x:f>
        <x:v>0.4117647058823529</x:v>
      </x:c>
      <x:c r="N89" s="109" t="n">
        <x:f>0.5*J89+0.3*I89+0.2*H89</x:f>
        <x:v>3.2188235294117646</x:v>
      </x:c>
      <x:c r="O89" s="175" t="n">
        <x:v>10</x:v>
      </x:c>
      <x:c r="P89" s="175" t="n">
        <x:v>12</x:v>
      </x:c>
      <x:c r="Q89" s="175" t="n">
        <x:v>153</x:v>
      </x:c>
      <x:c r="R89" s="175" t="n">
        <x:v>14</x:v>
      </x:c>
      <x:c r="S89" s="175" t="n">
        <x:v>4</x:v>
      </x:c>
      <x:c r="T89" s="175" t="n">
        <x:v>0</x:v>
      </x:c>
      <x:c r="U89" s="175" t="n">
        <x:v>0</x:v>
      </x:c>
      <x:c r="V89" s="175" t="n">
        <x:f>SUM(S89:U89)</x:f>
        <x:v>4</x:v>
      </x:c>
      <x:c r="W89" s="108" t="str">
        <x:v>https://fantasy.espn.com/football/leaders?leagueId=555583&amp;lineupSlot=2&amp;scoringPeriodId=0&amp;statSplit=lastSeason</x:v>
      </x:c>
    </x:row>
    <x:row r="90">
      <x:c r="A90" s="108" t="str">
        <x:v>RB</x:v>
      </x:c>
      <x:c r="B90" s="175" t="n">
        <x:f>1+COUNTIFS($A$4:$A$356,A90,$J$4:$J$356,"&gt;"&amp;J90)</x:f>
        <x:v>51</x:v>
      </x:c>
      <x:c r="C90" s="175" t="n">
        <x:v>49</x:v>
      </x:c>
      <x:c r="D90" s="108" t="str">
        <x:v>Chris Rodriguez Jr.</x:v>
      </x:c>
      <x:c r="E90" s="108" t="str">
        <x:v>WSH</x:v>
      </x:c>
      <x:c r="F90" s="108" t="str">
        <x:v>WSH</x:v>
      </x:c>
      <x:c r="G90" s="109" t="n">
        <x:v>90.5</x:v>
      </x:c>
      <x:c r="H90" s="109" t="n">
        <x:f>'Weekly Points'!W90</x:f>
        <x:v>5.323529411764706</x:v>
      </x:c>
      <x:c r="I90" s="109" t="n">
        <x:f>'Weekly Points'!X90</x:f>
        <x:v>5.2</x:v>
      </x:c>
      <x:c r="J90" s="109" t="n">
        <x:f>'Weekly Points'!Y90</x:f>
        <x:v>0</x:v>
      </x:c>
      <x:c r="K90" s="109" t="n">
        <x:f>'Weekly Points'!Z90</x:f>
        <x:v>5.106343161640145</x:v>
      </x:c>
      <x:c r="L90" s="173" t="n">
        <x:f>'Weekly Points'!AA90</x:f>
        <x:v>0.95920258284953</x:v>
      </x:c>
      <x:c r="M90" s="173" t="n">
        <x:f>'Weekly Points'!AB90</x:f>
        <x:v>0.4117647058823529</x:v>
      </x:c>
      <x:c r="N90" s="109" t="n">
        <x:f>0.5*J90+0.3*I90+0.2*H90</x:f>
        <x:v>2.6247058823529414</x:v>
      </x:c>
      <x:c r="O90" s="175" t="n">
        <x:v>12</x:v>
      </x:c>
      <x:c r="P90" s="175" t="n">
        <x:v>12</x:v>
      </x:c>
      <x:c r="Q90" s="175" t="n">
        <x:v>112</x:v>
      </x:c>
      <x:c r="R90" s="175" t="n">
        <x:v>4</x:v>
      </x:c>
      <x:c r="S90" s="175" t="n">
        <x:v>6</x:v>
      </x:c>
      <x:c r="T90" s="175" t="n">
        <x:v>0</x:v>
      </x:c>
      <x:c r="U90" s="175" t="n">
        <x:v>0</x:v>
      </x:c>
      <x:c r="V90" s="175" t="n">
        <x:f>SUM(S90:U90)</x:f>
        <x:v>6</x:v>
      </x:c>
      <x:c r="W90" s="108" t="str">
        <x:v>https://fantasy.espn.com/football/leaders?leagueId=555583&amp;lineupSlot=2&amp;scoringPeriodId=0&amp;statSplit=lastSeason</x:v>
      </x:c>
    </x:row>
    <x:row r="91">
      <x:c r="A91" s="108" t="str">
        <x:v>RB</x:v>
      </x:c>
      <x:c r="B91" s="175" t="n">
        <x:f>1+COUNTIFS($A$4:$A$356,A91,$J$4:$J$356,"&gt;"&amp;J91)</x:f>
        <x:v>51</x:v>
      </x:c>
      <x:c r="C91" s="175" t="n">
        <x:v>34</x:v>
      </x:c>
      <x:c r="D91" s="108" t="str">
        <x:v>Bucky Irving</x:v>
      </x:c>
      <x:c r="E91" s="108" t="str">
        <x:v>TB</x:v>
      </x:c>
      <x:c r="F91" s="108" t="str">
        <x:v>TB</x:v>
      </x:c>
      <x:c r="G91" s="109" t="n">
        <x:v>125.5</x:v>
      </x:c>
      <x:c r="H91" s="109" t="n">
        <x:f>'Weekly Points'!W91</x:f>
        <x:v>7.382352941176469</x:v>
      </x:c>
      <x:c r="I91" s="109" t="n">
        <x:f>'Weekly Points'!X91</x:f>
        <x:v>7.1</x:v>
      </x:c>
      <x:c r="J91" s="109" t="n">
        <x:f>'Weekly Points'!Y91</x:f>
        <x:v>0</x:v>
      </x:c>
      <x:c r="K91" s="109" t="n">
        <x:f>'Weekly Points'!Z91</x:f>
        <x:v>7.389598038428759</x:v>
      </x:c>
      <x:c r="L91" s="173" t="n">
        <x:f>'Weekly Points'!AA91</x:f>
        <x:v>1.0009814075959278</x:v>
      </x:c>
      <x:c r="M91" s="173" t="n">
        <x:f>'Weekly Points'!AB91</x:f>
        <x:v>0.4117647058823529</x:v>
      </x:c>
      <x:c r="N91" s="109" t="n">
        <x:f>0.5*J91+0.3*I91+0.2*H91</x:f>
        <x:v>3.606470588235294</x:v>
      </x:c>
      <x:c r="O91" s="175" t="n">
        <x:v>10</x:v>
      </x:c>
      <x:c r="P91" s="175" t="n">
        <x:v>9</x:v>
      </x:c>
      <x:c r="Q91" s="175" t="n">
        <x:v>173</x:v>
      </x:c>
      <x:c r="R91" s="175" t="n">
        <x:v>35</x:v>
      </x:c>
      <x:c r="S91" s="175" t="n">
        <x:v>1</x:v>
      </x:c>
      <x:c r="T91" s="175" t="n">
        <x:v>3</x:v>
      </x:c>
      <x:c r="U91" s="175" t="n">
        <x:v>0</x:v>
      </x:c>
      <x:c r="V91" s="175" t="n">
        <x:f>SUM(S91:U91)</x:f>
        <x:v>4</x:v>
      </x:c>
      <x:c r="W91" s="108" t="str">
        <x:v>https://fantasy.espn.com/football/leaders?leagueId=555583&amp;lineupSlot=2&amp;scoringPeriodId=0&amp;statSplit=lastSeason</x:v>
      </x:c>
    </x:row>
    <x:row r="92">
      <x:c r="A92" s="108" t="str">
        <x:v>RB</x:v>
      </x:c>
      <x:c r="B92" s="175" t="n">
        <x:f>1+COUNTIFS($A$4:$A$356,A92,$J$4:$J$356,"&gt;"&amp;J92)</x:f>
        <x:v>51</x:v>
      </x:c>
      <x:c r="C92" s="175" t="n">
        <x:v>53</x:v>
      </x:c>
      <x:c r="D92" s="108" t="str">
        <x:v>Alvin Kamara</x:v>
      </x:c>
      <x:c r="E92" s="108" t="str">
        <x:v>NO</x:v>
      </x:c>
      <x:c r="F92" s="108" t="str">
        <x:v>NO</x:v>
      </x:c>
      <x:c r="G92" s="109" t="n">
        <x:v>84.2</x:v>
      </x:c>
      <x:c r="H92" s="109" t="n">
        <x:f>'Weekly Points'!W92</x:f>
        <x:v>4.952941176470588</x:v>
      </x:c>
      <x:c r="I92" s="109" t="n">
        <x:f>'Weekly Points'!X92</x:f>
        <x:v>4.4</x:v>
      </x:c>
      <x:c r="J92" s="109" t="n">
        <x:f>'Weekly Points'!Y92</x:f>
        <x:v>0</x:v>
      </x:c>
      <x:c r="K92" s="109" t="n">
        <x:f>'Weekly Points'!Z92</x:f>
        <x:v>4.96020844522377</x:v>
      </x:c>
      <x:c r="L92" s="173" t="n">
        <x:f>'Weekly Points'!AA92</x:f>
        <x:v>1.0014672632874593</x:v>
      </x:c>
      <x:c r="M92" s="173" t="n">
        <x:f>'Weekly Points'!AB92</x:f>
        <x:v>0.4117647058823529</x:v>
      </x:c>
      <x:c r="N92" s="109" t="n">
        <x:f>0.5*J92+0.3*I92+0.2*H92</x:f>
        <x:v>2.3105882352941176</x:v>
      </x:c>
      <x:c r="O92" s="175" t="n">
        <x:v>11</x:v>
      </x:c>
      <x:c r="P92" s="175" t="n">
        <x:v>11</x:v>
      </x:c>
      <x:c r="Q92" s="175" t="n">
        <x:v>131</x:v>
      </x:c>
      <x:c r="R92" s="175" t="n">
        <x:v>39</x:v>
      </x:c>
      <x:c r="S92" s="175" t="n">
        <x:v>1</x:v>
      </x:c>
      <x:c r="T92" s="175" t="n">
        <x:v>0</x:v>
      </x:c>
      <x:c r="U92" s="175" t="n">
        <x:v>0</x:v>
      </x:c>
      <x:c r="V92" s="175" t="n">
        <x:f>SUM(S92:U92)</x:f>
        <x:v>1</x:v>
      </x:c>
      <x:c r="W92" s="108" t="str">
        <x:v>https://fantasy.espn.com/football/leaders?leagueId=555583&amp;lineupSlot=2&amp;scoringPeriodId=0&amp;statSplit=lastSeason</x:v>
      </x:c>
    </x:row>
    <x:row r="93">
      <x:c r="A93" s="108" t="str">
        <x:v>RB</x:v>
      </x:c>
      <x:c r="B93" s="175" t="n">
        <x:f>1+COUNTIFS($A$4:$A$356,A93,$J$4:$J$356,"&gt;"&amp;J93)</x:f>
        <x:v>51</x:v>
      </x:c>
      <x:c r="C93" s="175" t="n">
        <x:v>50</x:v>
      </x:c>
      <x:c r="D93" s="108" t="str">
        <x:v>Bam Knight</x:v>
      </x:c>
      <x:c r="E93" s="108" t="str">
        <x:v>ARI</x:v>
      </x:c>
      <x:c r="F93" s="108" t="str">
        <x:v>ARI</x:v>
      </x:c>
      <x:c r="G93" s="109" t="n">
        <x:v>89.58</x:v>
      </x:c>
      <x:c r="H93" s="109" t="n">
        <x:f>'Weekly Points'!W93</x:f>
        <x:v>5.2694117647058825</x:v>
      </x:c>
      <x:c r="I93" s="109" t="n">
        <x:f>'Weekly Points'!X93</x:f>
        <x:v>4.9</x:v>
      </x:c>
      <x:c r="J93" s="109" t="n">
        <x:f>'Weekly Points'!Y93</x:f>
        <x:v>0</x:v>
      </x:c>
      <x:c r="K93" s="109" t="n">
        <x:f>'Weekly Points'!Z93</x:f>
        <x:v>5.315579178877915</x:v>
      </x:c>
      <x:c r="L93" s="173" t="n">
        <x:f>'Weekly Points'!AA93</x:f>
        <x:v>1.0087613980902495</x:v>
      </x:c>
      <x:c r="M93" s="173" t="n">
        <x:f>'Weekly Points'!AB93</x:f>
        <x:v>0.47058823529411764</x:v>
      </x:c>
      <x:c r="N93" s="109" t="n">
        <x:f>0.5*J93+0.3*I93+0.2*H93</x:f>
        <x:v>2.5238823529411762</x:v>
      </x:c>
      <x:c r="O93" s="175" t="n">
        <x:v>12</x:v>
      </x:c>
      <x:c r="P93" s="175" t="n">
        <x:v>8</x:v>
      </x:c>
      <x:c r="Q93" s="175" t="n">
        <x:v>82</x:v>
      </x:c>
      <x:c r="R93" s="175" t="n">
        <x:v>31</x:v>
      </x:c>
      <x:c r="S93" s="175" t="n">
        <x:v>4</x:v>
      </x:c>
      <x:c r="T93" s="175" t="n">
        <x:v>1</x:v>
      </x:c>
      <x:c r="U93" s="175" t="n">
        <x:v>0</x:v>
      </x:c>
      <x:c r="V93" s="175" t="n">
        <x:f>SUM(S93:U93)</x:f>
        <x:v>5</x:v>
      </x:c>
      <x:c r="W93" s="108" t="str">
        <x:v>https://fantasy.espn.com/football/leaders?leagueId=555583&amp;lineupSlot=2&amp;scoringPeriodId=0&amp;statSplit=lastSeason</x:v>
      </x:c>
    </x:row>
    <x:row r="94">
      <x:c r="A94" s="108" t="str">
        <x:v>RB</x:v>
      </x:c>
      <x:c r="B94" s="175" t="n">
        <x:f>1+COUNTIFS($A$4:$A$356,A94,$J$4:$J$356,"&gt;"&amp;J94)</x:f>
        <x:v>51</x:v>
      </x:c>
      <x:c r="C94" s="175" t="n">
        <x:v>36</x:v>
      </x:c>
      <x:c r="D94" s="108" t="str">
        <x:v>Omarion Hampton</x:v>
      </x:c>
      <x:c r="E94" s="108" t="str">
        <x:v>LAC</x:v>
      </x:c>
      <x:c r="F94" s="108" t="str">
        <x:v>LAC</x:v>
      </x:c>
      <x:c r="G94" s="109" t="n">
        <x:v>122.1</x:v>
      </x:c>
      <x:c r="H94" s="109" t="n">
        <x:f>'Weekly Points'!W94</x:f>
        <x:v>7.182352941176471</x:v>
      </x:c>
      <x:c r="I94" s="109" t="n">
        <x:f>'Weekly Points'!X94</x:f>
        <x:v>3</x:v>
      </x:c>
      <x:c r="J94" s="109" t="n">
        <x:f>'Weekly Points'!Y94</x:f>
        <x:v>0</x:v>
      </x:c>
      <x:c r="K94" s="109" t="n">
        <x:f>'Weekly Points'!Z94</x:f>
        <x:v>8.600358083798033</x:v>
      </x:c>
      <x:c r="L94" s="173" t="n">
        <x:f>'Weekly Points'!AA94</x:f>
        <x:v>1.1974290534362535</x:v>
      </x:c>
      <x:c r="M94" s="173" t="n">
        <x:f>'Weekly Points'!AB94</x:f>
        <x:v>0.5294117647058824</x:v>
      </x:c>
      <x:c r="N94" s="109" t="n">
        <x:f>0.5*J94+0.3*I94+0.2*H94</x:f>
        <x:v>2.336470588235294</x:v>
      </x:c>
      <x:c r="O94" s="175" t="n">
        <x:v>9</x:v>
      </x:c>
      <x:c r="P94" s="175" t="n">
        <x:v>12</x:v>
      </x:c>
      <x:c r="Q94" s="175" t="n">
        <x:v>124</x:v>
      </x:c>
      <x:c r="R94" s="175" t="n">
        <x:v>35</x:v>
      </x:c>
      <x:c r="S94" s="175" t="n">
        <x:v>4</x:v>
      </x:c>
      <x:c r="T94" s="175" t="n">
        <x:v>1</x:v>
      </x:c>
      <x:c r="U94" s="175" t="n">
        <x:v>0</x:v>
      </x:c>
      <x:c r="V94" s="175" t="n">
        <x:f>SUM(S94:U94)</x:f>
        <x:v>5</x:v>
      </x:c>
      <x:c r="W94" s="108" t="str">
        <x:v>https://fantasy.espn.com/football/leaders?leagueId=555583&amp;lineupSlot=2&amp;scoringPeriodId=0&amp;statSplit=lastSeason</x:v>
      </x:c>
    </x:row>
    <x:row r="95">
      <x:c r="A95" s="108" t="str">
        <x:v>RB</x:v>
      </x:c>
      <x:c r="B95" s="175" t="n">
        <x:f>1+COUNTIFS($A$4:$A$356,A95,$J$4:$J$356,"&gt;"&amp;J95)</x:f>
        <x:v>51</x:v>
      </x:c>
      <x:c r="C95" s="175" t="n">
        <x:v>41</x:v>
      </x:c>
      <x:c r="D95" s="108" t="str">
        <x:v>Cam Skattebo</x:v>
      </x:c>
      <x:c r="E95" s="108" t="str">
        <x:v>NYG</x:v>
      </x:c>
      <x:c r="F95" s="108" t="str">
        <x:v>NYG</x:v>
      </x:c>
      <x:c r="G95" s="109" t="n">
        <x:v>115.7</x:v>
      </x:c>
      <x:c r="H95" s="109" t="n">
        <x:f>'Weekly Points'!W95</x:f>
        <x:v>6.805882352941177</x:v>
      </x:c>
      <x:c r="I95" s="109" t="n">
        <x:f>'Weekly Points'!X95</x:f>
        <x:v>0</x:v>
      </x:c>
      <x:c r="J95" s="109" t="n">
        <x:f>'Weekly Points'!Y95</x:f>
        <x:v>0</x:v>
      </x:c>
      <x:c r="K95" s="109" t="n">
        <x:f>'Weekly Points'!Z95</x:f>
        <x:v>9.001991321416895</x:v>
      </x:c>
      <x:c r="L95" s="173" t="n">
        <x:f>'Weekly Points'!AA95</x:f>
        <x:v>1.3226780679696388</x:v>
      </x:c>
      <x:c r="M95" s="173" t="n">
        <x:f>'Weekly Points'!AB95</x:f>
        <x:v>0.5882352941176471</x:v>
      </x:c>
      <x:c r="N95" s="109" t="n">
        <x:f>0.5*J95+0.3*I95+0.2*H95</x:f>
        <x:v>1.3611764705882354</x:v>
      </x:c>
      <x:c r="O95" s="175" t="n">
        <x:v>8</x:v>
      </x:c>
      <x:c r="P95" s="175" t="n">
        <x:v>14</x:v>
      </x:c>
      <x:c r="Q95" s="175" t="n">
        <x:v>101</x:v>
      </x:c>
      <x:c r="R95" s="175" t="n">
        <x:v>32</x:v>
      </x:c>
      <x:c r="S95" s="175" t="n">
        <x:v>5</x:v>
      </x:c>
      <x:c r="T95" s="175" t="n">
        <x:v>2</x:v>
      </x:c>
      <x:c r="U95" s="175" t="n">
        <x:v>0</x:v>
      </x:c>
      <x:c r="V95" s="175" t="n">
        <x:f>SUM(S95:U95)</x:f>
        <x:v>7</x:v>
      </x:c>
      <x:c r="W95" s="108" t="str">
        <x:v>https://fantasy.espn.com/football/leaders?leagueId=555583&amp;lineupSlot=2&amp;scoringPeriodId=0&amp;statSplit=lastSeason</x:v>
      </x:c>
    </x:row>
    <x:row r="96">
      <x:c r="A96" s="108" t="str">
        <x:v>WR</x:v>
      </x:c>
      <x:c r="B96" s="175" t="n">
        <x:f>1+COUNTIFS($A$4:$A$356,A96,$J$4:$J$356,"&gt;"&amp;J96)</x:f>
        <x:v>1</x:v>
      </x:c>
      <x:c r="C96" s="175" t="n">
        <x:v>2</x:v>
      </x:c>
      <x:c r="D96" s="108" t="str">
        <x:v>Jaxon Smith-Njigba</x:v>
      </x:c>
      <x:c r="E96" s="108" t="str">
        <x:v>SEA</x:v>
      </x:c>
      <x:c r="F96" s="108" t="str">
        <x:v>SEA</x:v>
      </x:c>
      <x:c r="G96" s="109" t="n">
        <x:v>305.4</x:v>
      </x:c>
      <x:c r="H96" s="109" t="n">
        <x:f>'Weekly Points'!W96</x:f>
        <x:v>17.96470588235294</x:v>
      </x:c>
      <x:c r="I96" s="109" t="n">
        <x:f>'Weekly Points'!X96</x:f>
        <x:v>18</x:v>
      </x:c>
      <x:c r="J96" s="109" t="n">
        <x:f>'Weekly Points'!Y96</x:f>
        <x:v>14.3</x:v>
      </x:c>
      <x:c r="K96" s="109" t="n">
        <x:f>'Weekly Points'!Z96</x:f>
        <x:v>7.169456553075413</x:v>
      </x:c>
      <x:c r="L96" s="173" t="n">
        <x:f>'Weekly Points'!AA96</x:f>
        <x:v>0.39908566274486584</x:v>
      </x:c>
      <x:c r="M96" s="173" t="n">
        <x:f>'Weekly Points'!AB96</x:f>
        <x:v>0.058823529411764705</x:v>
      </x:c>
      <x:c r="N96" s="109" t="n">
        <x:f>0.5*J96+0.3*I96+0.2*H96</x:f>
        <x:v>16.14294117647059</x:v>
      </x:c>
      <x:c r="O96" s="175" t="n">
        <x:v>17</x:v>
      </x:c>
      <x:c r="P96" s="175" t="n">
        <x:v>8</x:v>
      </x:c>
      <x:c r="Q96" s="175" t="n">
        <x:v>7</x:v>
      </x:c>
      <x:c r="R96" s="175" t="n">
        <x:v>163</x:v>
      </x:c>
      <x:c r="S96" s="175" t="n">
        <x:v>0</x:v>
      </x:c>
      <x:c r="T96" s="175" t="n">
        <x:v>10</x:v>
      </x:c>
      <x:c r="U96" s="175" t="n">
        <x:v>0</x:v>
      </x:c>
      <x:c r="V96" s="175" t="n">
        <x:f>SUM(S96:U96)</x:f>
        <x:v>10</x:v>
      </x:c>
      <x:c r="W96" s="108" t="str">
        <x:v>https://fantasy.espn.com/football/leaders?leagueId=555583&amp;lineupSlot=4&amp;scoringPeriodId=0&amp;statSplit=lastSeason</x:v>
      </x:c>
    </x:row>
    <x:row r="97">
      <x:c r="A97" s="108" t="str">
        <x:v>WR</x:v>
      </x:c>
      <x:c r="B97" s="175" t="n">
        <x:f>1+COUNTIFS($A$4:$A$356,A97,$J$4:$J$356,"&gt;"&amp;J97)</x:f>
        <x:v>2</x:v>
      </x:c>
      <x:c r="C97" s="175" t="n">
        <x:v>1</x:v>
      </x:c>
      <x:c r="D97" s="108" t="str">
        <x:v>Puka Nacua</x:v>
      </x:c>
      <x:c r="E97" s="108" t="str">
        <x:v>LAR</x:v>
      </x:c>
      <x:c r="F97" s="108" t="str">
        <x:v>LAR</x:v>
      </x:c>
      <x:c r="G97" s="109" t="n">
        <x:v>314.5</x:v>
      </x:c>
      <x:c r="H97" s="109" t="n">
        <x:f>'Weekly Points'!W97</x:f>
        <x:v>18.499999999999996</x:v>
      </x:c>
      <x:c r="I97" s="109" t="n">
        <x:f>'Weekly Points'!X97</x:f>
        <x:v>18.1</x:v>
      </x:c>
      <x:c r="J97" s="109" t="n">
        <x:f>'Weekly Points'!Y97</x:f>
        <x:v>13.2</x:v>
      </x:c>
      <x:c r="K97" s="109" t="n">
        <x:f>'Weekly Points'!Z97</x:f>
        <x:v>10.071100179400927</x:v>
      </x:c>
      <x:c r="L97" s="173" t="n">
        <x:f>'Weekly Points'!AA97</x:f>
        <x:v>0.5443837934811313</x:v>
      </x:c>
      <x:c r="M97" s="173" t="n">
        <x:f>'Weekly Points'!AB97</x:f>
        <x:v>0.11764705882352941</x:v>
      </x:c>
      <x:c r="N97" s="109" t="n">
        <x:f>0.5*J97+0.3*I97+0.2*H97</x:f>
        <x:v>15.73</x:v>
      </x:c>
      <x:c r="O97" s="175" t="n">
        <x:v>16</x:v>
      </x:c>
      <x:c r="P97" s="175" t="n">
        <x:v>8</x:v>
      </x:c>
      <x:c r="Q97" s="175" t="n">
        <x:v>10</x:v>
      </x:c>
      <x:c r="R97" s="175" t="n">
        <x:v>166</x:v>
      </x:c>
      <x:c r="S97" s="175" t="n">
        <x:v>1</x:v>
      </x:c>
      <x:c r="T97" s="175" t="n">
        <x:v>10</x:v>
      </x:c>
      <x:c r="U97" s="175" t="n">
        <x:v>0</x:v>
      </x:c>
      <x:c r="V97" s="175" t="n">
        <x:f>SUM(S97:U97)</x:f>
        <x:v>11</x:v>
      </x:c>
      <x:c r="W97" s="108" t="str">
        <x:v>https://fantasy.espn.com/football/leaders?leagueId=555583&amp;lineupSlot=4&amp;scoringPeriodId=0&amp;statSplit=lastSeason</x:v>
      </x:c>
    </x:row>
    <x:row r="98">
      <x:c r="A98" s="108" t="str">
        <x:v>WR</x:v>
      </x:c>
      <x:c r="B98" s="175" t="n">
        <x:f>1+COUNTIFS($A$4:$A$356,A98,$J$4:$J$356,"&gt;"&amp;J98)</x:f>
        <x:v>3</x:v>
      </x:c>
      <x:c r="C98" s="175" t="n">
        <x:v>5</x:v>
      </x:c>
      <x:c r="D98" s="108" t="str">
        <x:v>George Pickens</x:v>
      </x:c>
      <x:c r="E98" s="108" t="str">
        <x:v>DAL</x:v>
      </x:c>
      <x:c r="F98" s="108" t="str">
        <x:v>DAL</x:v>
      </x:c>
      <x:c r="G98" s="109" t="n">
        <x:v>245.4</x:v>
      </x:c>
      <x:c r="H98" s="109" t="n">
        <x:f>'Weekly Points'!W98</x:f>
        <x:v>14.43529411764706</x:v>
      </x:c>
      <x:c r="I98" s="109" t="n">
        <x:f>'Weekly Points'!X98</x:f>
        <x:v>13.3</x:v>
      </x:c>
      <x:c r="J98" s="109" t="n">
        <x:f>'Weekly Points'!Y98</x:f>
        <x:v>9.8</x:v>
      </x:c>
      <x:c r="K98" s="109" t="n">
        <x:f>'Weekly Points'!Z98</x:f>
        <x:v>8.360195689833962</x:v>
      </x:c>
      <x:c r="L98" s="173" t="n">
        <x:f>'Weekly Points'!AA98</x:f>
        <x:v>0.5791496606649443</x:v>
      </x:c>
      <x:c r="M98" s="173" t="n">
        <x:f>'Weekly Points'!AB98</x:f>
        <x:v>0.23529411764705882</x:v>
      </x:c>
      <x:c r="N98" s="109" t="n">
        <x:f>0.5*J98+0.3*I98+0.2*H98</x:f>
        <x:v>11.777058823529412</x:v>
      </x:c>
      <x:c r="O98" s="175" t="n">
        <x:v>17</x:v>
      </x:c>
      <x:c r="P98" s="175" t="n">
        <x:v>10</x:v>
      </x:c>
      <x:c r="Q98" s="175" t="n">
        <x:v>0</x:v>
      </x:c>
      <x:c r="R98" s="175" t="n">
        <x:v>137</x:v>
      </x:c>
      <x:c r="S98" s="175" t="n">
        <x:v>0</x:v>
      </x:c>
      <x:c r="T98" s="175" t="n">
        <x:v>9</x:v>
      </x:c>
      <x:c r="U98" s="175" t="n">
        <x:v>0</x:v>
      </x:c>
      <x:c r="V98" s="175" t="n">
        <x:f>SUM(S98:U98)</x:f>
        <x:v>9</x:v>
      </x:c>
      <x:c r="W98" s="108" t="str">
        <x:v>https://fantasy.espn.com/football/leaders?leagueId=555583&amp;lineupSlot=4&amp;scoringPeriodId=0&amp;statSplit=lastSeason</x:v>
      </x:c>
    </x:row>
    <x:row r="99">
      <x:c r="A99" s="108" t="str">
        <x:v>WR</x:v>
      </x:c>
      <x:c r="B99" s="175" t="n">
        <x:f>1+COUNTIFS($A$4:$A$356,A99,$J$4:$J$356,"&gt;"&amp;J99)</x:f>
        <x:v>4</x:v>
      </x:c>
      <x:c r="C99" s="175" t="n">
        <x:v>7</x:v>
      </x:c>
      <x:c r="D99" s="108" t="str">
        <x:v>Zay Flowers</x:v>
      </x:c>
      <x:c r="E99" s="108" t="str">
        <x:v>BAL</x:v>
      </x:c>
      <x:c r="F99" s="108" t="str">
        <x:v>BAL</x:v>
      </x:c>
      <x:c r="G99" s="109" t="n">
        <x:v>204.3</x:v>
      </x:c>
      <x:c r="H99" s="109" t="n">
        <x:f>'Weekly Points'!W99</x:f>
        <x:v>12.017647058823528</x:v>
      </x:c>
      <x:c r="I99" s="109" t="n">
        <x:f>'Weekly Points'!X99</x:f>
        <x:v>10.6</x:v>
      </x:c>
      <x:c r="J99" s="109" t="n">
        <x:f>'Weekly Points'!Y99</x:f>
        <x:v>9.4</x:v>
      </x:c>
      <x:c r="K99" s="109" t="n">
        <x:f>'Weekly Points'!Z99</x:f>
        <x:v>7.408995747945844</x:v>
      </x:c>
      <x:c r="L99" s="173" t="n">
        <x:f>'Weekly Points'!AA99</x:f>
        <x:v>0.6165096804458119</x:v>
      </x:c>
      <x:c r="M99" s="173" t="n">
        <x:f>'Weekly Points'!AB99</x:f>
        <x:v>0.17647058823529413</x:v>
      </x:c>
      <x:c r="N99" s="109" t="n">
        <x:f>0.5*J99+0.3*I99+0.2*H99</x:f>
        <x:v>10.283529411764706</x:v>
      </x:c>
      <x:c r="O99" s="175" t="n">
        <x:v>17</x:v>
      </x:c>
      <x:c r="P99" s="175" t="n">
        <x:v>7</x:v>
      </x:c>
      <x:c r="Q99" s="175" t="n">
        <x:v>10</x:v>
      </x:c>
      <x:c r="R99" s="175" t="n">
        <x:v>118</x:v>
      </x:c>
      <x:c r="S99" s="175" t="n">
        <x:v>1</x:v>
      </x:c>
      <x:c r="T99" s="175" t="n">
        <x:v>5</x:v>
      </x:c>
      <x:c r="U99" s="175" t="n">
        <x:v>0</x:v>
      </x:c>
      <x:c r="V99" s="175" t="n">
        <x:f>SUM(S99:U99)</x:f>
        <x:v>6</x:v>
      </x:c>
      <x:c r="W99" s="108" t="str">
        <x:v>https://fantasy.espn.com/football/leaders?leagueId=555583&amp;lineupSlot=4&amp;scoringPeriodId=0&amp;statSplit=lastSeason</x:v>
      </x:c>
    </x:row>
    <x:row r="100">
      <x:c r="A100" s="108" t="str">
        <x:v>WR</x:v>
      </x:c>
      <x:c r="B100" s="175" t="n">
        <x:f>1+COUNTIFS($A$4:$A$356,A100,$J$4:$J$356,"&gt;"&amp;J100)</x:f>
        <x:v>5</x:v>
      </x:c>
      <x:c r="C100" s="175" t="n">
        <x:v>3</x:v>
      </x:c>
      <x:c r="D100" s="108" t="str">
        <x:v>Amon-Ra St. Brown</x:v>
      </x:c>
      <x:c r="E100" s="108" t="str">
        <x:v>DET</x:v>
      </x:c>
      <x:c r="F100" s="108" t="str">
        <x:v>DET</x:v>
      </x:c>
      <x:c r="G100" s="109" t="n">
        <x:v>265</x:v>
      </x:c>
      <x:c r="H100" s="109" t="n">
        <x:f>'Weekly Points'!W100</x:f>
        <x:v>15.588235294117647</x:v>
      </x:c>
      <x:c r="I100" s="109" t="n">
        <x:f>'Weekly Points'!X100</x:f>
        <x:v>14.2</x:v>
      </x:c>
      <x:c r="J100" s="109" t="n">
        <x:f>'Weekly Points'!Y100</x:f>
        <x:v>8.7</x:v>
      </x:c>
      <x:c r="K100" s="109" t="n">
        <x:f>'Weekly Points'!Z100</x:f>
        <x:v>9.368086147249274</x:v>
      </x:c>
      <x:c r="L100" s="173" t="n">
        <x:f>'Weekly Points'!AA100</x:f>
        <x:v>0.600971564163161</x:v>
      </x:c>
      <x:c r="M100" s="173" t="n">
        <x:f>'Weekly Points'!AB100</x:f>
        <x:v>0.23529411764705882</x:v>
      </x:c>
      <x:c r="N100" s="109" t="n">
        <x:f>0.5*J100+0.3*I100+0.2*H100</x:f>
        <x:v>11.727647058823528</x:v>
      </x:c>
      <x:c r="O100" s="175" t="n">
        <x:v>16</x:v>
      </x:c>
      <x:c r="P100" s="175" t="n">
        <x:v>8</x:v>
      </x:c>
      <x:c r="Q100" s="175" t="n">
        <x:v>3</x:v>
      </x:c>
      <x:c r="R100" s="175" t="n">
        <x:v>172</x:v>
      </x:c>
      <x:c r="S100" s="175" t="n">
        <x:v>0</x:v>
      </x:c>
      <x:c r="T100" s="175" t="n">
        <x:v>11</x:v>
      </x:c>
      <x:c r="U100" s="175" t="n">
        <x:v>0</x:v>
      </x:c>
      <x:c r="V100" s="175" t="n">
        <x:f>SUM(S100:U100)</x:f>
        <x:v>11</x:v>
      </x:c>
      <x:c r="W100" s="108" t="str">
        <x:v>https://fantasy.espn.com/football/leaders?leagueId=555583&amp;lineupSlot=4&amp;scoringPeriodId=0&amp;statSplit=lastSeason</x:v>
      </x:c>
    </x:row>
    <x:row r="101">
      <x:c r="A101" s="108" t="str">
        <x:v>WR</x:v>
      </x:c>
      <x:c r="B101" s="175" t="n">
        <x:f>1+COUNTIFS($A$4:$A$356,A101,$J$4:$J$356,"&gt;"&amp;J101)</x:f>
        <x:v>6</x:v>
      </x:c>
      <x:c r="C101" s="175" t="n">
        <x:v>6</x:v>
      </x:c>
      <x:c r="D101" s="108" t="str">
        <x:v>Chris Olave</x:v>
      </x:c>
      <x:c r="E101" s="108" t="str">
        <x:v>NO</x:v>
      </x:c>
      <x:c r="F101" s="108" t="str">
        <x:v>NO</x:v>
      </x:c>
      <x:c r="G101" s="109" t="n">
        <x:v>220</x:v>
      </x:c>
      <x:c r="H101" s="109" t="n">
        <x:f>'Weekly Points'!W101</x:f>
        <x:v>12.941176470588236</x:v>
      </x:c>
      <x:c r="I101" s="109" t="n">
        <x:f>'Weekly Points'!X101</x:f>
        <x:v>10.7</x:v>
      </x:c>
      <x:c r="J101" s="109" t="n">
        <x:f>'Weekly Points'!Y101</x:f>
        <x:v>8.4</x:v>
      </x:c>
      <x:c r="K101" s="109" t="n">
        <x:f>'Weekly Points'!Z101</x:f>
        <x:v>7.729550540432052</x:v>
      </x:c>
      <x:c r="L101" s="173" t="n">
        <x:f>'Weekly Points'!AA101</x:f>
        <x:v>0.5972834508515676</x:v>
      </x:c>
      <x:c r="M101" s="173" t="n">
        <x:f>'Weekly Points'!AB101</x:f>
        <x:v>0.11764705882352941</x:v>
      </x:c>
      <x:c r="N101" s="109" t="n">
        <x:f>0.5*J101+0.3*I101+0.2*H101</x:f>
        <x:v>9.998235294117647</x:v>
      </x:c>
      <x:c r="O101" s="175" t="n">
        <x:v>16</x:v>
      </x:c>
      <x:c r="P101" s="175" t="n">
        <x:v>11</x:v>
      </x:c>
      <x:c r="Q101" s="175" t="n">
        <x:v>1</x:v>
      </x:c>
      <x:c r="R101" s="175" t="n">
        <x:v>156</x:v>
      </x:c>
      <x:c r="S101" s="175" t="n">
        <x:v>0</x:v>
      </x:c>
      <x:c r="T101" s="175" t="n">
        <x:v>9</x:v>
      </x:c>
      <x:c r="U101" s="175" t="n">
        <x:v>0</x:v>
      </x:c>
      <x:c r="V101" s="175" t="n">
        <x:f>SUM(S101:U101)</x:f>
        <x:v>9</x:v>
      </x:c>
      <x:c r="W101" s="108" t="str">
        <x:v>https://fantasy.espn.com/football/leaders?leagueId=555583&amp;lineupSlot=4&amp;scoringPeriodId=0&amp;statSplit=lastSeason</x:v>
      </x:c>
    </x:row>
    <x:row r="102">
      <x:c r="A102" s="108" t="str">
        <x:v>WR</x:v>
      </x:c>
      <x:c r="B102" s="175" t="n">
        <x:f>1+COUNTIFS($A$4:$A$356,A102,$J$4:$J$356,"&gt;"&amp;J102)</x:f>
        <x:v>7</x:v>
      </x:c>
      <x:c r="C102" s="175" t="n">
        <x:v>9</x:v>
      </x:c>
      <x:c r="D102" s="108" t="str">
        <x:v>Nico Collins</x:v>
      </x:c>
      <x:c r="E102" s="108" t="str">
        <x:v>HOU</x:v>
      </x:c>
      <x:c r="F102" s="108" t="str">
        <x:v>HOU</x:v>
      </x:c>
      <x:c r="G102" s="109" t="n">
        <x:v>194.7</x:v>
      </x:c>
      <x:c r="H102" s="109" t="n">
        <x:f>'Weekly Points'!W102</x:f>
        <x:v>11.452941176470588</x:v>
      </x:c>
      <x:c r="I102" s="109" t="n">
        <x:f>'Weekly Points'!X102</x:f>
        <x:v>11</x:v>
      </x:c>
      <x:c r="J102" s="109" t="n">
        <x:f>'Weekly Points'!Y102</x:f>
        <x:v>7</x:v>
      </x:c>
      <x:c r="K102" s="109" t="n">
        <x:f>'Weekly Points'!Z102</x:f>
        <x:v>7.081966962317978</x:v>
      </x:c>
      <x:c r="L102" s="173" t="n">
        <x:f>'Weekly Points'!AA102</x:f>
        <x:v>0.6183535611679796</x:v>
      </x:c>
      <x:c r="M102" s="173" t="n">
        <x:f>'Weekly Points'!AB102</x:f>
        <x:v>0.23529411764705882</x:v>
      </x:c>
      <x:c r="N102" s="109" t="n">
        <x:f>0.5*J102+0.3*I102+0.2*H102</x:f>
        <x:v>9.090588235294117</x:v>
      </x:c>
      <x:c r="O102" s="175" t="n">
        <x:v>15</x:v>
      </x:c>
      <x:c r="P102" s="175" t="n">
        <x:v>6</x:v>
      </x:c>
      <x:c r="Q102" s="175" t="n">
        <x:v>2</x:v>
      </x:c>
      <x:c r="R102" s="175" t="n">
        <x:v>120</x:v>
      </x:c>
      <x:c r="S102" s="175" t="n">
        <x:v>1</x:v>
      </x:c>
      <x:c r="T102" s="175" t="n">
        <x:v>6</x:v>
      </x:c>
      <x:c r="U102" s="175" t="n">
        <x:v>0</x:v>
      </x:c>
      <x:c r="V102" s="175" t="n">
        <x:f>SUM(S102:U102)</x:f>
        <x:v>7</x:v>
      </x:c>
      <x:c r="W102" s="108" t="str">
        <x:v>https://fantasy.espn.com/football/leaders?leagueId=555583&amp;lineupSlot=4&amp;scoringPeriodId=0&amp;statSplit=lastSeason</x:v>
      </x:c>
    </x:row>
    <x:row r="103">
      <x:c r="A103" s="108" t="str">
        <x:v>WR</x:v>
      </x:c>
      <x:c r="B103" s="175" t="n">
        <x:f>1+COUNTIFS($A$4:$A$356,A103,$J$4:$J$356,"&gt;"&amp;J103)</x:f>
        <x:v>8</x:v>
      </x:c>
      <x:c r="C103" s="175" t="n">
        <x:v>15</x:v>
      </x:c>
      <x:c r="D103" s="108" t="str">
        <x:v>Tetairoa McMillan</x:v>
      </x:c>
      <x:c r="E103" s="108" t="str">
        <x:v>CAR</x:v>
      </x:c>
      <x:c r="F103" s="108" t="str">
        <x:v>CAR</x:v>
      </x:c>
      <x:c r="G103" s="109" t="n">
        <x:v>178.4</x:v>
      </x:c>
      <x:c r="H103" s="109" t="n">
        <x:f>'Weekly Points'!W103</x:f>
        <x:v>10.494117647058825</x:v>
      </x:c>
      <x:c r="I103" s="109" t="n">
        <x:f>'Weekly Points'!X103</x:f>
        <x:v>9.3</x:v>
      </x:c>
      <x:c r="J103" s="109" t="n">
        <x:f>'Weekly Points'!Y103</x:f>
        <x:v>6.6</x:v>
      </x:c>
      <x:c r="K103" s="109" t="n">
        <x:f>'Weekly Points'!Z103</x:f>
        <x:v>6.183514191045821</x:v>
      </x:c>
      <x:c r="L103" s="173" t="n">
        <x:f>'Weekly Points'!AA103</x:f>
        <x:v>0.5892362177566084</x:v>
      </x:c>
      <x:c r="M103" s="173" t="n">
        <x:f>'Weekly Points'!AB103</x:f>
        <x:v>0.17647058823529413</x:v>
      </x:c>
      <x:c r="N103" s="109" t="n">
        <x:f>0.5*J103+0.3*I103+0.2*H103</x:f>
        <x:v>8.188823529411765</x:v>
      </x:c>
      <x:c r="O103" s="175" t="n">
        <x:v>17</x:v>
      </x:c>
      <x:c r="P103" s="175" t="n">
        <x:v>14</x:v>
      </x:c>
      <x:c r="Q103" s="175" t="n">
        <x:v>0</x:v>
      </x:c>
      <x:c r="R103" s="175" t="n">
        <x:v>122</x:v>
      </x:c>
      <x:c r="S103" s="175" t="n">
        <x:v>0</x:v>
      </x:c>
      <x:c r="T103" s="175" t="n">
        <x:v>7</x:v>
      </x:c>
      <x:c r="U103" s="175" t="n">
        <x:v>0</x:v>
      </x:c>
      <x:c r="V103" s="175" t="n">
        <x:f>SUM(S103:U103)</x:f>
        <x:v>7</x:v>
      </x:c>
      <x:c r="W103" s="108" t="str">
        <x:v>https://fantasy.espn.com/football/leaders?leagueId=555583&amp;lineupSlot=4&amp;scoringPeriodId=0&amp;statSplit=lastSeason</x:v>
      </x:c>
    </x:row>
    <x:row r="104">
      <x:c r="A104" s="108" t="str">
        <x:v>WR</x:v>
      </x:c>
      <x:c r="B104" s="175" t="n">
        <x:f>1+COUNTIFS($A$4:$A$356,A104,$J$4:$J$356,"&gt;"&amp;J104)</x:f>
        <x:v>9</x:v>
      </x:c>
      <x:c r="C104" s="175" t="n">
        <x:v>4</x:v>
      </x:c>
      <x:c r="D104" s="108" t="str">
        <x:v>Ja'Marr Chase</x:v>
      </x:c>
      <x:c r="E104" s="108" t="str">
        <x:v>CIN</x:v>
      </x:c>
      <x:c r="F104" s="108" t="str">
        <x:v>CIN</x:v>
      </x:c>
      <x:c r="G104" s="109" t="n">
        <x:v>253.1</x:v>
      </x:c>
      <x:c r="H104" s="109" t="n">
        <x:f>'Weekly Points'!W104</x:f>
        <x:v>14.888235294117646</x:v>
      </x:c>
      <x:c r="I104" s="109" t="n">
        <x:f>'Weekly Points'!X104</x:f>
        <x:v>15.1</x:v>
      </x:c>
      <x:c r="J104" s="109" t="n">
        <x:f>'Weekly Points'!Y104</x:f>
        <x:v>6.4</x:v>
      </x:c>
      <x:c r="K104" s="109" t="n">
        <x:f>'Weekly Points'!Z104</x:f>
        <x:v>9.089223247272251</x:v>
      </x:c>
      <x:c r="L104" s="173" t="n">
        <x:f>'Weekly Points'!AA104</x:f>
        <x:v>0.6104970177938691</x:v>
      </x:c>
      <x:c r="M104" s="173" t="n">
        <x:f>'Weekly Points'!AB104</x:f>
        <x:v>0.29411764705882354</x:v>
      </x:c>
      <x:c r="N104" s="109" t="n">
        <x:f>0.5*J104+0.3*I104+0.2*H104</x:f>
        <x:v>10.707647058823529</x:v>
      </x:c>
      <x:c r="O104" s="175" t="n">
        <x:v>16</x:v>
      </x:c>
      <x:c r="P104" s="175" t="n">
        <x:v>10</x:v>
      </x:c>
      <x:c r="Q104" s="175" t="n">
        <x:v>3</x:v>
      </x:c>
      <x:c r="R104" s="175" t="n">
        <x:v>185</x:v>
      </x:c>
      <x:c r="S104" s="175" t="n">
        <x:v>0</x:v>
      </x:c>
      <x:c r="T104" s="175" t="n">
        <x:v>8</x:v>
      </x:c>
      <x:c r="U104" s="175" t="n">
        <x:v>0</x:v>
      </x:c>
      <x:c r="V104" s="175" t="n">
        <x:f>SUM(S104:U104)</x:f>
        <x:v>8</x:v>
      </x:c>
      <x:c r="W104" s="108" t="str">
        <x:v>https://fantasy.espn.com/football/leaders?leagueId=555583&amp;lineupSlot=4&amp;scoringPeriodId=0&amp;statSplit=lastSeason</x:v>
      </x:c>
    </x:row>
    <x:row r="105">
      <x:c r="A105" s="108" t="str">
        <x:v>WR</x:v>
      </x:c>
      <x:c r="B105" s="175" t="n">
        <x:f>1+COUNTIFS($A$4:$A$356,A105,$J$4:$J$356,"&gt;"&amp;J105)</x:f>
        <x:v>10</x:v>
      </x:c>
      <x:c r="C105" s="175" t="n">
        <x:v>12</x:v>
      </x:c>
      <x:c r="D105" s="108" t="str">
        <x:v>Courtland Sutton</x:v>
      </x:c>
      <x:c r="E105" s="108" t="str">
        <x:v>DEN</x:v>
      </x:c>
      <x:c r="F105" s="108" t="str">
        <x:v>DEN</x:v>
      </x:c>
      <x:c r="G105" s="109" t="n">
        <x:v>184.2</x:v>
      </x:c>
      <x:c r="H105" s="109" t="n">
        <x:f>'Weekly Points'!W105</x:f>
        <x:v>10.83529411764706</x:v>
      </x:c>
      <x:c r="I105" s="109" t="n">
        <x:f>'Weekly Points'!X105</x:f>
        <x:v>9.5</x:v>
      </x:c>
      <x:c r="J105" s="109" t="n">
        <x:f>'Weekly Points'!Y105</x:f>
        <x:v>6</x:v>
      </x:c>
      <x:c r="K105" s="109" t="n">
        <x:f>'Weekly Points'!Z105</x:f>
        <x:v>6.573291876218901</x:v>
      </x:c>
      <x:c r="L105" s="173" t="n">
        <x:f>'Weekly Points'!AA105</x:f>
        <x:v>0.6066556020397466</x:v>
      </x:c>
      <x:c r="M105" s="173" t="n">
        <x:f>'Weekly Points'!AB105</x:f>
        <x:v>0.23529411764705882</x:v>
      </x:c>
      <x:c r="N105" s="109" t="n">
        <x:f>0.5*J105+0.3*I105+0.2*H105</x:f>
        <x:v>8.017058823529412</x:v>
      </x:c>
      <x:c r="O105" s="175" t="n">
        <x:v>17</x:v>
      </x:c>
      <x:c r="P105" s="175" t="n">
        <x:v>12</x:v>
      </x:c>
      <x:c r="Q105" s="175" t="n">
        <x:v>0</x:v>
      </x:c>
      <x:c r="R105" s="175" t="n">
        <x:v>124</x:v>
      </x:c>
      <x:c r="S105" s="175" t="n">
        <x:v>0</x:v>
      </x:c>
      <x:c r="T105" s="175" t="n">
        <x:v>7</x:v>
      </x:c>
      <x:c r="U105" s="175" t="n">
        <x:v>0</x:v>
      </x:c>
      <x:c r="V105" s="175" t="n">
        <x:f>SUM(S105:U105)</x:f>
        <x:v>7</x:v>
      </x:c>
      <x:c r="W105" s="108" t="str">
        <x:v>https://fantasy.espn.com/football/leaders?leagueId=555583&amp;lineupSlot=4&amp;scoringPeriodId=0&amp;statSplit=lastSeason</x:v>
      </x:c>
    </x:row>
    <x:row r="106">
      <x:c r="A106" s="108" t="str">
        <x:v>WR</x:v>
      </x:c>
      <x:c r="B106" s="175" t="n">
        <x:f>1+COUNTIFS($A$4:$A$356,A106,$J$4:$J$356,"&gt;"&amp;J106)</x:f>
        <x:v>11</x:v>
      </x:c>
      <x:c r="C106" s="175" t="n">
        <x:v>41</x:v>
      </x:c>
      <x:c r="D106" s="108" t="str">
        <x:v>Malik Washington</x:v>
      </x:c>
      <x:c r="E106" s="108" t="str">
        <x:v>MIA</x:v>
      </x:c>
      <x:c r="F106" s="108" t="str">
        <x:v>MIA</x:v>
      </x:c>
      <x:c r="G106" s="109" t="n">
        <x:v>135.65</x:v>
      </x:c>
      <x:c r="H106" s="109" t="n">
        <x:f>'Weekly Points'!W106</x:f>
        <x:v>7.979411764705882</x:v>
      </x:c>
      <x:c r="I106" s="109" t="n">
        <x:f>'Weekly Points'!X106</x:f>
        <x:v>7.24</x:v>
      </x:c>
      <x:c r="J106" s="109" t="n">
        <x:f>'Weekly Points'!Y106</x:f>
        <x:v>5.98</x:v>
      </x:c>
      <x:c r="K106" s="109" t="n">
        <x:f>'Weekly Points'!Z106</x:f>
        <x:v>3.4366184997469196</x:v>
      </x:c>
      <x:c r="L106" s="173" t="n">
        <x:f>'Weekly Points'!AA106</x:f>
        <x:v>0.43068569477108465</x:v>
      </x:c>
      <x:c r="M106" s="173" t="n">
        <x:f>'Weekly Points'!AB106</x:f>
        <x:v>0.11764705882352941</x:v>
      </x:c>
      <x:c r="N106" s="109" t="n">
        <x:f>0.5*J106+0.3*I106+0.2*H106</x:f>
        <x:v>6.757882352941177</x:v>
      </x:c>
      <x:c r="O106" s="175" t="n">
        <x:v>17</x:v>
      </x:c>
      <x:c r="P106" s="175" t="n">
        <x:v>12</x:v>
      </x:c>
      <x:c r="Q106" s="175" t="n">
        <x:v>17</x:v>
      </x:c>
      <x:c r="R106" s="175" t="n">
        <x:v>65</x:v>
      </x:c>
      <x:c r="S106" s="175" t="n">
        <x:v>1</x:v>
      </x:c>
      <x:c r="T106" s="175" t="n">
        <x:v>3</x:v>
      </x:c>
      <x:c r="U106" s="175" t="n">
        <x:v>0</x:v>
      </x:c>
      <x:c r="V106" s="175" t="n">
        <x:f>SUM(S106:U106)</x:f>
        <x:v>4</x:v>
      </x:c>
      <x:c r="W106" s="108" t="str">
        <x:v>https://fantasy.espn.com/football/leaders?leagueId=555583&amp;lineupSlot=4&amp;scoringPeriodId=0&amp;statSplit=lastSeason</x:v>
      </x:c>
    </x:row>
    <x:row r="107">
      <x:c r="A107" s="108" t="str">
        <x:v>WR</x:v>
      </x:c>
      <x:c r="B107" s="175" t="n">
        <x:f>1+COUNTIFS($A$4:$A$356,A107,$J$4:$J$356,"&gt;"&amp;J107)</x:f>
        <x:v>12</x:v>
      </x:c>
      <x:c r="C107" s="175" t="n">
        <x:v>8</x:v>
      </x:c>
      <x:c r="D107" s="108" t="str">
        <x:v>Davante Adams</x:v>
      </x:c>
      <x:c r="E107" s="108" t="str">
        <x:v>LAR</x:v>
      </x:c>
      <x:c r="F107" s="108" t="str">
        <x:v>LAR</x:v>
      </x:c>
      <x:c r="G107" s="109" t="n">
        <x:v>194.9</x:v>
      </x:c>
      <x:c r="H107" s="109" t="n">
        <x:f>'Weekly Points'!W107</x:f>
        <x:v>11.464705882352941</x:v>
      </x:c>
      <x:c r="I107" s="109" t="n">
        <x:f>'Weekly Points'!X107</x:f>
        <x:v>11.3</x:v>
      </x:c>
      <x:c r="J107" s="109" t="n">
        <x:f>'Weekly Points'!Y107</x:f>
        <x:v>5.9</x:v>
      </x:c>
      <x:c r="K107" s="109" t="n">
        <x:f>'Weekly Points'!Z107</x:f>
        <x:v>7.7521109972377715</x:v>
      </x:c>
      <x:c r="L107" s="173" t="n">
        <x:f>'Weekly Points'!AA107</x:f>
        <x:v>0.6761718160751263</x:v>
      </x:c>
      <x:c r="M107" s="173" t="n">
        <x:f>'Weekly Points'!AB107</x:f>
        <x:v>0.23529411764705882</x:v>
      </x:c>
      <x:c r="N107" s="109" t="n">
        <x:f>0.5*J107+0.3*I107+0.2*H107</x:f>
        <x:v>8.632941176470588</x:v>
      </x:c>
      <x:c r="O107" s="175" t="n">
        <x:v>14</x:v>
      </x:c>
      <x:c r="P107" s="175" t="n">
        <x:v>8</x:v>
      </x:c>
      <x:c r="Q107" s="175" t="n">
        <x:v>0</x:v>
      </x:c>
      <x:c r="R107" s="175" t="n">
        <x:v>114</x:v>
      </x:c>
      <x:c r="S107" s="175" t="n">
        <x:v>0</x:v>
      </x:c>
      <x:c r="T107" s="175" t="n">
        <x:v>14</x:v>
      </x:c>
      <x:c r="U107" s="175" t="n">
        <x:v>0</x:v>
      </x:c>
      <x:c r="V107" s="175" t="n">
        <x:f>SUM(S107:U107)</x:f>
        <x:v>14</x:v>
      </x:c>
      <x:c r="W107" s="108" t="str">
        <x:v>https://fantasy.espn.com/football/leaders?leagueId=555583&amp;lineupSlot=4&amp;scoringPeriodId=0&amp;statSplit=lastSeason</x:v>
      </x:c>
    </x:row>
    <x:row r="108">
      <x:c r="A108" s="108" t="str">
        <x:v>WR</x:v>
      </x:c>
      <x:c r="B108" s="175" t="n">
        <x:f>1+COUNTIFS($A$4:$A$356,A108,$J$4:$J$356,"&gt;"&amp;J108)</x:f>
        <x:v>13</x:v>
      </x:c>
      <x:c r="C108" s="175" t="n">
        <x:v>29</x:v>
      </x:c>
      <x:c r="D108" s="108" t="str">
        <x:v>Justin Jefferson</x:v>
      </x:c>
      <x:c r="E108" s="108" t="str">
        <x:v>MIN</x:v>
      </x:c>
      <x:c r="F108" s="108" t="str">
        <x:v>MIN</x:v>
      </x:c>
      <x:c r="G108" s="109" t="n">
        <x:v>159.5</x:v>
      </x:c>
      <x:c r="H108" s="109" t="n">
        <x:f>'Weekly Points'!W108</x:f>
        <x:v>9.382352941176471</x:v>
      </x:c>
      <x:c r="I108" s="109" t="n">
        <x:f>'Weekly Points'!X108</x:f>
        <x:v>10</x:v>
      </x:c>
      <x:c r="J108" s="109" t="n">
        <x:f>'Weekly Points'!Y108</x:f>
        <x:v>5.7</x:v>
      </x:c>
      <x:c r="K108" s="109" t="n">
        <x:f>'Weekly Points'!Z108</x:f>
        <x:v>4.64938140023426</x:v>
      </x:c>
      <x:c r="L108" s="173" t="n">
        <x:f>'Weekly Points'!AA108</x:f>
        <x:v>0.49554535300302455</x:v>
      </x:c>
      <x:c r="M108" s="173" t="n">
        <x:f>'Weekly Points'!AB108</x:f>
        <x:v>0.17647058823529413</x:v>
      </x:c>
      <x:c r="N108" s="109" t="n">
        <x:f>0.5*J108+0.3*I108+0.2*H108</x:f>
        <x:v>7.726470588235294</x:v>
      </x:c>
      <x:c r="O108" s="175" t="n">
        <x:v>17</x:v>
      </x:c>
      <x:c r="P108" s="175" t="n">
        <x:v>6</x:v>
      </x:c>
      <x:c r="Q108" s="175" t="n">
        <x:v>2</x:v>
      </x:c>
      <x:c r="R108" s="175" t="n">
        <x:v>141</x:v>
      </x:c>
      <x:c r="S108" s="175" t="n">
        <x:v>0</x:v>
      </x:c>
      <x:c r="T108" s="175" t="n">
        <x:v>2</x:v>
      </x:c>
      <x:c r="U108" s="175" t="n">
        <x:v>0</x:v>
      </x:c>
      <x:c r="V108" s="175" t="n">
        <x:f>SUM(S108:U108)</x:f>
        <x:v>2</x:v>
      </x:c>
      <x:c r="W108" s="108" t="str">
        <x:v>https://fantasy.espn.com/football/leaders?leagueId=555583&amp;lineupSlot=4&amp;scoringPeriodId=0&amp;statSplit=lastSeason</x:v>
      </x:c>
    </x:row>
    <x:row r="109">
      <x:c r="A109" s="108" t="str">
        <x:v>WR</x:v>
      </x:c>
      <x:c r="B109" s="175" t="n">
        <x:f>1+COUNTIFS($A$4:$A$356,A109,$J$4:$J$356,"&gt;"&amp;J109)</x:f>
        <x:v>13</x:v>
      </x:c>
      <x:c r="C109" s="175" t="n">
        <x:v>24</x:v>
      </x:c>
      <x:c r="D109" s="108" t="str">
        <x:v>DeVonta Smith</x:v>
      </x:c>
      <x:c r="E109" s="108" t="str">
        <x:v>PHI</x:v>
      </x:c>
      <x:c r="F109" s="108" t="str">
        <x:v>PHI</x:v>
      </x:c>
      <x:c r="G109" s="109" t="n">
        <x:v>165.3</x:v>
      </x:c>
      <x:c r="H109" s="109" t="n">
        <x:f>'Weekly Points'!W109</x:f>
        <x:v>9.723529411764705</x:v>
      </x:c>
      <x:c r="I109" s="109" t="n">
        <x:f>'Weekly Points'!X109</x:f>
        <x:v>7.3</x:v>
      </x:c>
      <x:c r="J109" s="109" t="n">
        <x:f>'Weekly Points'!Y109</x:f>
        <x:v>5.7</x:v>
      </x:c>
      <x:c r="K109" s="109" t="n">
        <x:f>'Weekly Points'!Z109</x:f>
        <x:v>6.896932771957377</x:v>
      </x:c>
      <x:c r="L109" s="173" t="n">
        <x:f>'Weekly Points'!AA109</x:f>
        <x:v>0.7093034308728096</x:v>
      </x:c>
      <x:c r="M109" s="173" t="n">
        <x:f>'Weekly Points'!AB109</x:f>
        <x:v>0.23529411764705882</x:v>
      </x:c>
      <x:c r="N109" s="109" t="n">
        <x:f>0.5*J109+0.3*I109+0.2*H109</x:f>
        <x:v>6.984705882352941</x:v>
      </x:c>
      <x:c r="O109" s="175" t="n">
        <x:v>17</x:v>
      </x:c>
      <x:c r="P109" s="175" t="n">
        <x:v>9</x:v>
      </x:c>
      <x:c r="Q109" s="175" t="n">
        <x:v>0</x:v>
      </x:c>
      <x:c r="R109" s="175" t="n">
        <x:v>113</x:v>
      </x:c>
      <x:c r="S109" s="175" t="n">
        <x:v>0</x:v>
      </x:c>
      <x:c r="T109" s="175" t="n">
        <x:v>4</x:v>
      </x:c>
      <x:c r="U109" s="175" t="n">
        <x:v>0</x:v>
      </x:c>
      <x:c r="V109" s="175" t="n">
        <x:f>SUM(S109:U109)</x:f>
        <x:v>4</x:v>
      </x:c>
      <x:c r="W109" s="108" t="str">
        <x:v>https://fantasy.espn.com/football/leaders?leagueId=555583&amp;lineupSlot=4&amp;scoringPeriodId=0&amp;statSplit=lastSeason</x:v>
      </x:c>
    </x:row>
    <x:row r="110">
      <x:c r="A110" s="108" t="str">
        <x:v>WR</x:v>
      </x:c>
      <x:c r="B110" s="175" t="n">
        <x:f>1+COUNTIFS($A$4:$A$356,A110,$J$4:$J$356,"&gt;"&amp;J110)</x:f>
        <x:v>15</x:v>
      </x:c>
      <x:c r="C110" s="175" t="n">
        <x:v>17</x:v>
      </x:c>
      <x:c r="D110" s="108" t="str">
        <x:v>Wan'Dale Robinson</x:v>
      </x:c>
      <x:c r="E110" s="108" t="str">
        <x:v>NYG</x:v>
      </x:c>
      <x:c r="F110" s="108" t="str">
        <x:v>NYG</x:v>
      </x:c>
      <x:c r="G110" s="109" t="n">
        <x:v>172.63</x:v>
      </x:c>
      <x:c r="H110" s="109" t="n">
        <x:f>'Weekly Points'!W110</x:f>
        <x:v>10.15470588235294</x:v>
      </x:c>
      <x:c r="I110" s="109" t="n">
        <x:f>'Weekly Points'!X110</x:f>
        <x:v>9.1</x:v>
      </x:c>
      <x:c r="J110" s="109" t="n">
        <x:f>'Weekly Points'!Y110</x:f>
        <x:v>5.6</x:v>
      </x:c>
      <x:c r="K110" s="109" t="n">
        <x:f>'Weekly Points'!Z110</x:f>
        <x:v>7.143223953013553</x:v>
      </x:c>
      <x:c r="L110" s="173" t="n">
        <x:f>'Weekly Points'!AA110</x:f>
        <x:v>0.7034397682976911</x:v>
      </x:c>
      <x:c r="M110" s="173" t="n">
        <x:f>'Weekly Points'!AB110</x:f>
        <x:v>0.23529411764705882</x:v>
      </x:c>
      <x:c r="N110" s="109" t="n">
        <x:f>0.5*J110+0.3*I110+0.2*H110</x:f>
        <x:v>7.560941176470587</x:v>
      </x:c>
      <x:c r="O110" s="175" t="n">
        <x:v>16</x:v>
      </x:c>
      <x:c r="P110" s="175" t="n">
        <x:v>14</x:v>
      </x:c>
      <x:c r="Q110" s="175" t="n">
        <x:v>3</x:v>
      </x:c>
      <x:c r="R110" s="175" t="n">
        <x:v>140</x:v>
      </x:c>
      <x:c r="S110" s="175" t="n">
        <x:v>0</x:v>
      </x:c>
      <x:c r="T110" s="175" t="n">
        <x:v>4</x:v>
      </x:c>
      <x:c r="U110" s="175" t="n">
        <x:v>0</x:v>
      </x:c>
      <x:c r="V110" s="175" t="n">
        <x:f>SUM(S110:U110)</x:f>
        <x:v>4</x:v>
      </x:c>
      <x:c r="W110" s="108" t="str">
        <x:v>https://fantasy.espn.com/football/leaders?leagueId=555583&amp;lineupSlot=4&amp;scoringPeriodId=0&amp;statSplit=lastSeason</x:v>
      </x:c>
    </x:row>
    <x:row r="111">
      <x:c r="A111" s="108" t="str">
        <x:v>WR</x:v>
      </x:c>
      <x:c r="B111" s="175" t="n">
        <x:f>1+COUNTIFS($A$4:$A$356,A111,$J$4:$J$356,"&gt;"&amp;J111)</x:f>
        <x:v>16</x:v>
      </x:c>
      <x:c r="C111" s="175" t="n">
        <x:v>18</x:v>
      </x:c>
      <x:c r="D111" s="108" t="str">
        <x:v>Chimere Dike</x:v>
      </x:c>
      <x:c r="E111" s="108" t="str">
        <x:v>TEN</x:v>
      </x:c>
      <x:c r="F111" s="108" t="str">
        <x:v>TEN</x:v>
      </x:c>
      <x:c r="G111" s="109" t="n">
        <x:v>169.14</x:v>
      </x:c>
      <x:c r="H111" s="109" t="n">
        <x:f>'Weekly Points'!W111</x:f>
        <x:v>9.949411764705882</x:v>
      </x:c>
      <x:c r="I111" s="109" t="n">
        <x:f>'Weekly Points'!X111</x:f>
        <x:v>6.86</x:v>
      </x:c>
      <x:c r="J111" s="109" t="n">
        <x:f>'Weekly Points'!Y111</x:f>
        <x:v>5.48</x:v>
      </x:c>
      <x:c r="K111" s="109" t="n">
        <x:f>'Weekly Points'!Z111</x:f>
        <x:v>6.517338387254358</x:v>
      </x:c>
      <x:c r="L111" s="173" t="n">
        <x:f>'Weekly Points'!AA111</x:f>
        <x:v>0.6550476089826421</x:v>
      </x:c>
      <x:c r="M111" s="173" t="n">
        <x:f>'Weekly Points'!AB111</x:f>
        <x:v>0.17647058823529413</x:v>
      </x:c>
      <x:c r="N111" s="109" t="n">
        <x:f>0.5*J111+0.3*I111+0.2*H111</x:f>
        <x:v>6.7878823529411765</x:v>
      </x:c>
      <x:c r="O111" s="175" t="n">
        <x:v>17</x:v>
      </x:c>
      <x:c r="P111" s="175" t="n">
        <x:v>10</x:v>
      </x:c>
      <x:c r="Q111" s="175" t="n">
        <x:v>11</x:v>
      </x:c>
      <x:c r="R111" s="175" t="n">
        <x:v>74</x:v>
      </x:c>
      <x:c r="S111" s="175" t="n">
        <x:v>0</x:v>
      </x:c>
      <x:c r="T111" s="175" t="n">
        <x:v>4</x:v>
      </x:c>
      <x:c r="U111" s="175" t="n">
        <x:v>0</x:v>
      </x:c>
      <x:c r="V111" s="175" t="n">
        <x:f>SUM(S111:U111)</x:f>
        <x:v>4</x:v>
      </x:c>
      <x:c r="W111" s="108" t="str">
        <x:v>https://fantasy.espn.com/football/leaders?leagueId=555583&amp;lineupSlot=4&amp;scoringPeriodId=0&amp;statSplit=lastSeason</x:v>
      </x:c>
    </x:row>
    <x:row r="112">
      <x:c r="A112" s="108" t="str">
        <x:v>WR</x:v>
      </x:c>
      <x:c r="B112" s="175" t="n">
        <x:f>1+COUNTIFS($A$4:$A$356,A112,$J$4:$J$356,"&gt;"&amp;J112)</x:f>
        <x:v>17</x:v>
      </x:c>
      <x:c r="C112" s="175" t="n">
        <x:v>40</x:v>
      </x:c>
      <x:c r="D112" s="108" t="str">
        <x:v>Jakobi Meyers</x:v>
      </x:c>
      <x:c r="E112" s="108" t="str">
        <x:v>JAX/LV</x:v>
      </x:c>
      <x:c r="F112" s="108" t="str">
        <x:v>JAX</x:v>
      </x:c>
      <x:c r="G112" s="109" t="n">
        <x:v>138.3</x:v>
      </x:c>
      <x:c r="H112" s="109" t="n">
        <x:f>'Weekly Points'!W112</x:f>
        <x:v>8.135294117647058</x:v>
      </x:c>
      <x:c r="I112" s="109" t="n">
        <x:f>'Weekly Points'!X112</x:f>
        <x:v>6.9</x:v>
      </x:c>
      <x:c r="J112" s="109" t="n">
        <x:f>'Weekly Points'!Y112</x:f>
        <x:v>5.2</x:v>
      </x:c>
      <x:c r="K112" s="109" t="n">
        <x:f>'Weekly Points'!Z112</x:f>
        <x:v>4.273301682123085</x:v>
      </x:c>
      <x:c r="L112" s="173" t="n">
        <x:f>'Weekly Points'!AA112</x:f>
        <x:v>0.5252793101669736</x:v>
      </x:c>
      <x:c r="M112" s="173" t="n">
        <x:f>'Weekly Points'!AB112</x:f>
        <x:v>0.058823529411764705</x:v>
      </x:c>
      <x:c r="N112" s="109" t="n">
        <x:f>0.5*J112+0.3*I112+0.2*H112</x:f>
        <x:v>6.297058823529412</x:v>
      </x:c>
      <x:c r="O112" s="175" t="n">
        <x:v>16</x:v>
      </x:c>
      <x:c r="P112" s="175" t="n">
        <x:v>8</x:v>
      </x:c>
      <x:c r="Q112" s="175" t="n">
        <x:v>5</x:v>
      </x:c>
      <x:c r="R112" s="175" t="n">
        <x:v>110</x:v>
      </x:c>
      <x:c r="S112" s="175" t="n">
        <x:v>0</x:v>
      </x:c>
      <x:c r="T112" s="175" t="n">
        <x:v>3</x:v>
      </x:c>
      <x:c r="U112" s="175" t="n">
        <x:v>0</x:v>
      </x:c>
      <x:c r="V112" s="175" t="n">
        <x:f>SUM(S112:U112)</x:f>
        <x:v>3</x:v>
      </x:c>
      <x:c r="W112" s="108" t="str">
        <x:v>https://fantasy.espn.com/football/leaders?leagueId=555583&amp;lineupSlot=4&amp;scoringPeriodId=0&amp;statSplit=lastSeason</x:v>
      </x:c>
    </x:row>
    <x:row r="113">
      <x:c r="A113" s="108" t="str">
        <x:v>WR</x:v>
      </x:c>
      <x:c r="B113" s="175" t="n">
        <x:f>1+COUNTIFS($A$4:$A$356,A113,$J$4:$J$356,"&gt;"&amp;J113)</x:f>
        <x:v>18</x:v>
      </x:c>
      <x:c r="C113" s="175" t="n">
        <x:v>32</x:v>
      </x:c>
      <x:c r="D113" s="108" t="str">
        <x:v>Jauan Jennings</x:v>
      </x:c>
      <x:c r="E113" s="108" t="str">
        <x:v>SF</x:v>
      </x:c>
      <x:c r="F113" s="108" t="str">
        <x:v>SF</x:v>
      </x:c>
      <x:c r="G113" s="109" t="n">
        <x:v>147.8</x:v>
      </x:c>
      <x:c r="H113" s="109" t="n">
        <x:f>'Weekly Points'!W113</x:f>
        <x:v>8.694117647058823</x:v>
      </x:c>
      <x:c r="I113" s="109" t="n">
        <x:f>'Weekly Points'!X113</x:f>
        <x:v>7.4</x:v>
      </x:c>
      <x:c r="J113" s="109" t="n">
        <x:f>'Weekly Points'!Y113</x:f>
        <x:v>5.1</x:v>
      </x:c>
      <x:c r="K113" s="109" t="n">
        <x:f>'Weekly Points'!Z113</x:f>
        <x:v>5.902289743942878</x:v>
      </x:c>
      <x:c r="L113" s="173" t="n">
        <x:f>'Weekly Points'!AA113</x:f>
        <x:v>0.6788831234575705</x:v>
      </x:c>
      <x:c r="M113" s="173" t="n">
        <x:f>'Weekly Points'!AB113</x:f>
        <x:v>0.23529411764705882</x:v>
      </x:c>
      <x:c r="N113" s="109" t="n">
        <x:f>0.5*J113+0.3*I113+0.2*H113</x:f>
        <x:v>6.508823529411764</x:v>
      </x:c>
      <x:c r="O113" s="175" t="n">
        <x:v>15</x:v>
      </x:c>
      <x:c r="P113" s="175" t="n">
        <x:v>14</x:v>
      </x:c>
      <x:c r="Q113" s="175" t="n">
        <x:v>0</x:v>
      </x:c>
      <x:c r="R113" s="175" t="n">
        <x:v>90</x:v>
      </x:c>
      <x:c r="S113" s="175" t="n">
        <x:v>0</x:v>
      </x:c>
      <x:c r="T113" s="175" t="n">
        <x:v>9</x:v>
      </x:c>
      <x:c r="U113" s="175" t="n">
        <x:v>0</x:v>
      </x:c>
      <x:c r="V113" s="175" t="n">
        <x:f>SUM(S113:U113)</x:f>
        <x:v>9</x:v>
      </x:c>
      <x:c r="W113" s="108" t="str">
        <x:v>https://fantasy.espn.com/football/leaders?leagueId=555583&amp;lineupSlot=4&amp;scoringPeriodId=0&amp;statSplit=lastSeason</x:v>
      </x:c>
    </x:row>
    <x:row r="114">
      <x:c r="A114" s="108" t="str">
        <x:v>WR</x:v>
      </x:c>
      <x:c r="B114" s="175" t="n">
        <x:f>1+COUNTIFS($A$4:$A$356,A114,$J$4:$J$356,"&gt;"&amp;J114)</x:f>
        <x:v>18</x:v>
      </x:c>
      <x:c r="C114" s="175" t="n">
        <x:v>13</x:v>
      </x:c>
      <x:c r="D114" s="108" t="str">
        <x:v>Michael Wilson</x:v>
      </x:c>
      <x:c r="E114" s="108" t="str">
        <x:v>ARI</x:v>
      </x:c>
      <x:c r="F114" s="108" t="str">
        <x:v>ARI</x:v>
      </x:c>
      <x:c r="G114" s="109" t="n">
        <x:v>183.6</x:v>
      </x:c>
      <x:c r="H114" s="109" t="n">
        <x:f>'Weekly Points'!W114</x:f>
        <x:v>10.799999999999999</x:v>
      </x:c>
      <x:c r="I114" s="109" t="n">
        <x:f>'Weekly Points'!X114</x:f>
        <x:v>7.6</x:v>
      </x:c>
      <x:c r="J114" s="109" t="n">
        <x:f>'Weekly Points'!Y114</x:f>
        <x:v>5.1</x:v>
      </x:c>
      <x:c r="K114" s="109" t="n">
        <x:f>'Weekly Points'!Z114</x:f>
        <x:v>8.747705581532593</x:v>
      </x:c>
      <x:c r="L114" s="173" t="n">
        <x:f>'Weekly Points'!AA114</x:f>
        <x:v>0.8099727390307957</x:v>
      </x:c>
      <x:c r="M114" s="173" t="n">
        <x:f>'Weekly Points'!AB114</x:f>
        <x:v>0.29411764705882354</x:v>
      </x:c>
      <x:c r="N114" s="109" t="n">
        <x:f>0.5*J114+0.3*I114+0.2*H114</x:f>
        <x:v>6.99</x:v>
      </x:c>
      <x:c r="O114" s="175" t="n">
        <x:v>17</x:v>
      </x:c>
      <x:c r="P114" s="175" t="n">
        <x:v>8</x:v>
      </x:c>
      <x:c r="Q114" s="175" t="n">
        <x:v>0</x:v>
      </x:c>
      <x:c r="R114" s="175" t="n">
        <x:v>126</x:v>
      </x:c>
      <x:c r="S114" s="175" t="n">
        <x:v>0</x:v>
      </x:c>
      <x:c r="T114" s="175" t="n">
        <x:v>7</x:v>
      </x:c>
      <x:c r="U114" s="175" t="n">
        <x:v>0</x:v>
      </x:c>
      <x:c r="V114" s="175" t="n">
        <x:f>SUM(S114:U114)</x:f>
        <x:v>7</x:v>
      </x:c>
      <x:c r="W114" s="108" t="str">
        <x:v>https://fantasy.espn.com/football/leaders?leagueId=555583&amp;lineupSlot=4&amp;scoringPeriodId=0&amp;statSplit=lastSeason</x:v>
      </x:c>
    </x:row>
    <x:row r="115">
      <x:c r="A115" s="108" t="str">
        <x:v>WR</x:v>
      </x:c>
      <x:c r="B115" s="175" t="n">
        <x:f>1+COUNTIFS($A$4:$A$356,A115,$J$4:$J$356,"&gt;"&amp;J115)</x:f>
        <x:v>20</x:v>
      </x:c>
      <x:c r="C115" s="175" t="n">
        <x:v>25</x:v>
      </x:c>
      <x:c r="D115" s="108" t="str">
        <x:v>Deebo Samuel</x:v>
      </x:c>
      <x:c r="E115" s="108" t="str">
        <x:v>WSH</x:v>
      </x:c>
      <x:c r="F115" s="108" t="str">
        <x:v>WSH</x:v>
      </x:c>
      <x:c r="G115" s="109" t="n">
        <x:v>164.26</x:v>
      </x:c>
      <x:c r="H115" s="109" t="n">
        <x:f>'Weekly Points'!W115</x:f>
        <x:v>9.662352941176474</x:v>
      </x:c>
      <x:c r="I115" s="109" t="n">
        <x:f>'Weekly Points'!X115</x:f>
        <x:v>7.8</x:v>
      </x:c>
      <x:c r="J115" s="109" t="n">
        <x:f>'Weekly Points'!Y115</x:f>
        <x:v>5</x:v>
      </x:c>
      <x:c r="K115" s="109" t="n">
        <x:f>'Weekly Points'!Z115</x:f>
        <x:v>6.2186252778263436</x:v>
      </x:c>
      <x:c r="L115" s="173" t="n">
        <x:f>'Weekly Points'!AA115</x:f>
        <x:v>0.6435932650861306</x:v>
      </x:c>
      <x:c r="M115" s="173" t="n">
        <x:f>'Weekly Points'!AB115</x:f>
        <x:v>0.23529411764705882</x:v>
      </x:c>
      <x:c r="N115" s="109" t="n">
        <x:f>0.5*J115+0.3*I115+0.2*H115</x:f>
        <x:v>6.7724705882352945</x:v>
      </x:c>
      <x:c r="O115" s="175" t="n">
        <x:v>16</x:v>
      </x:c>
      <x:c r="P115" s="175" t="n">
        <x:v>12</x:v>
      </x:c>
      <x:c r="Q115" s="175" t="n">
        <x:v>17</x:v>
      </x:c>
      <x:c r="R115" s="175" t="n">
        <x:v>99</x:v>
      </x:c>
      <x:c r="S115" s="175" t="n">
        <x:v>1</x:v>
      </x:c>
      <x:c r="T115" s="175" t="n">
        <x:v>5</x:v>
      </x:c>
      <x:c r="U115" s="175" t="n">
        <x:v>0</x:v>
      </x:c>
      <x:c r="V115" s="175" t="n">
        <x:f>SUM(S115:U115)</x:f>
        <x:v>6</x:v>
      </x:c>
      <x:c r="W115" s="108" t="str">
        <x:v>https://fantasy.espn.com/football/leaders?leagueId=555583&amp;lineupSlot=4&amp;scoringPeriodId=0&amp;statSplit=lastSeason</x:v>
      </x:c>
    </x:row>
    <x:row r="116">
      <x:c r="A116" s="108" t="str">
        <x:v>WR</x:v>
      </x:c>
      <x:c r="B116" s="175" t="n">
        <x:f>1+COUNTIFS($A$4:$A$356,A116,$J$4:$J$356,"&gt;"&amp;J116)</x:f>
        <x:v>20</x:v>
      </x:c>
      <x:c r="C116" s="175" t="n">
        <x:v>46</x:v>
      </x:c>
      <x:c r="D116" s="108" t="str">
        <x:v>Marvin Mims Jr.</x:v>
      </x:c>
      <x:c r="E116" s="108" t="str">
        <x:v>DEN</x:v>
      </x:c>
      <x:c r="F116" s="108" t="str">
        <x:v>DEN</x:v>
      </x:c>
      <x:c r="G116" s="109" t="n">
        <x:v>116.34</x:v>
      </x:c>
      <x:c r="H116" s="109" t="n">
        <x:f>'Weekly Points'!W116</x:f>
        <x:v>6.843529411764705</x:v>
      </x:c>
      <x:c r="I116" s="109" t="n">
        <x:f>'Weekly Points'!X116</x:f>
        <x:v>5.89</x:v>
      </x:c>
      <x:c r="J116" s="109" t="n">
        <x:f>'Weekly Points'!Y116</x:f>
        <x:v>5</x:v>
      </x:c>
      <x:c r="K116" s="109" t="n">
        <x:f>'Weekly Points'!Z116</x:f>
        <x:v>4.586895581181716</x:v>
      </x:c>
      <x:c r="L116" s="173" t="n">
        <x:f>'Weekly Points'!AA116</x:f>
        <x:v>0.6702529214379335</x:v>
      </x:c>
      <x:c r="M116" s="173" t="n">
        <x:f>'Weekly Points'!AB116</x:f>
        <x:v>0.17647058823529413</x:v>
      </x:c>
      <x:c r="N116" s="109" t="n">
        <x:f>0.5*J116+0.3*I116+0.2*H116</x:f>
        <x:v>5.635705882352941</x:v>
      </x:c>
      <x:c r="O116" s="175" t="n">
        <x:v>15</x:v>
      </x:c>
      <x:c r="P116" s="175" t="n">
        <x:v>12</x:v>
      </x:c>
      <x:c r="Q116" s="175" t="n">
        <x:v>12</x:v>
      </x:c>
      <x:c r="R116" s="175" t="n">
        <x:v>51</x:v>
      </x:c>
      <x:c r="S116" s="175" t="n">
        <x:v>1</x:v>
      </x:c>
      <x:c r="T116" s="175" t="n">
        <x:v>1</x:v>
      </x:c>
      <x:c r="U116" s="175" t="n">
        <x:v>0</x:v>
      </x:c>
      <x:c r="V116" s="175" t="n">
        <x:f>SUM(S116:U116)</x:f>
        <x:v>2</x:v>
      </x:c>
      <x:c r="W116" s="108" t="str">
        <x:v>https://fantasy.espn.com/football/leaders?leagueId=555583&amp;lineupSlot=4&amp;scoringPeriodId=0&amp;statSplit=lastSeason</x:v>
      </x:c>
    </x:row>
    <x:row r="117">
      <x:c r="A117" s="108" t="str">
        <x:v>WR</x:v>
      </x:c>
      <x:c r="B117" s="175" t="n">
        <x:f>1+COUNTIFS($A$4:$A$356,A117,$J$4:$J$356,"&gt;"&amp;J117)</x:f>
        <x:v>20</x:v>
      </x:c>
      <x:c r="C117" s="175" t="n">
        <x:v>28</x:v>
      </x:c>
      <x:c r="D117" s="108" t="str">
        <x:v>DK Metcalf</x:v>
      </x:c>
      <x:c r="E117" s="108" t="str">
        <x:v>PIT</x:v>
      </x:c>
      <x:c r="F117" s="108" t="str">
        <x:v>PIT</x:v>
      </x:c>
      <x:c r="G117" s="109" t="n">
        <x:v>159.7</x:v>
      </x:c>
      <x:c r="H117" s="109" t="n">
        <x:f>'Weekly Points'!W117</x:f>
        <x:v>9.394117647058822</x:v>
      </x:c>
      <x:c r="I117" s="109" t="n">
        <x:f>'Weekly Points'!X117</x:f>
        <x:v>9.5</x:v>
      </x:c>
      <x:c r="J117" s="109" t="n">
        <x:f>'Weekly Points'!Y117</x:f>
        <x:v>5</x:v>
      </x:c>
      <x:c r="K117" s="109" t="n">
        <x:f>'Weekly Points'!Z117</x:f>
        <x:v>6.310818963190053</x:v>
      </x:c>
      <x:c r="L117" s="173" t="n">
        <x:f>'Weekly Points'!AA117</x:f>
        <x:v>0.6717841100452782</x:v>
      </x:c>
      <x:c r="M117" s="173" t="n">
        <x:f>'Weekly Points'!AB117</x:f>
        <x:v>0.17647058823529413</x:v>
      </x:c>
      <x:c r="N117" s="109" t="n">
        <x:f>0.5*J117+0.3*I117+0.2*H117</x:f>
        <x:v>7.228823529411764</x:v>
      </x:c>
      <x:c r="O117" s="175" t="n">
        <x:v>15</x:v>
      </x:c>
      <x:c r="P117" s="175" t="n">
        <x:v>5</x:v>
      </x:c>
      <x:c r="Q117" s="175" t="n">
        <x:v>2</x:v>
      </x:c>
      <x:c r="R117" s="175" t="n">
        <x:v>99</x:v>
      </x:c>
      <x:c r="S117" s="175" t="n">
        <x:v>1</x:v>
      </x:c>
      <x:c r="T117" s="175" t="n">
        <x:v>6</x:v>
      </x:c>
      <x:c r="U117" s="175" t="n">
        <x:v>0</x:v>
      </x:c>
      <x:c r="V117" s="175" t="n">
        <x:f>SUM(S117:U117)</x:f>
        <x:v>7</x:v>
      </x:c>
      <x:c r="W117" s="108" t="str">
        <x:v>https://fantasy.espn.com/football/leaders?leagueId=555583&amp;lineupSlot=4&amp;scoringPeriodId=0&amp;statSplit=lastSeason</x:v>
      </x:c>
    </x:row>
    <x:row r="118">
      <x:c r="A118" s="108" t="str">
        <x:v>WR</x:v>
      </x:c>
      <x:c r="B118" s="175" t="n">
        <x:f>1+COUNTIFS($A$4:$A$356,A118,$J$4:$J$356,"&gt;"&amp;J118)</x:f>
        <x:v>20</x:v>
      </x:c>
      <x:c r="C118" s="175" t="n">
        <x:v>22</x:v>
      </x:c>
      <x:c r="D118" s="108" t="str">
        <x:v>Jaylen Waddle</x:v>
      </x:c>
      <x:c r="E118" s="108" t="str">
        <x:v>MIA</x:v>
      </x:c>
      <x:c r="F118" s="108" t="str">
        <x:v>MIA</x:v>
      </x:c>
      <x:c r="G118" s="109" t="n">
        <x:v>165.7</x:v>
      </x:c>
      <x:c r="H118" s="109" t="n">
        <x:f>'Weekly Points'!W118</x:f>
        <x:v>9.747058823529409</x:v>
      </x:c>
      <x:c r="I118" s="109" t="n">
        <x:f>'Weekly Points'!X118</x:f>
        <x:v>9.2</x:v>
      </x:c>
      <x:c r="J118" s="109" t="n">
        <x:f>'Weekly Points'!Y118</x:f>
        <x:v>5</x:v>
      </x:c>
      <x:c r="K118" s="109" t="n">
        <x:f>'Weekly Points'!Z118</x:f>
        <x:v>6.5783171142293915</x:v>
      </x:c>
      <x:c r="L118" s="173" t="n">
        <x:f>'Weekly Points'!AA118</x:f>
        <x:v>0.6749027817857555</x:v>
      </x:c>
      <x:c r="M118" s="173" t="n">
        <x:f>'Weekly Points'!AB118</x:f>
        <x:v>0.23529411764705882</x:v>
      </x:c>
      <x:c r="N118" s="109" t="n">
        <x:f>0.5*J118+0.3*I118+0.2*H118</x:f>
        <x:v>7.209411764705882</x:v>
      </x:c>
      <x:c r="O118" s="175" t="n">
        <x:v>16</x:v>
      </x:c>
      <x:c r="P118" s="175" t="n">
        <x:v>12</x:v>
      </x:c>
      <x:c r="Q118" s="175" t="n">
        <x:v>2</x:v>
      </x:c>
      <x:c r="R118" s="175" t="n">
        <x:v>100</x:v>
      </x:c>
      <x:c r="S118" s="175" t="n">
        <x:v>0</x:v>
      </x:c>
      <x:c r="T118" s="175" t="n">
        <x:v>6</x:v>
      </x:c>
      <x:c r="U118" s="175" t="n">
        <x:v>0</x:v>
      </x:c>
      <x:c r="V118" s="175" t="n">
        <x:f>SUM(S118:U118)</x:f>
        <x:v>6</x:v>
      </x:c>
      <x:c r="W118" s="108" t="str">
        <x:v>https://fantasy.espn.com/football/leaders?leagueId=555583&amp;lineupSlot=4&amp;scoringPeriodId=0&amp;statSplit=lastSeason</x:v>
      </x:c>
    </x:row>
    <x:row r="119">
      <x:c r="A119" s="108" t="str">
        <x:v>WR</x:v>
      </x:c>
      <x:c r="B119" s="175" t="n">
        <x:f>1+COUNTIFS($A$4:$A$356,A119,$J$4:$J$356,"&gt;"&amp;J119)</x:f>
        <x:v>20</x:v>
      </x:c>
      <x:c r="C119" s="175" t="n">
        <x:v>37</x:v>
      </x:c>
      <x:c r="D119" s="108" t="str">
        <x:v>Keenan Allen</x:v>
      </x:c>
      <x:c r="E119" s="108" t="str">
        <x:v>LAC</x:v>
      </x:c>
      <x:c r="F119" s="108" t="str">
        <x:v>LAC</x:v>
      </x:c>
      <x:c r="G119" s="109" t="n">
        <x:v>141.2</x:v>
      </x:c>
      <x:c r="H119" s="109" t="n">
        <x:f>'Weekly Points'!W119</x:f>
        <x:v>8.305882352941175</x:v>
      </x:c>
      <x:c r="I119" s="109" t="n">
        <x:f>'Weekly Points'!X119</x:f>
        <x:v>6.4</x:v>
      </x:c>
      <x:c r="J119" s="109" t="n">
        <x:f>'Weekly Points'!Y119</x:f>
        <x:v>5</x:v>
      </x:c>
      <x:c r="K119" s="109" t="n">
        <x:f>'Weekly Points'!Z119</x:f>
        <x:v>5.615992980998975</x:v>
      </x:c>
      <x:c r="L119" s="173" t="n">
        <x:f>'Weekly Points'!AA119</x:f>
        <x:v>0.676146463718007</x:v>
      </x:c>
      <x:c r="M119" s="173" t="n">
        <x:f>'Weekly Points'!AB119</x:f>
        <x:v>0.17647058823529413</x:v>
      </x:c>
      <x:c r="N119" s="109" t="n">
        <x:f>0.5*J119+0.3*I119+0.2*H119</x:f>
        <x:v>6.081176470588235</x:v>
      </x:c>
      <x:c r="O119" s="175" t="n">
        <x:v>17</x:v>
      </x:c>
      <x:c r="P119" s="175" t="n">
        <x:v>12</x:v>
      </x:c>
      <x:c r="Q119" s="175" t="n">
        <x:v>0</x:v>
      </x:c>
      <x:c r="R119" s="175" t="n">
        <x:v>122</x:v>
      </x:c>
      <x:c r="S119" s="175" t="n">
        <x:v>0</x:v>
      </x:c>
      <x:c r="T119" s="175" t="n">
        <x:v>4</x:v>
      </x:c>
      <x:c r="U119" s="175" t="n">
        <x:v>0</x:v>
      </x:c>
      <x:c r="V119" s="175" t="n">
        <x:f>SUM(S119:U119)</x:f>
        <x:v>4</x:v>
      </x:c>
      <x:c r="W119" s="108" t="str">
        <x:v>https://fantasy.espn.com/football/leaders?leagueId=555583&amp;lineupSlot=4&amp;scoringPeriodId=0&amp;statSplit=lastSeason</x:v>
      </x:c>
    </x:row>
    <x:row r="120">
      <x:c r="A120" s="108" t="str">
        <x:v>WR</x:v>
      </x:c>
      <x:c r="B120" s="175" t="n">
        <x:f>1+COUNTIFS($A$4:$A$356,A120,$J$4:$J$356,"&gt;"&amp;J120)</x:f>
        <x:v>25</x:v>
      </x:c>
      <x:c r="C120" s="175" t="n">
        <x:v>42</x:v>
      </x:c>
      <x:c r="D120" s="108" t="str">
        <x:v>KaVontae Turpin</x:v>
      </x:c>
      <x:c r="E120" s="108" t="str">
        <x:v>DAL</x:v>
      </x:c>
      <x:c r="F120" s="108" t="str">
        <x:v>DAL</x:v>
      </x:c>
      <x:c r="G120" s="109" t="n">
        <x:v>130.67</x:v>
      </x:c>
      <x:c r="H120" s="109" t="n">
        <x:f>'Weekly Points'!W120</x:f>
        <x:v>7.686470588235293</x:v>
      </x:c>
      <x:c r="I120" s="109" t="n">
        <x:f>'Weekly Points'!X120</x:f>
        <x:v>7.13</x:v>
      </x:c>
      <x:c r="J120" s="109" t="n">
        <x:f>'Weekly Points'!Y120</x:f>
        <x:v>4.8</x:v>
      </x:c>
      <x:c r="K120" s="109" t="n">
        <x:f>'Weekly Points'!Z120</x:f>
        <x:v>5.06114604689081</x:v>
      </x:c>
      <x:c r="L120" s="173" t="n">
        <x:f>'Weekly Points'!AA120</x:f>
        <x:v>0.6584486324109878</x:v>
      </x:c>
      <x:c r="M120" s="173" t="n">
        <x:f>'Weekly Points'!AB120</x:f>
        <x:v>0.17647058823529413</x:v>
      </x:c>
      <x:c r="N120" s="109" t="n">
        <x:f>0.5*J120+0.3*I120+0.2*H120</x:f>
        <x:v>6.076294117647058</x:v>
      </x:c>
      <x:c r="O120" s="175" t="n">
        <x:v>15</x:v>
      </x:c>
      <x:c r="P120" s="175" t="n">
        <x:v>10</x:v>
      </x:c>
      <x:c r="Q120" s="175" t="n">
        <x:v>17</x:v>
      </x:c>
      <x:c r="R120" s="175" t="n">
        <x:v>38</x:v>
      </x:c>
      <x:c r="S120" s="175" t="n">
        <x:v>0</x:v>
      </x:c>
      <x:c r="T120" s="175" t="n">
        <x:v>2</x:v>
      </x:c>
      <x:c r="U120" s="175" t="n">
        <x:v>0</x:v>
      </x:c>
      <x:c r="V120" s="175" t="n">
        <x:f>SUM(S120:U120)</x:f>
        <x:v>2</x:v>
      </x:c>
      <x:c r="W120" s="108" t="str">
        <x:v>https://fantasy.espn.com/football/leaders?leagueId=555583&amp;lineupSlot=4&amp;scoringPeriodId=0&amp;statSplit=lastSeason</x:v>
      </x:c>
    </x:row>
    <x:row r="121">
      <x:c r="A121" s="108" t="str">
        <x:v>WR</x:v>
      </x:c>
      <x:c r="B121" s="175" t="n">
        <x:f>1+COUNTIFS($A$4:$A$356,A121,$J$4:$J$356,"&gt;"&amp;J121)</x:f>
        <x:v>25</x:v>
      </x:c>
      <x:c r="C121" s="175" t="n">
        <x:v>38</x:v>
      </x:c>
      <x:c r="D121" s="108" t="str">
        <x:v>Khalil Shakir</x:v>
      </x:c>
      <x:c r="E121" s="108" t="str">
        <x:v>BUF</x:v>
      </x:c>
      <x:c r="F121" s="108" t="str">
        <x:v>BUF</x:v>
      </x:c>
      <x:c r="G121" s="109" t="n">
        <x:v>140.6</x:v>
      </x:c>
      <x:c r="H121" s="109" t="n">
        <x:f>'Weekly Points'!W121</x:f>
        <x:v>8.270588235294117</x:v>
      </x:c>
      <x:c r="I121" s="109" t="n">
        <x:f>'Weekly Points'!X121</x:f>
        <x:v>9</x:v>
      </x:c>
      <x:c r="J121" s="109" t="n">
        <x:f>'Weekly Points'!Y121</x:f>
        <x:v>4.8</x:v>
      </x:c>
      <x:c r="K121" s="109" t="n">
        <x:f>'Weekly Points'!Z121</x:f>
        <x:v>5.606536595363996</x:v>
      </x:c>
      <x:c r="L121" s="173" t="n">
        <x:f>'Weekly Points'!AA121</x:f>
        <x:v>0.677888493038321</x:v>
      </x:c>
      <x:c r="M121" s="173" t="n">
        <x:f>'Weekly Points'!AB121</x:f>
        <x:v>0.23529411764705882</x:v>
      </x:c>
      <x:c r="N121" s="109" t="n">
        <x:f>0.5*J121+0.3*I121+0.2*H121</x:f>
        <x:v>6.754117647058823</x:v>
      </x:c>
      <x:c r="O121" s="175" t="n">
        <x:v>16</x:v>
      </x:c>
      <x:c r="P121" s="175" t="n">
        <x:v>7</x:v>
      </x:c>
      <x:c r="Q121" s="175" t="n">
        <x:v>1</x:v>
      </x:c>
      <x:c r="R121" s="175" t="n">
        <x:v>95</x:v>
      </x:c>
      <x:c r="S121" s="175" t="n">
        <x:v>0</x:v>
      </x:c>
      <x:c r="T121" s="175" t="n">
        <x:v>4</x:v>
      </x:c>
      <x:c r="U121" s="175" t="n">
        <x:v>0</x:v>
      </x:c>
      <x:c r="V121" s="175" t="n">
        <x:f>SUM(S121:U121)</x:f>
        <x:v>4</x:v>
      </x:c>
      <x:c r="W121" s="108" t="str">
        <x:v>https://fantasy.espn.com/football/leaders?leagueId=555583&amp;lineupSlot=4&amp;scoringPeriodId=0&amp;statSplit=lastSeason</x:v>
      </x:c>
    </x:row>
    <x:row r="122">
      <x:c r="A122" s="108" t="str">
        <x:v>WR</x:v>
      </x:c>
      <x:c r="B122" s="175" t="n">
        <x:f>1+COUNTIFS($A$4:$A$356,A122,$J$4:$J$356,"&gt;"&amp;J122)</x:f>
        <x:v>25</x:v>
      </x:c>
      <x:c r="C122" s="175" t="n">
        <x:v>11</x:v>
      </x:c>
      <x:c r="D122" s="108" t="str">
        <x:v>Tee Higgins</x:v>
      </x:c>
      <x:c r="E122" s="108" t="str">
        <x:v>CIN</x:v>
      </x:c>
      <x:c r="F122" s="108" t="str">
        <x:v>CIN</x:v>
      </x:c>
      <x:c r="G122" s="109" t="n">
        <x:v>188.1</x:v>
      </x:c>
      <x:c r="H122" s="109" t="n">
        <x:f>'Weekly Points'!W122</x:f>
        <x:v>11.064705882352941</x:v>
      </x:c>
      <x:c r="I122" s="109" t="n">
        <x:f>'Weekly Points'!X122</x:f>
        <x:v>9.7</x:v>
      </x:c>
      <x:c r="J122" s="109" t="n">
        <x:f>'Weekly Points'!Y122</x:f>
        <x:v>4.8</x:v>
      </x:c>
      <x:c r="K122" s="109" t="n">
        <x:f>'Weekly Points'!Z122</x:f>
        <x:v>8.248917303392044</x:v>
      </x:c>
      <x:c r="L122" s="173" t="n">
        <x:f>'Weekly Points'!AA122</x:f>
        <x:v>0.7455161837196426</x:v>
      </x:c>
      <x:c r="M122" s="173" t="n">
        <x:f>'Weekly Points'!AB122</x:f>
        <x:v>0.29411764705882354</x:v>
      </x:c>
      <x:c r="N122" s="109" t="n">
        <x:f>0.5*J122+0.3*I122+0.2*H122</x:f>
        <x:v>7.522941176470588</x:v>
      </x:c>
      <x:c r="O122" s="175" t="n">
        <x:v>15</x:v>
      </x:c>
      <x:c r="P122" s="175" t="n">
        <x:v>10</x:v>
      </x:c>
      <x:c r="Q122" s="175" t="n">
        <x:v>0</x:v>
      </x:c>
      <x:c r="R122" s="175" t="n">
        <x:v>98</x:v>
      </x:c>
      <x:c r="S122" s="175" t="n">
        <x:v>0</x:v>
      </x:c>
      <x:c r="T122" s="175" t="n">
        <x:v>11</x:v>
      </x:c>
      <x:c r="U122" s="175" t="n">
        <x:v>0</x:v>
      </x:c>
      <x:c r="V122" s="175" t="n">
        <x:f>SUM(S122:U122)</x:f>
        <x:v>11</x:v>
      </x:c>
      <x:c r="W122" s="108" t="str">
        <x:v>https://fantasy.espn.com/football/leaders?leagueId=555583&amp;lineupSlot=4&amp;scoringPeriodId=0&amp;statSplit=lastSeason</x:v>
      </x:c>
    </x:row>
    <x:row r="123">
      <x:c r="A123" s="108" t="str">
        <x:v>WR</x:v>
      </x:c>
      <x:c r="B123" s="175" t="n">
        <x:f>1+COUNTIFS($A$4:$A$356,A123,$J$4:$J$356,"&gt;"&amp;J123)</x:f>
        <x:v>28</x:v>
      </x:c>
      <x:c r="C123" s="175" t="n">
        <x:v>10</x:v>
      </x:c>
      <x:c r="D123" s="108" t="str">
        <x:v>Jameson Williams</x:v>
      </x:c>
      <x:c r="E123" s="108" t="str">
        <x:v>DET</x:v>
      </x:c>
      <x:c r="F123" s="108" t="str">
        <x:v>DET</x:v>
      </x:c>
      <x:c r="G123" s="109" t="n">
        <x:v>191.4</x:v>
      </x:c>
      <x:c r="H123" s="109" t="n">
        <x:f>'Weekly Points'!W123</x:f>
        <x:v>11.258823529411766</x:v>
      </x:c>
      <x:c r="I123" s="109" t="n">
        <x:f>'Weekly Points'!X123</x:f>
        <x:v>10.4</x:v>
      </x:c>
      <x:c r="J123" s="109" t="n">
        <x:f>'Weekly Points'!Y123</x:f>
        <x:v>4.7</x:v>
      </x:c>
      <x:c r="K123" s="109" t="n">
        <x:f>'Weekly Points'!Z123</x:f>
        <x:v>7.952140579264651</x:v>
      </x:c>
      <x:c r="L123" s="173" t="n">
        <x:f>'Weekly Points'!AA123</x:f>
        <x:v>0.7063029772596607</x:v>
      </x:c>
      <x:c r="M123" s="173" t="n">
        <x:f>'Weekly Points'!AB123</x:f>
        <x:v>0.4117647058823529</x:v>
      </x:c>
      <x:c r="N123" s="109" t="n">
        <x:f>0.5*J123+0.3*I123+0.2*H123</x:f>
        <x:v>7.721764705882354</x:v>
      </x:c>
      <x:c r="O123" s="175" t="n">
        <x:v>15</x:v>
      </x:c>
      <x:c r="P123" s="175" t="n">
        <x:v>8</x:v>
      </x:c>
      <x:c r="Q123" s="175" t="n">
        <x:v>6</x:v>
      </x:c>
      <x:c r="R123" s="175" t="n">
        <x:v>102</x:v>
      </x:c>
      <x:c r="S123" s="175" t="n">
        <x:v>0</x:v>
      </x:c>
      <x:c r="T123" s="175" t="n">
        <x:v>7</x:v>
      </x:c>
      <x:c r="U123" s="175" t="n">
        <x:v>0</x:v>
      </x:c>
      <x:c r="V123" s="175" t="n">
        <x:f>SUM(S123:U123)</x:f>
        <x:v>7</x:v>
      </x:c>
      <x:c r="W123" s="108" t="str">
        <x:v>https://fantasy.espn.com/football/leaders?leagueId=555583&amp;lineupSlot=4&amp;scoringPeriodId=0&amp;statSplit=lastSeason</x:v>
      </x:c>
    </x:row>
    <x:row r="124">
      <x:c r="A124" s="108" t="str">
        <x:v>WR</x:v>
      </x:c>
      <x:c r="B124" s="175" t="n">
        <x:f>1+COUNTIFS($A$4:$A$356,A124,$J$4:$J$356,"&gt;"&amp;J124)</x:f>
        <x:v>29</x:v>
      </x:c>
      <x:c r="C124" s="175" t="n">
        <x:v>16</x:v>
      </x:c>
      <x:c r="D124" s="108" t="str">
        <x:v>Parker Washington</x:v>
      </x:c>
      <x:c r="E124" s="108" t="str">
        <x:v>JAX</x:v>
      </x:c>
      <x:c r="F124" s="108" t="str">
        <x:v>JAX</x:v>
      </x:c>
      <x:c r="G124" s="109" t="n">
        <x:v>174</x:v>
      </x:c>
      <x:c r="H124" s="109" t="n">
        <x:f>'Weekly Points'!W124</x:f>
        <x:v>10.235294117647058</x:v>
      </x:c>
      <x:c r="I124" s="109" t="n">
        <x:f>'Weekly Points'!X124</x:f>
        <x:v>9.15</x:v>
      </x:c>
      <x:c r="J124" s="109" t="n">
        <x:f>'Weekly Points'!Y124</x:f>
        <x:v>4.6</x:v>
      </x:c>
      <x:c r="K124" s="109" t="n">
        <x:f>'Weekly Points'!Z124</x:f>
        <x:v>6.860731497311398</x:v>
      </x:c>
      <x:c r="L124" s="173" t="n">
        <x:f>'Weekly Points'!AA124</x:f>
        <x:v>0.6703013531855964</x:v>
      </x:c>
      <x:c r="M124" s="173" t="n">
        <x:f>'Weekly Points'!AB124</x:f>
        <x:v>0.29411764705882354</x:v>
      </x:c>
      <x:c r="N124" s="109" t="n">
        <x:f>0.5*J124+0.3*I124+0.2*H124</x:f>
        <x:v>7.0920588235294115</x:v>
      </x:c>
      <x:c r="O124" s="175" t="n">
        <x:v>16</x:v>
      </x:c>
      <x:c r="P124" s="175" t="n">
        <x:v>8</x:v>
      </x:c>
      <x:c r="Q124" s="175" t="n">
        <x:v>7</x:v>
      </x:c>
      <x:c r="R124" s="175" t="n">
        <x:v>95</x:v>
      </x:c>
      <x:c r="S124" s="175" t="n">
        <x:v>0</x:v>
      </x:c>
      <x:c r="T124" s="175" t="n">
        <x:v>5</x:v>
      </x:c>
      <x:c r="U124" s="175" t="n">
        <x:v>0</x:v>
      </x:c>
      <x:c r="V124" s="175" t="n">
        <x:f>SUM(S124:U124)</x:f>
        <x:v>5</x:v>
      </x:c>
      <x:c r="W124" s="108" t="str">
        <x:v>https://fantasy.espn.com/football/leaders?leagueId=555583&amp;lineupSlot=4&amp;scoringPeriodId=0&amp;statSplit=lastSeason</x:v>
      </x:c>
    </x:row>
    <x:row r="125">
      <x:c r="A125" s="108" t="str">
        <x:v>WR</x:v>
      </x:c>
      <x:c r="B125" s="175" t="n">
        <x:f>1+COUNTIFS($A$4:$A$356,A125,$J$4:$J$356,"&gt;"&amp;J125)</x:f>
        <x:v>30</x:v>
      </x:c>
      <x:c r="C125" s="175" t="n">
        <x:v>21</x:v>
      </x:c>
      <x:c r="D125" s="108" t="str">
        <x:v>Emeka Egbuka</x:v>
      </x:c>
      <x:c r="E125" s="108" t="str">
        <x:v>TB</x:v>
      </x:c>
      <x:c r="F125" s="108" t="str">
        <x:v>TB</x:v>
      </x:c>
      <x:c r="G125" s="109" t="n">
        <x:v>166.2</x:v>
      </x:c>
      <x:c r="H125" s="109" t="n">
        <x:f>'Weekly Points'!W125</x:f>
        <x:v>9.776470588235293</x:v>
      </x:c>
      <x:c r="I125" s="109" t="n">
        <x:f>'Weekly Points'!X125</x:f>
        <x:v>6.5</x:v>
      </x:c>
      <x:c r="J125" s="109" t="n">
        <x:f>'Weekly Points'!Y125</x:f>
        <x:v>4.5</x:v>
      </x:c>
      <x:c r="K125" s="109" t="n">
        <x:f>'Weekly Points'!Z125</x:f>
        <x:v>7.6736776528417705</x:v>
      </x:c>
      <x:c r="L125" s="173" t="n">
        <x:f>'Weekly Points'!AA125</x:f>
        <x:v>0.7849128766444652</x:v>
      </x:c>
      <x:c r="M125" s="173" t="n">
        <x:f>'Weekly Points'!AB125</x:f>
        <x:v>0.35294117647058826</x:v>
      </x:c>
      <x:c r="N125" s="109" t="n">
        <x:f>0.5*J125+0.3*I125+0.2*H125</x:f>
        <x:v>6.155294117647059</x:v>
      </x:c>
      <x:c r="O125" s="175" t="n">
        <x:v>17</x:v>
      </x:c>
      <x:c r="P125" s="175" t="n">
        <x:v>9</x:v>
      </x:c>
      <x:c r="Q125" s="175" t="n">
        <x:v>2</x:v>
      </x:c>
      <x:c r="R125" s="175" t="n">
        <x:v>127</x:v>
      </x:c>
      <x:c r="S125" s="175" t="n">
        <x:v>0</x:v>
      </x:c>
      <x:c r="T125" s="175" t="n">
        <x:v>6</x:v>
      </x:c>
      <x:c r="U125" s="175" t="n">
        <x:v>0</x:v>
      </x:c>
      <x:c r="V125" s="175" t="n">
        <x:f>SUM(S125:U125)</x:f>
        <x:v>6</x:v>
      </x:c>
      <x:c r="W125" s="108" t="str">
        <x:v>https://fantasy.espn.com/football/leaders?leagueId=555583&amp;lineupSlot=4&amp;scoringPeriodId=0&amp;statSplit=lastSeason</x:v>
      </x:c>
    </x:row>
    <x:row r="126">
      <x:c r="A126" s="108" t="str">
        <x:v>WR</x:v>
      </x:c>
      <x:c r="B126" s="175" t="n">
        <x:f>1+COUNTIFS($A$4:$A$356,A126,$J$4:$J$356,"&gt;"&amp;J126)</x:f>
        <x:v>31</x:v>
      </x:c>
      <x:c r="C126" s="175" t="n">
        <x:v>36</x:v>
      </x:c>
      <x:c r="D126" s="108" t="str">
        <x:v>Romeo Doubs</x:v>
      </x:c>
      <x:c r="E126" s="108" t="str">
        <x:v>GB</x:v>
      </x:c>
      <x:c r="F126" s="108" t="str">
        <x:v>GB</x:v>
      </x:c>
      <x:c r="G126" s="109" t="n">
        <x:v>142.1</x:v>
      </x:c>
      <x:c r="H126" s="109" t="n">
        <x:f>'Weekly Points'!W126</x:f>
        <x:v>8.358823529411763</x:v>
      </x:c>
      <x:c r="I126" s="109" t="n">
        <x:f>'Weekly Points'!X126</x:f>
        <x:v>7.8</x:v>
      </x:c>
      <x:c r="J126" s="109" t="n">
        <x:f>'Weekly Points'!Y126</x:f>
        <x:v>4.35</x:v>
      </x:c>
      <x:c r="K126" s="109" t="n">
        <x:f>'Weekly Points'!Z126</x:f>
        <x:v>6.328094111697865</x:v>
      </x:c>
      <x:c r="L126" s="173" t="n">
        <x:f>'Weekly Points'!AA126</x:f>
        <x:v>0.7570555939399277</x:v>
      </x:c>
      <x:c r="M126" s="173" t="n">
        <x:f>'Weekly Points'!AB126</x:f>
        <x:v>0.23529411764705882</x:v>
      </x:c>
      <x:c r="N126" s="109" t="n">
        <x:f>0.5*J126+0.3*I126+0.2*H126</x:f>
        <x:v>6.186764705882353</x:v>
      </x:c>
      <x:c r="O126" s="175" t="n">
        <x:v>16</x:v>
      </x:c>
      <x:c r="P126" s="175" t="n">
        <x:v>5</x:v>
      </x:c>
      <x:c r="Q126" s="175" t="n">
        <x:v>0</x:v>
      </x:c>
      <x:c r="R126" s="175" t="n">
        <x:v>85</x:v>
      </x:c>
      <x:c r="S126" s="175" t="n">
        <x:v>0</x:v>
      </x:c>
      <x:c r="T126" s="175" t="n">
        <x:v>6</x:v>
      </x:c>
      <x:c r="U126" s="175" t="n">
        <x:v>0</x:v>
      </x:c>
      <x:c r="V126" s="175" t="n">
        <x:f>SUM(S126:U126)</x:f>
        <x:v>6</x:v>
      </x:c>
      <x:c r="W126" s="108" t="str">
        <x:v>https://fantasy.espn.com/football/leaders?leagueId=555583&amp;lineupSlot=4&amp;scoringPeriodId=0&amp;statSplit=lastSeason</x:v>
      </x:c>
    </x:row>
    <x:row r="127">
      <x:c r="A127" s="108" t="str">
        <x:v>WR</x:v>
      </x:c>
      <x:c r="B127" s="175" t="n">
        <x:f>1+COUNTIFS($A$4:$A$356,A127,$J$4:$J$356,"&gt;"&amp;J127)</x:f>
        <x:v>32</x:v>
      </x:c>
      <x:c r="C127" s="175" t="n">
        <x:v>30</x:v>
      </x:c>
      <x:c r="D127" s="108" t="str">
        <x:v>Rashid Shaheed</x:v>
      </x:c>
      <x:c r="E127" s="108" t="str">
        <x:v>SEA/NO</x:v>
      </x:c>
      <x:c r="F127" s="108" t="str">
        <x:v>SEA</x:v>
      </x:c>
      <x:c r="G127" s="109" t="n">
        <x:v>158.96</x:v>
      </x:c>
      <x:c r="H127" s="109" t="n">
        <x:f>'Weekly Points'!W127</x:f>
        <x:v>9.06235294117647</x:v>
      </x:c>
      <x:c r="I127" s="109" t="n">
        <x:f>'Weekly Points'!X127</x:f>
        <x:v>7.7</x:v>
      </x:c>
      <x:c r="J127" s="109" t="n">
        <x:f>'Weekly Points'!Y127</x:f>
        <x:v>4.31</x:v>
      </x:c>
      <x:c r="K127" s="109" t="n">
        <x:f>'Weekly Points'!Z127</x:f>
        <x:v>5.4391873629752965</x:v>
      </x:c>
      <x:c r="L127" s="173" t="n">
        <x:f>'Weekly Points'!AA127</x:f>
        <x:v>0.6001959312643128</x:v>
      </x:c>
      <x:c r="M127" s="173" t="n">
        <x:f>'Weekly Points'!AB127</x:f>
        <x:v>0.29411764705882354</x:v>
      </x:c>
      <x:c r="N127" s="109" t="n">
        <x:f>0.5*J127+0.3*I127+0.2*H127</x:f>
        <x:v>6.277470588235294</x:v>
      </x:c>
      <x:c r="O127" s="175" t="n">
        <x:v>17</x:v>
      </x:c>
      <x:c r="P127" s="175" t="n">
        <x:v>11</x:v>
      </x:c>
      <x:c r="Q127" s="175" t="n">
        <x:v>9</x:v>
      </x:c>
      <x:c r="R127" s="175" t="n">
        <x:v>92</x:v>
      </x:c>
      <x:c r="S127" s="175" t="n">
        <x:v>0</x:v>
      </x:c>
      <x:c r="T127" s="175" t="n">
        <x:v>2</x:v>
      </x:c>
      <x:c r="U127" s="175" t="n">
        <x:v>0</x:v>
      </x:c>
      <x:c r="V127" s="175" t="n">
        <x:f>SUM(S127:U127)</x:f>
        <x:v>2</x:v>
      </x:c>
      <x:c r="W127" s="108" t="str">
        <x:v>https://fantasy.espn.com/football/leaders?leagueId=555583&amp;lineupSlot=4&amp;scoringPeriodId=0&amp;statSplit=lastSeason</x:v>
      </x:c>
    </x:row>
    <x:row r="128">
      <x:c r="A128" s="108" t="str">
        <x:v>WR</x:v>
      </x:c>
      <x:c r="B128" s="175" t="n">
        <x:f>1+COUNTIFS($A$4:$A$356,A128,$J$4:$J$356,"&gt;"&amp;J128)</x:f>
        <x:v>33</x:v>
      </x:c>
      <x:c r="C128" s="175" t="n">
        <x:v>20</x:v>
      </x:c>
      <x:c r="D128" s="108" t="str">
        <x:v>Stefon Diggs</x:v>
      </x:c>
      <x:c r="E128" s="108" t="str">
        <x:v>NE</x:v>
      </x:c>
      <x:c r="F128" s="108" t="str">
        <x:v>NE</x:v>
      </x:c>
      <x:c r="G128" s="109" t="n">
        <x:v>167.8</x:v>
      </x:c>
      <x:c r="H128" s="109" t="n">
        <x:f>'Weekly Points'!W128</x:f>
        <x:v>9.870588235294116</x:v>
      </x:c>
      <x:c r="I128" s="109" t="n">
        <x:f>'Weekly Points'!X128</x:f>
        <x:v>8.9</x:v>
      </x:c>
      <x:c r="J128" s="109" t="n">
        <x:f>'Weekly Points'!Y128</x:f>
        <x:v>4.3</x:v>
      </x:c>
      <x:c r="K128" s="109" t="n">
        <x:f>'Weekly Points'!Z128</x:f>
        <x:v>5.545402410039632</x:v>
      </x:c>
      <x:c r="L128" s="173" t="n">
        <x:f>'Weekly Points'!AA128</x:f>
        <x:v>0.5618107328407256</x:v>
      </x:c>
      <x:c r="M128" s="173" t="n">
        <x:f>'Weekly Points'!AB128</x:f>
        <x:v>0.29411764705882354</x:v>
      </x:c>
      <x:c r="N128" s="109" t="n">
        <x:f>0.5*J128+0.3*I128+0.2*H128</x:f>
        <x:v>6.794117647058823</x:v>
      </x:c>
      <x:c r="O128" s="175" t="n">
        <x:v>17</x:v>
      </x:c>
      <x:c r="P128" s="175" t="n">
        <x:v>14</x:v>
      </x:c>
      <x:c r="Q128" s="175" t="n">
        <x:v>0</x:v>
      </x:c>
      <x:c r="R128" s="175" t="n">
        <x:v>102</x:v>
      </x:c>
      <x:c r="S128" s="175" t="n">
        <x:v>0</x:v>
      </x:c>
      <x:c r="T128" s="175" t="n">
        <x:v>4</x:v>
      </x:c>
      <x:c r="U128" s="175" t="n">
        <x:v>0</x:v>
      </x:c>
      <x:c r="V128" s="175" t="n">
        <x:f>SUM(S128:U128)</x:f>
        <x:v>4</x:v>
      </x:c>
      <x:c r="W128" s="108" t="str">
        <x:v>https://fantasy.espn.com/football/leaders?leagueId=555583&amp;lineupSlot=4&amp;scoringPeriodId=0&amp;statSplit=lastSeason</x:v>
      </x:c>
    </x:row>
    <x:row r="129">
      <x:c r="A129" s="108" t="str">
        <x:v>WR</x:v>
      </x:c>
      <x:c r="B129" s="175" t="n">
        <x:f>1+COUNTIFS($A$4:$A$356,A129,$J$4:$J$356,"&gt;"&amp;J129)</x:f>
        <x:v>33</x:v>
      </x:c>
      <x:c r="C129" s="175" t="n">
        <x:v>52</x:v>
      </x:c>
      <x:c r="D129" s="108" t="str">
        <x:v>Josh Downs</x:v>
      </x:c>
      <x:c r="E129" s="108" t="str">
        <x:v>IND</x:v>
      </x:c>
      <x:c r="F129" s="108" t="str">
        <x:v>IND</x:v>
      </x:c>
      <x:c r="G129" s="109" t="n">
        <x:v>110.8</x:v>
      </x:c>
      <x:c r="H129" s="109" t="n">
        <x:f>'Weekly Points'!W129</x:f>
        <x:v>6.51764705882353</x:v>
      </x:c>
      <x:c r="I129" s="109" t="n">
        <x:f>'Weekly Points'!X129</x:f>
        <x:v>5.4</x:v>
      </x:c>
      <x:c r="J129" s="109" t="n">
        <x:f>'Weekly Points'!Y129</x:f>
        <x:v>4.3</x:v>
      </x:c>
      <x:c r="K129" s="109" t="n">
        <x:f>'Weekly Points'!Z129</x:f>
        <x:v>3.928476024545972</x:v>
      </x:c>
      <x:c r="L129" s="173" t="n">
        <x:f>'Weekly Points'!AA129</x:f>
        <x:v>0.6027445164014577</x:v>
      </x:c>
      <x:c r="M129" s="173" t="n">
        <x:f>'Weekly Points'!AB129</x:f>
        <x:v>0.23529411764705882</x:v>
      </x:c>
      <x:c r="N129" s="109" t="n">
        <x:f>0.5*J129+0.3*I129+0.2*H129</x:f>
        <x:v>5.0735294117647065</x:v>
      </x:c>
      <x:c r="O129" s="175" t="n">
        <x:v>16</x:v>
      </x:c>
      <x:c r="P129" s="175" t="n">
        <x:v>11</x:v>
      </x:c>
      <x:c r="Q129" s="175" t="n">
        <x:v>2</x:v>
      </x:c>
      <x:c r="R129" s="175" t="n">
        <x:v>88</x:v>
      </x:c>
      <x:c r="S129" s="175" t="n">
        <x:v>0</x:v>
      </x:c>
      <x:c r="T129" s="175" t="n">
        <x:v>4</x:v>
      </x:c>
      <x:c r="U129" s="175" t="n">
        <x:v>0</x:v>
      </x:c>
      <x:c r="V129" s="175" t="n">
        <x:f>SUM(S129:U129)</x:f>
        <x:v>4</x:v>
      </x:c>
      <x:c r="W129" s="108" t="str">
        <x:v>https://fantasy.espn.com/football/leaders?leagueId=555583&amp;lineupSlot=4&amp;scoringPeriodId=0&amp;statSplit=lastSeason</x:v>
      </x:c>
    </x:row>
    <x:row r="130">
      <x:c r="A130" s="108" t="str">
        <x:v>WR</x:v>
      </x:c>
      <x:c r="B130" s="175" t="n">
        <x:f>1+COUNTIFS($A$4:$A$356,A130,$J$4:$J$356,"&gt;"&amp;J130)</x:f>
        <x:v>35</x:v>
      </x:c>
      <x:c r="C130" s="175" t="n">
        <x:v>39</x:v>
      </x:c>
      <x:c r="D130" s="108" t="str">
        <x:v>Tre Tucker</x:v>
      </x:c>
      <x:c r="E130" s="108" t="str">
        <x:v>LV</x:v>
      </x:c>
      <x:c r="F130" s="108" t="str">
        <x:v>LV</x:v>
      </x:c>
      <x:c r="G130" s="109" t="n">
        <x:v>138.34</x:v>
      </x:c>
      <x:c r="H130" s="109" t="n">
        <x:f>'Weekly Points'!W130</x:f>
        <x:v>8.13764705882353</x:v>
      </x:c>
      <x:c r="I130" s="109" t="n">
        <x:f>'Weekly Points'!X130</x:f>
        <x:v>5.3</x:v>
      </x:c>
      <x:c r="J130" s="109" t="n">
        <x:f>'Weekly Points'!Y130</x:f>
        <x:v>4.15</x:v>
      </x:c>
      <x:c r="K130" s="109" t="n">
        <x:f>'Weekly Points'!Z130</x:f>
        <x:v>8.657548579410012</x:v>
      </x:c>
      <x:c r="L130" s="173" t="n">
        <x:f>'Weekly Points'!AA130</x:f>
        <x:v>1.0638884332078227</x:v>
      </x:c>
      <x:c r="M130" s="173" t="n">
        <x:f>'Weekly Points'!AB130</x:f>
        <x:v>0.23529411764705882</x:v>
      </x:c>
      <x:c r="N130" s="109" t="n">
        <x:f>0.5*J130+0.3*I130+0.2*H130</x:f>
        <x:v>5.292529411764706</x:v>
      </x:c>
      <x:c r="O130" s="175" t="n">
        <x:v>16</x:v>
      </x:c>
      <x:c r="P130" s="175" t="n">
        <x:v>8</x:v>
      </x:c>
      <x:c r="Q130" s="175" t="n">
        <x:v>11</x:v>
      </x:c>
      <x:c r="R130" s="175" t="n">
        <x:v>92</x:v>
      </x:c>
      <x:c r="S130" s="175" t="n">
        <x:v>0</x:v>
      </x:c>
      <x:c r="T130" s="175" t="n">
        <x:v>5</x:v>
      </x:c>
      <x:c r="U130" s="175" t="n">
        <x:v>0</x:v>
      </x:c>
      <x:c r="V130" s="175" t="n">
        <x:f>SUM(S130:U130)</x:f>
        <x:v>5</x:v>
      </x:c>
      <x:c r="W130" s="108" t="str">
        <x:v>https://fantasy.espn.com/football/leaders?leagueId=555583&amp;lineupSlot=4&amp;scoringPeriodId=0&amp;statSplit=lastSeason</x:v>
      </x:c>
    </x:row>
    <x:row r="131">
      <x:c r="A131" s="108" t="str">
        <x:v>WR</x:v>
      </x:c>
      <x:c r="B131" s="175" t="n">
        <x:f>1+COUNTIFS($A$4:$A$356,A131,$J$4:$J$356,"&gt;"&amp;J131)</x:f>
        <x:v>36</x:v>
      </x:c>
      <x:c r="C131" s="175" t="n">
        <x:v>48</x:v>
      </x:c>
      <x:c r="D131" s="108" t="str">
        <x:v>Brian Thomas Jr.</x:v>
      </x:c>
      <x:c r="E131" s="108" t="str">
        <x:v>JAX</x:v>
      </x:c>
      <x:c r="F131" s="108" t="str">
        <x:v>JAX</x:v>
      </x:c>
      <x:c r="G131" s="109" t="n">
        <x:v>114.8</x:v>
      </x:c>
      <x:c r="H131" s="109" t="n">
        <x:f>'Weekly Points'!W131</x:f>
        <x:v>6.752941176470588</x:v>
      </x:c>
      <x:c r="I131" s="109" t="n">
        <x:f>'Weekly Points'!X131</x:f>
        <x:v>6.5</x:v>
      </x:c>
      <x:c r="J131" s="109" t="n">
        <x:f>'Weekly Points'!Y131</x:f>
        <x:v>3.8</x:v>
      </x:c>
      <x:c r="K131" s="109" t="n">
        <x:f>'Weekly Points'!Z131</x:f>
        <x:v>4.933334112659311</x:v>
      </x:c>
      <x:c r="L131" s="173" t="n">
        <x:f>'Weekly Points'!AA131</x:f>
        <x:v>0.7305459922927551</x:v>
      </x:c>
      <x:c r="M131" s="173" t="n">
        <x:f>'Weekly Points'!AB131</x:f>
        <x:v>0.23529411764705882</x:v>
      </x:c>
      <x:c r="N131" s="109" t="n">
        <x:f>0.5*J131+0.3*I131+0.2*H131</x:f>
        <x:v>5.200588235294117</x:v>
      </x:c>
      <x:c r="O131" s="175" t="n">
        <x:v>14</x:v>
      </x:c>
      <x:c r="P131" s="175" t="n">
        <x:v>8</x:v>
      </x:c>
      <x:c r="Q131" s="175" t="n">
        <x:v>3</x:v>
      </x:c>
      <x:c r="R131" s="175" t="n">
        <x:v>91</x:v>
      </x:c>
      <x:c r="S131" s="175" t="n">
        <x:v>1</x:v>
      </x:c>
      <x:c r="T131" s="175" t="n">
        <x:v>2</x:v>
      </x:c>
      <x:c r="U131" s="175" t="n">
        <x:v>0</x:v>
      </x:c>
      <x:c r="V131" s="175" t="n">
        <x:f>SUM(S131:U131)</x:f>
        <x:v>3</x:v>
      </x:c>
      <x:c r="W131" s="108" t="str">
        <x:v>https://fantasy.espn.com/football/leaders?leagueId=555583&amp;lineupSlot=4&amp;scoringPeriodId=0&amp;statSplit=lastSeason</x:v>
      </x:c>
    </x:row>
    <x:row r="132">
      <x:c r="A132" s="108" t="str">
        <x:v>WR</x:v>
      </x:c>
      <x:c r="B132" s="175" t="n">
        <x:f>1+COUNTIFS($A$4:$A$356,A132,$J$4:$J$356,"&gt;"&amp;J132)</x:f>
        <x:v>37</x:v>
      </x:c>
      <x:c r="C132" s="175" t="n">
        <x:v>50</x:v>
      </x:c>
      <x:c r="D132" s="108" t="str">
        <x:v>Hollywood Brown</x:v>
      </x:c>
      <x:c r="E132" s="108" t="str">
        <x:v>KC</x:v>
      </x:c>
      <x:c r="F132" s="108" t="str">
        <x:v>KC</x:v>
      </x:c>
      <x:c r="G132" s="109" t="n">
        <x:v>112.7</x:v>
      </x:c>
      <x:c r="H132" s="109" t="n">
        <x:f>'Weekly Points'!W132</x:f>
        <x:v>6.629411764705883</x:v>
      </x:c>
      <x:c r="I132" s="109" t="n">
        <x:f>'Weekly Points'!X132</x:f>
        <x:v>6.2</x:v>
      </x:c>
      <x:c r="J132" s="109" t="n">
        <x:f>'Weekly Points'!Y132</x:f>
        <x:v>3.7</x:v>
      </x:c>
      <x:c r="K132" s="109" t="n">
        <x:f>'Weekly Points'!Z132</x:f>
        <x:v>4.873911909445847</x:v>
      </x:c>
      <x:c r="L132" s="173" t="n">
        <x:f>'Weekly Points'!AA132</x:f>
        <x:v>0.7351952303511925</x:v>
      </x:c>
      <x:c r="M132" s="173" t="n">
        <x:f>'Weekly Points'!AB132</x:f>
        <x:v>0.23529411764705882</x:v>
      </x:c>
      <x:c r="N132" s="109" t="n">
        <x:f>0.5*J132+0.3*I132+0.2*H132</x:f>
        <x:v>5.035882352941177</x:v>
      </x:c>
      <x:c r="O132" s="175" t="n">
        <x:v>15</x:v>
      </x:c>
      <x:c r="P132" s="175" t="n">
        <x:v>10</x:v>
      </x:c>
      <x:c r="Q132" s="175" t="n">
        <x:v>0</x:v>
      </x:c>
      <x:c r="R132" s="175" t="n">
        <x:v>74</x:v>
      </x:c>
      <x:c r="S132" s="175" t="n">
        <x:v>0</x:v>
      </x:c>
      <x:c r="T132" s="175" t="n">
        <x:v>5</x:v>
      </x:c>
      <x:c r="U132" s="175" t="n">
        <x:v>0</x:v>
      </x:c>
      <x:c r="V132" s="175" t="n">
        <x:f>SUM(S132:U132)</x:f>
        <x:v>5</x:v>
      </x:c>
      <x:c r="W132" s="108" t="str">
        <x:v>https://fantasy.espn.com/football/leaders?leagueId=555583&amp;lineupSlot=4&amp;scoringPeriodId=0&amp;statSplit=lastSeason</x:v>
      </x:c>
    </x:row>
    <x:row r="133">
      <x:c r="A133" s="108" t="str">
        <x:v>WR</x:v>
      </x:c>
      <x:c r="B133" s="175" t="n">
        <x:f>1+COUNTIFS($A$4:$A$356,A133,$J$4:$J$356,"&gt;"&amp;J133)</x:f>
        <x:v>38</x:v>
      </x:c>
      <x:c r="C133" s="175" t="n">
        <x:v>61</x:v>
      </x:c>
      <x:c r="D133" s="108" t="str">
        <x:v>Cooper Kupp</x:v>
      </x:c>
      <x:c r="E133" s="108" t="str">
        <x:v>SEA</x:v>
      </x:c>
      <x:c r="F133" s="108" t="str">
        <x:v>SEA</x:v>
      </x:c>
      <x:c r="G133" s="109" t="n">
        <x:v>92.8</x:v>
      </x:c>
      <x:c r="H133" s="109" t="n">
        <x:f>'Weekly Points'!W133</x:f>
        <x:v>5.458823529411765</x:v>
      </x:c>
      <x:c r="I133" s="109" t="n">
        <x:f>'Weekly Points'!X133</x:f>
        <x:v>4.1</x:v>
      </x:c>
      <x:c r="J133" s="109" t="n">
        <x:f>'Weekly Points'!Y133</x:f>
        <x:v>3.4</x:v>
      </x:c>
      <x:c r="K133" s="109" t="n">
        <x:f>'Weekly Points'!Z133</x:f>
        <x:v>3.5562800828508516</x:v>
      </x:c>
      <x:c r="L133" s="173" t="n">
        <x:f>'Weekly Points'!AA133</x:f>
        <x:v>0.6514737220739707</x:v>
      </x:c>
      <x:c r="M133" s="173" t="n">
        <x:f>'Weekly Points'!AB133</x:f>
        <x:v>0.23529411764705882</x:v>
      </x:c>
      <x:c r="N133" s="109" t="n">
        <x:f>0.5*J133+0.3*I133+0.2*H133</x:f>
        <x:v>4.021764705882353</x:v>
      </x:c>
      <x:c r="O133" s="175" t="n">
        <x:v>16</x:v>
      </x:c>
      <x:c r="P133" s="175" t="n">
        <x:v>8</x:v>
      </x:c>
      <x:c r="Q133" s="175" t="n">
        <x:v>0</x:v>
      </x:c>
      <x:c r="R133" s="175" t="n">
        <x:v>70</x:v>
      </x:c>
      <x:c r="S133" s="175" t="n">
        <x:v>0</x:v>
      </x:c>
      <x:c r="T133" s="175" t="n">
        <x:v>2</x:v>
      </x:c>
      <x:c r="U133" s="175" t="n">
        <x:v>0</x:v>
      </x:c>
      <x:c r="V133" s="175" t="n">
        <x:f>SUM(S133:U133)</x:f>
        <x:v>2</x:v>
      </x:c>
      <x:c r="W133" s="108" t="str">
        <x:v>https://fantasy.espn.com/football/leaders?leagueId=555583&amp;lineupSlot=4&amp;scoringPeriodId=0&amp;statSplit=lastSeason</x:v>
      </x:c>
    </x:row>
    <x:row r="134">
      <x:c r="A134" s="108" t="str">
        <x:v>WR</x:v>
      </x:c>
      <x:c r="B134" s="175" t="n">
        <x:f>1+COUNTIFS($A$4:$A$356,A134,$J$4:$J$356,"&gt;"&amp;J134)</x:f>
        <x:v>39</x:v>
      </x:c>
      <x:c r="C134" s="175" t="n">
        <x:v>55</x:v>
      </x:c>
      <x:c r="D134" s="108" t="str">
        <x:v>Jaylin Noel</x:v>
      </x:c>
      <x:c r="E134" s="108" t="str">
        <x:v>HOU</x:v>
      </x:c>
      <x:c r="F134" s="108" t="str">
        <x:v>HOU</x:v>
      </x:c>
      <x:c r="G134" s="109" t="n">
        <x:v>98.12</x:v>
      </x:c>
      <x:c r="H134" s="109" t="n">
        <x:f>'Weekly Points'!W134</x:f>
        <x:v>5.771764705882353</x:v>
      </x:c>
      <x:c r="I134" s="109" t="n">
        <x:f>'Weekly Points'!X134</x:f>
        <x:v>4.28</x:v>
      </x:c>
      <x:c r="J134" s="109" t="n">
        <x:f>'Weekly Points'!Y134</x:f>
        <x:v>3.35</x:v>
      </x:c>
      <x:c r="K134" s="109" t="n">
        <x:f>'Weekly Points'!Z134</x:f>
        <x:v>3.739259497774326</x:v>
      </x:c>
      <x:c r="L134" s="173" t="n">
        <x:f>'Weekly Points'!AA134</x:f>
        <x:v>0.6478537654113692</x:v>
      </x:c>
      <x:c r="M134" s="173" t="n">
        <x:f>'Weekly Points'!AB134</x:f>
        <x:v>0.17647058823529413</x:v>
      </x:c>
      <x:c r="N134" s="109" t="n">
        <x:f>0.5*J134+0.3*I134+0.2*H134</x:f>
        <x:v>4.113352941176471</x:v>
      </x:c>
      <x:c r="O134" s="175" t="n">
        <x:v>17</x:v>
      </x:c>
      <x:c r="P134" s="175" t="n">
        <x:v>6</x:v>
      </x:c>
      <x:c r="Q134" s="175" t="n">
        <x:v>6</x:v>
      </x:c>
      <x:c r="R134" s="175" t="n">
        <x:v>35</x:v>
      </x:c>
      <x:c r="S134" s="175" t="n">
        <x:v>0</x:v>
      </x:c>
      <x:c r="T134" s="175" t="n">
        <x:v>2</x:v>
      </x:c>
      <x:c r="U134" s="175" t="n">
        <x:v>0</x:v>
      </x:c>
      <x:c r="V134" s="175" t="n">
        <x:f>SUM(S134:U134)</x:f>
        <x:v>2</x:v>
      </x:c>
      <x:c r="W134" s="108" t="str">
        <x:v>https://fantasy.espn.com/football/leaders?leagueId=555583&amp;lineupSlot=4&amp;scoringPeriodId=0&amp;statSplit=lastSeason</x:v>
      </x:c>
    </x:row>
    <x:row r="135">
      <x:c r="A135" s="108" t="str">
        <x:v>WR</x:v>
      </x:c>
      <x:c r="B135" s="175" t="n">
        <x:f>1+COUNTIFS($A$4:$A$356,A135,$J$4:$J$356,"&gt;"&amp;J135)</x:f>
        <x:v>40</x:v>
      </x:c>
      <x:c r="C135" s="175" t="n">
        <x:v>35</x:v>
      </x:c>
      <x:c r="D135" s="108" t="str">
        <x:v>Troy Franklin</x:v>
      </x:c>
      <x:c r="E135" s="108" t="str">
        <x:v>DEN</x:v>
      </x:c>
      <x:c r="F135" s="108" t="str">
        <x:v>DEN</x:v>
      </x:c>
      <x:c r="G135" s="109" t="n">
        <x:v>144.6</x:v>
      </x:c>
      <x:c r="H135" s="109" t="n">
        <x:f>'Weekly Points'!W135</x:f>
        <x:v>8.505882352941175</x:v>
      </x:c>
      <x:c r="I135" s="109" t="n">
        <x:f>'Weekly Points'!X135</x:f>
        <x:v>7</x:v>
      </x:c>
      <x:c r="J135" s="109" t="n">
        <x:f>'Weekly Points'!Y135</x:f>
        <x:v>3.1</x:v>
      </x:c>
      <x:c r="K135" s="109" t="n">
        <x:f>'Weekly Points'!Z135</x:f>
        <x:v>6.634089377488979</x:v>
      </x:c>
      <x:c r="L135" s="173" t="n">
        <x:f>'Weekly Points'!AA135</x:f>
        <x:v>0.7799413514336976</x:v>
      </x:c>
      <x:c r="M135" s="173" t="n">
        <x:f>'Weekly Points'!AB135</x:f>
        <x:v>0.35294117647058826</x:v>
      </x:c>
      <x:c r="N135" s="109" t="n">
        <x:f>0.5*J135+0.3*I135+0.2*H135</x:f>
        <x:v>5.351176470588236</x:v>
      </x:c>
      <x:c r="O135" s="175" t="n">
        <x:v>16</x:v>
      </x:c>
      <x:c r="P135" s="175" t="n">
        <x:v>12</x:v>
      </x:c>
      <x:c r="Q135" s="175" t="n">
        <x:v>5</x:v>
      </x:c>
      <x:c r="R135" s="175" t="n">
        <x:v>104</x:v>
      </x:c>
      <x:c r="S135" s="175" t="n">
        <x:v>0</x:v>
      </x:c>
      <x:c r="T135" s="175" t="n">
        <x:v>6</x:v>
      </x:c>
      <x:c r="U135" s="175" t="n">
        <x:v>0</x:v>
      </x:c>
      <x:c r="V135" s="175" t="n">
        <x:f>SUM(S135:U135)</x:f>
        <x:v>6</x:v>
      </x:c>
      <x:c r="W135" s="108" t="str">
        <x:v>https://fantasy.espn.com/football/leaders?leagueId=555583&amp;lineupSlot=4&amp;scoringPeriodId=0&amp;statSplit=lastSeason</x:v>
      </x:c>
    </x:row>
    <x:row r="136">
      <x:c r="A136" s="108" t="str">
        <x:v>WR</x:v>
      </x:c>
      <x:c r="B136" s="175" t="n">
        <x:f>1+COUNTIFS($A$4:$A$356,A136,$J$4:$J$356,"&gt;"&amp;J136)</x:f>
        <x:v>40</x:v>
      </x:c>
      <x:c r="C136" s="175" t="n">
        <x:v>27</x:v>
      </x:c>
      <x:c r="D136" s="108" t="str">
        <x:v>Alec Pierce</x:v>
      </x:c>
      <x:c r="E136" s="108" t="str">
        <x:v>IND</x:v>
      </x:c>
      <x:c r="F136" s="108" t="str">
        <x:v>IND</x:v>
      </x:c>
      <x:c r="G136" s="109" t="n">
        <x:v>161.8</x:v>
      </x:c>
      <x:c r="H136" s="109" t="n">
        <x:f>'Weekly Points'!W136</x:f>
        <x:v>9.517647058823528</x:v>
      </x:c>
      <x:c r="I136" s="109" t="n">
        <x:f>'Weekly Points'!X136</x:f>
        <x:v>8.7</x:v>
      </x:c>
      <x:c r="J136" s="109" t="n">
        <x:f>'Weekly Points'!Y136</x:f>
        <x:v>3.1</x:v>
      </x:c>
      <x:c r="K136" s="109" t="n">
        <x:f>'Weekly Points'!Z136</x:f>
        <x:v>8.021459108439917</x:v>
      </x:c>
      <x:c r="L136" s="173" t="n">
        <x:f>'Weekly Points'!AA136</x:f>
        <x:v>0.8427985466222411</x:v>
      </x:c>
      <x:c r="M136" s="173" t="n">
        <x:f>'Weekly Points'!AB136</x:f>
        <x:v>0.35294117647058826</x:v>
      </x:c>
      <x:c r="N136" s="109" t="n">
        <x:f>0.5*J136+0.3*I136+0.2*H136</x:f>
        <x:v>6.063529411764706</x:v>
      </x:c>
      <x:c r="O136" s="175" t="n">
        <x:v>14</x:v>
      </x:c>
      <x:c r="P136" s="175" t="n">
        <x:v>11</x:v>
      </x:c>
      <x:c r="Q136" s="175" t="n">
        <x:v>0</x:v>
      </x:c>
      <x:c r="R136" s="175" t="n">
        <x:v>84</x:v>
      </x:c>
      <x:c r="S136" s="175" t="n">
        <x:v>0</x:v>
      </x:c>
      <x:c r="T136" s="175" t="n">
        <x:v>6</x:v>
      </x:c>
      <x:c r="U136" s="175" t="n">
        <x:v>0</x:v>
      </x:c>
      <x:c r="V136" s="175" t="n">
        <x:f>SUM(S136:U136)</x:f>
        <x:v>6</x:v>
      </x:c>
      <x:c r="W136" s="108" t="str">
        <x:v>https://fantasy.espn.com/football/leaders?leagueId=555583&amp;lineupSlot=4&amp;scoringPeriodId=0&amp;statSplit=lastSeason</x:v>
      </x:c>
    </x:row>
    <x:row r="137">
      <x:c r="A137" s="108" t="str">
        <x:v>WR</x:v>
      </x:c>
      <x:c r="B137" s="175" t="n">
        <x:f>1+COUNTIFS($A$4:$A$356,A137,$J$4:$J$356,"&gt;"&amp;J137)</x:f>
        <x:v>42</x:v>
      </x:c>
      <x:c r="C137" s="175" t="n">
        <x:v>26</x:v>
      </x:c>
      <x:c r="D137" s="108" t="str">
        <x:v>Michael Pittman Jr.</x:v>
      </x:c>
      <x:c r="E137" s="108" t="str">
        <x:v>IND</x:v>
      </x:c>
      <x:c r="F137" s="108" t="str">
        <x:v>IND</x:v>
      </x:c>
      <x:c r="G137" s="109" t="n">
        <x:v>162.4</x:v>
      </x:c>
      <x:c r="H137" s="109" t="n">
        <x:f>'Weekly Points'!W137</x:f>
        <x:v>9.552941176470586</x:v>
      </x:c>
      <x:c r="I137" s="109" t="n">
        <x:f>'Weekly Points'!X137</x:f>
        <x:v>11.2</x:v>
      </x:c>
      <x:c r="J137" s="109" t="n">
        <x:f>'Weekly Points'!Y137</x:f>
        <x:v>3</x:v>
      </x:c>
      <x:c r="K137" s="109" t="n">
        <x:f>'Weekly Points'!Z137</x:f>
        <x:v>6.146363597048911</x:v>
      </x:c>
      <x:c r="L137" s="173" t="n">
        <x:f>'Weekly Points'!AA137</x:f>
        <x:v>0.6434001302329526</x:v>
      </x:c>
      <x:c r="M137" s="173" t="n">
        <x:f>'Weekly Points'!AB137</x:f>
        <x:v>0.35294117647058826</x:v>
      </x:c>
      <x:c r="N137" s="109" t="n">
        <x:f>0.5*J137+0.3*I137+0.2*H137</x:f>
        <x:v>6.770588235294117</x:v>
      </x:c>
      <x:c r="O137" s="175" t="n">
        <x:v>17</x:v>
      </x:c>
      <x:c r="P137" s="175" t="n">
        <x:v>11</x:v>
      </x:c>
      <x:c r="Q137" s="175" t="n">
        <x:v>0</x:v>
      </x:c>
      <x:c r="R137" s="175" t="n">
        <x:v>111</x:v>
      </x:c>
      <x:c r="S137" s="175" t="n">
        <x:v>0</x:v>
      </x:c>
      <x:c r="T137" s="175" t="n">
        <x:v>7</x:v>
      </x:c>
      <x:c r="U137" s="175" t="n">
        <x:v>0</x:v>
      </x:c>
      <x:c r="V137" s="175" t="n">
        <x:f>SUM(S137:U137)</x:f>
        <x:v>7</x:v>
      </x:c>
      <x:c r="W137" s="108" t="str">
        <x:v>https://fantasy.espn.com/football/leaders?leagueId=555583&amp;lineupSlot=4&amp;scoringPeriodId=0&amp;statSplit=lastSeason</x:v>
      </x:c>
    </x:row>
    <x:row r="138">
      <x:c r="A138" s="108" t="str">
        <x:v>WR</x:v>
      </x:c>
      <x:c r="B138" s="175" t="n">
        <x:f>1+COUNTIFS($A$4:$A$356,A138,$J$4:$J$356,"&gt;"&amp;J138)</x:f>
        <x:v>42</x:v>
      </x:c>
      <x:c r="C138" s="175" t="n">
        <x:v>31</x:v>
      </x:c>
      <x:c r="D138" s="108" t="str">
        <x:v>Ladd McConkey</x:v>
      </x:c>
      <x:c r="E138" s="108" t="str">
        <x:v>LAC</x:v>
      </x:c>
      <x:c r="F138" s="108" t="str">
        <x:v>LAC</x:v>
      </x:c>
      <x:c r="G138" s="109" t="n">
        <x:v>149.05</x:v>
      </x:c>
      <x:c r="H138" s="109" t="n">
        <x:f>'Weekly Points'!W138</x:f>
        <x:v>8.76764705882353</x:v>
      </x:c>
      <x:c r="I138" s="109" t="n">
        <x:f>'Weekly Points'!X138</x:f>
        <x:v>7.6</x:v>
      </x:c>
      <x:c r="J138" s="109" t="n">
        <x:f>'Weekly Points'!Y138</x:f>
        <x:v>3</x:v>
      </x:c>
      <x:c r="K138" s="109" t="n">
        <x:f>'Weekly Points'!Z138</x:f>
        <x:v>6.015591046616984</x:v>
      </x:c>
      <x:c r="L138" s="173" t="n">
        <x:f>'Weekly Points'!AA138</x:f>
        <x:v>0.6861123635859693</x:v>
      </x:c>
      <x:c r="M138" s="173" t="n">
        <x:f>'Weekly Points'!AB138</x:f>
        <x:v>0.35294117647058826</x:v>
      </x:c>
      <x:c r="N138" s="109" t="n">
        <x:f>0.5*J138+0.3*I138+0.2*H138</x:f>
        <x:v>5.533529411764706</x:v>
      </x:c>
      <x:c r="O138" s="175" t="n">
        <x:v>16</x:v>
      </x:c>
      <x:c r="P138" s="175" t="n">
        <x:v>12</x:v>
      </x:c>
      <x:c r="Q138" s="175" t="n">
        <x:v>0</x:v>
      </x:c>
      <x:c r="R138" s="175" t="n">
        <x:v>106</x:v>
      </x:c>
      <x:c r="S138" s="175" t="n">
        <x:v>0</x:v>
      </x:c>
      <x:c r="T138" s="175" t="n">
        <x:v>6</x:v>
      </x:c>
      <x:c r="U138" s="175" t="n">
        <x:v>0</x:v>
      </x:c>
      <x:c r="V138" s="175" t="n">
        <x:f>SUM(S138:U138)</x:f>
        <x:v>6</x:v>
      </x:c>
      <x:c r="W138" s="108" t="str">
        <x:v>https://fantasy.espn.com/football/leaders?leagueId=555583&amp;lineupSlot=4&amp;scoringPeriodId=0&amp;statSplit=lastSeason</x:v>
      </x:c>
    </x:row>
    <x:row r="139">
      <x:c r="A139" s="108" t="str">
        <x:v>WR</x:v>
      </x:c>
      <x:c r="B139" s="175" t="n">
        <x:f>1+COUNTIFS($A$4:$A$356,A139,$J$4:$J$356,"&gt;"&amp;J139)</x:f>
        <x:v>44</x:v>
      </x:c>
      <x:c r="C139" s="175" t="n">
        <x:v>56</x:v>
      </x:c>
      <x:c r="D139" s="108" t="str">
        <x:v>Jerry Jeudy</x:v>
      </x:c>
      <x:c r="E139" s="108" t="str">
        <x:v>CLE</x:v>
      </x:c>
      <x:c r="F139" s="108" t="str">
        <x:v>CLE</x:v>
      </x:c>
      <x:c r="G139" s="109" t="n">
        <x:v>97.7</x:v>
      </x:c>
      <x:c r="H139" s="109" t="n">
        <x:f>'Weekly Points'!W139</x:f>
        <x:v>5.747058823529413</x:v>
      </x:c>
      <x:c r="I139" s="109" t="n">
        <x:f>'Weekly Points'!X139</x:f>
        <x:v>3.6</x:v>
      </x:c>
      <x:c r="J139" s="109" t="n">
        <x:f>'Weekly Points'!Y139</x:f>
        <x:v>2.7</x:v>
      </x:c>
      <x:c r="K139" s="109" t="n">
        <x:f>'Weekly Points'!Z139</x:f>
        <x:v>4.705455863026741</x:v>
      </x:c>
      <x:c r="L139" s="173" t="n">
        <x:f>'Weekly Points'!AA139</x:f>
        <x:v>0.818758952624919</x:v>
      </x:c>
      <x:c r="M139" s="173" t="n">
        <x:f>'Weekly Points'!AB139</x:f>
        <x:v>0.35294117647058826</x:v>
      </x:c>
      <x:c r="N139" s="109" t="n">
        <x:f>0.5*J139+0.3*I139+0.2*H139</x:f>
        <x:v>3.579411764705883</x:v>
      </x:c>
      <x:c r="O139" s="175" t="n">
        <x:v>16</x:v>
      </x:c>
      <x:c r="P139" s="175" t="n">
        <x:v>9</x:v>
      </x:c>
      <x:c r="Q139" s="175" t="n">
        <x:v>1</x:v>
      </x:c>
      <x:c r="R139" s="175" t="n">
        <x:v>106</x:v>
      </x:c>
      <x:c r="S139" s="175" t="n">
        <x:v>0</x:v>
      </x:c>
      <x:c r="T139" s="175" t="n">
        <x:v>2</x:v>
      </x:c>
      <x:c r="U139" s="175" t="n">
        <x:v>0</x:v>
      </x:c>
      <x:c r="V139" s="175" t="n">
        <x:f>SUM(S139:U139)</x:f>
        <x:v>2</x:v>
      </x:c>
      <x:c r="W139" s="108" t="str">
        <x:v>https://fantasy.espn.com/football/leaders?leagueId=555583&amp;lineupSlot=4&amp;scoringPeriodId=0&amp;statSplit=lastSeason</x:v>
      </x:c>
    </x:row>
    <x:row r="140">
      <x:c r="A140" s="108" t="str">
        <x:v>WR</x:v>
      </x:c>
      <x:c r="B140" s="175" t="n">
        <x:f>1+COUNTIFS($A$4:$A$356,A140,$J$4:$J$356,"&gt;"&amp;J140)</x:f>
        <x:v>45</x:v>
      </x:c>
      <x:c r="C140" s="175" t="n">
        <x:v>34</x:v>
      </x:c>
      <x:c r="D140" s="108" t="str">
        <x:v>DJ Moore</x:v>
      </x:c>
      <x:c r="E140" s="108" t="str">
        <x:v>CHI</x:v>
      </x:c>
      <x:c r="F140" s="108" t="str">
        <x:v>CHI</x:v>
      </x:c>
      <x:c r="G140" s="109" t="n">
        <x:v>147.2</x:v>
      </x:c>
      <x:c r="H140" s="109" t="n">
        <x:f>'Weekly Points'!W140</x:f>
        <x:v>8.658823529411764</x:v>
      </x:c>
      <x:c r="I140" s="109" t="n">
        <x:f>'Weekly Points'!X140</x:f>
        <x:v>6.7</x:v>
      </x:c>
      <x:c r="J140" s="109" t="n">
        <x:f>'Weekly Points'!Y140</x:f>
        <x:v>2.6</x:v>
      </x:c>
      <x:c r="K140" s="109" t="n">
        <x:f>'Weekly Points'!Z140</x:f>
        <x:v>7.497062862020927</x:v>
      </x:c>
      <x:c r="L140" s="173" t="n">
        <x:f>'Weekly Points'!AA140</x:f>
        <x:v>0.8658292707496995</x:v>
      </x:c>
      <x:c r="M140" s="173" t="n">
        <x:f>'Weekly Points'!AB140</x:f>
        <x:v>0.35294117647058826</x:v>
      </x:c>
      <x:c r="N140" s="109" t="n">
        <x:f>0.5*J140+0.3*I140+0.2*H140</x:f>
        <x:v>5.041764705882352</x:v>
      </x:c>
      <x:c r="O140" s="175" t="n">
        <x:v>16</x:v>
      </x:c>
      <x:c r="P140" s="175" t="n">
        <x:v>5</x:v>
      </x:c>
      <x:c r="Q140" s="175" t="n">
        <x:v>15</x:v>
      </x:c>
      <x:c r="R140" s="175" t="n">
        <x:v>85</x:v>
      </x:c>
      <x:c r="S140" s="175" t="n">
        <x:v>1</x:v>
      </x:c>
      <x:c r="T140" s="175" t="n">
        <x:v>6</x:v>
      </x:c>
      <x:c r="U140" s="175" t="n">
        <x:v>0</x:v>
      </x:c>
      <x:c r="V140" s="175" t="n">
        <x:f>SUM(S140:U140)</x:f>
        <x:v>7</x:v>
      </x:c>
      <x:c r="W140" s="108" t="str">
        <x:v>https://fantasy.espn.com/football/leaders?leagueId=555583&amp;lineupSlot=4&amp;scoringPeriodId=0&amp;statSplit=lastSeason</x:v>
      </x:c>
    </x:row>
    <x:row r="141">
      <x:c r="A141" s="108" t="str">
        <x:v>WR</x:v>
      </x:c>
      <x:c r="B141" s="175" t="n">
        <x:f>1+COUNTIFS($A$4:$A$356,A141,$J$4:$J$356,"&gt;"&amp;J141)</x:f>
        <x:v>46</x:v>
      </x:c>
      <x:c r="C141" s="175" t="n">
        <x:v>59</x:v>
      </x:c>
      <x:c r="D141" s="108" t="str">
        <x:v>Elic Ayomanor</x:v>
      </x:c>
      <x:c r="E141" s="108" t="str">
        <x:v>TEN</x:v>
      </x:c>
      <x:c r="F141" s="108" t="str">
        <x:v>TEN</x:v>
      </x:c>
      <x:c r="G141" s="109" t="n">
        <x:v>96</x:v>
      </x:c>
      <x:c r="H141" s="109" t="n">
        <x:f>'Weekly Points'!W141</x:f>
        <x:v>5.647058823529413</x:v>
      </x:c>
      <x:c r="I141" s="109" t="n">
        <x:f>'Weekly Points'!X141</x:f>
        <x:v>5.4</x:v>
      </x:c>
      <x:c r="J141" s="109" t="n">
        <x:f>'Weekly Points'!Y141</x:f>
        <x:v>2.3</x:v>
      </x:c>
      <x:c r="K141" s="109" t="n">
        <x:f>'Weekly Points'!Z141</x:f>
        <x:v>3.8452595180619054</x:v>
      </x:c>
      <x:c r="L141" s="173" t="n">
        <x:f>'Weekly Points'!AA141</x:f>
        <x:v>0.680931372990129</x:v>
      </x:c>
      <x:c r="M141" s="173" t="n">
        <x:f>'Weekly Points'!AB141</x:f>
        <x:v>0.35294117647058826</x:v>
      </x:c>
      <x:c r="N141" s="109" t="n">
        <x:f>0.5*J141+0.3*I141+0.2*H141</x:f>
        <x:v>3.8994117647058824</x:v>
      </x:c>
      <x:c r="O141" s="175" t="n">
        <x:v>16</x:v>
      </x:c>
      <x:c r="P141" s="175" t="n">
        <x:v>10</x:v>
      </x:c>
      <x:c r="Q141" s="175" t="n">
        <x:v>0</x:v>
      </x:c>
      <x:c r="R141" s="175" t="n">
        <x:v>89</x:v>
      </x:c>
      <x:c r="S141" s="175" t="n">
        <x:v>0</x:v>
      </x:c>
      <x:c r="T141" s="175" t="n">
        <x:v>4</x:v>
      </x:c>
      <x:c r="U141" s="175" t="n">
        <x:v>0</x:v>
      </x:c>
      <x:c r="V141" s="175" t="n">
        <x:f>SUM(S141:U141)</x:f>
        <x:v>4</x:v>
      </x:c>
      <x:c r="W141" s="108" t="str">
        <x:v>https://fantasy.espn.com/football/leaders?leagueId=555583&amp;lineupSlot=4&amp;scoringPeriodId=0&amp;statSplit=lastSeason</x:v>
      </x:c>
    </x:row>
    <x:row r="142">
      <x:c r="A142" s="108" t="str">
        <x:v>WR</x:v>
      </x:c>
      <x:c r="B142" s="175" t="n">
        <x:f>1+COUNTIFS($A$4:$A$356,A142,$J$4:$J$356,"&gt;"&amp;J142)</x:f>
        <x:v>46</x:v>
      </x:c>
      <x:c r="C142" s="175" t="n">
        <x:v>14</x:v>
      </x:c>
      <x:c r="D142" s="108" t="str">
        <x:v>A.J. Brown</x:v>
      </x:c>
      <x:c r="E142" s="108" t="str">
        <x:v>PHI</x:v>
      </x:c>
      <x:c r="F142" s="108" t="str">
        <x:v>PHI</x:v>
      </x:c>
      <x:c r="G142" s="109" t="n">
        <x:v>181.3</x:v>
      </x:c>
      <x:c r="H142" s="109" t="n">
        <x:f>'Weekly Points'!W142</x:f>
        <x:v>10.664705882352942</x:v>
      </x:c>
      <x:c r="I142" s="109" t="n">
        <x:f>'Weekly Points'!X142</x:f>
        <x:v>9.3</x:v>
      </x:c>
      <x:c r="J142" s="109" t="n">
        <x:f>'Weekly Points'!Y142</x:f>
        <x:v>2.3</x:v>
      </x:c>
      <x:c r="K142" s="109" t="n">
        <x:f>'Weekly Points'!Z142</x:f>
        <x:v>8.898641084389736</x:v>
      </x:c>
      <x:c r="L142" s="173" t="n">
        <x:f>'Weekly Points'!AA142</x:f>
        <x:v>0.8344009841953971</x:v>
      </x:c>
      <x:c r="M142" s="173" t="n">
        <x:f>'Weekly Points'!AB142</x:f>
        <x:v>0.35294117647058826</x:v>
      </x:c>
      <x:c r="N142" s="109" t="n">
        <x:f>0.5*J142+0.3*I142+0.2*H142</x:f>
        <x:v>6.0729411764705885</x:v>
      </x:c>
      <x:c r="O142" s="175" t="n">
        <x:v>15</x:v>
      </x:c>
      <x:c r="P142" s="175" t="n">
        <x:v>9</x:v>
      </x:c>
      <x:c r="Q142" s="175" t="n">
        <x:v>0</x:v>
      </x:c>
      <x:c r="R142" s="175" t="n">
        <x:v>121</x:v>
      </x:c>
      <x:c r="S142" s="175" t="n">
        <x:v>0</x:v>
      </x:c>
      <x:c r="T142" s="175" t="n">
        <x:v>7</x:v>
      </x:c>
      <x:c r="U142" s="175" t="n">
        <x:v>0</x:v>
      </x:c>
      <x:c r="V142" s="175" t="n">
        <x:f>SUM(S142:U142)</x:f>
        <x:v>7</x:v>
      </x:c>
      <x:c r="W142" s="108" t="str">
        <x:v>https://fantasy.espn.com/football/leaders?leagueId=555583&amp;lineupSlot=4&amp;scoringPeriodId=0&amp;statSplit=lastSeason</x:v>
      </x:c>
    </x:row>
    <x:row r="143">
      <x:c r="A143" s="108" t="str">
        <x:v>WR</x:v>
      </x:c>
      <x:c r="B143" s="175" t="n">
        <x:f>1+COUNTIFS($A$4:$A$356,A143,$J$4:$J$356,"&gt;"&amp;J143)</x:f>
        <x:v>48</x:v>
      </x:c>
      <x:c r="C143" s="175" t="n">
        <x:v>51</x:v>
      </x:c>
      <x:c r="D143" s="108" t="str">
        <x:v>Jayden Higgins</x:v>
      </x:c>
      <x:c r="E143" s="108" t="str">
        <x:v>HOU</x:v>
      </x:c>
      <x:c r="F143" s="108" t="str">
        <x:v>HOU</x:v>
      </x:c>
      <x:c r="G143" s="109" t="n">
        <x:v>111</x:v>
      </x:c>
      <x:c r="H143" s="109" t="n">
        <x:f>'Weekly Points'!W143</x:f>
        <x:v>6.529411764705882</x:v>
      </x:c>
      <x:c r="I143" s="109" t="n">
        <x:f>'Weekly Points'!X143</x:f>
        <x:v>5.2</x:v>
      </x:c>
      <x:c r="J143" s="109" t="n">
        <x:f>'Weekly Points'!Y143</x:f>
        <x:v>2.2</x:v>
      </x:c>
      <x:c r="K143" s="109" t="n">
        <x:f>'Weekly Points'!Z143</x:f>
        <x:v>4.92625197056633</x:v>
      </x:c>
      <x:c r="L143" s="173" t="n">
        <x:f>'Weekly Points'!AA143</x:f>
        <x:v>0.7544710225191676</x:v>
      </x:c>
      <x:c r="M143" s="173" t="n">
        <x:f>'Weekly Points'!AB143</x:f>
        <x:v>0.29411764705882354</x:v>
      </x:c>
      <x:c r="N143" s="109" t="n">
        <x:f>0.5*J143+0.3*I143+0.2*H143</x:f>
        <x:v>3.9658823529411764</x:v>
      </x:c>
      <x:c r="O143" s="175" t="n">
        <x:v>16</x:v>
      </x:c>
      <x:c r="P143" s="175" t="n">
        <x:v>6</x:v>
      </x:c>
      <x:c r="Q143" s="175" t="n">
        <x:v>0</x:v>
      </x:c>
      <x:c r="R143" s="175" t="n">
        <x:v>68</x:v>
      </x:c>
      <x:c r="S143" s="175" t="n">
        <x:v>0</x:v>
      </x:c>
      <x:c r="T143" s="175" t="n">
        <x:v>6</x:v>
      </x:c>
      <x:c r="U143" s="175" t="n">
        <x:v>0</x:v>
      </x:c>
      <x:c r="V143" s="175" t="n">
        <x:f>SUM(S143:U143)</x:f>
        <x:v>6</x:v>
      </x:c>
      <x:c r="W143" s="108" t="str">
        <x:v>https://fantasy.espn.com/football/leaders?leagueId=555583&amp;lineupSlot=4&amp;scoringPeriodId=0&amp;statSplit=lastSeason</x:v>
      </x:c>
    </x:row>
    <x:row r="144">
      <x:c r="A144" s="108" t="str">
        <x:v>WR</x:v>
      </x:c>
      <x:c r="B144" s="175" t="n">
        <x:f>1+COUNTIFS($A$4:$A$356,A144,$J$4:$J$356,"&gt;"&amp;J144)</x:f>
        <x:v>49</x:v>
      </x:c>
      <x:c r="C144" s="175" t="n">
        <x:v>53</x:v>
      </x:c>
      <x:c r="D144" s="108" t="str">
        <x:v>Kayshon Boutte</x:v>
      </x:c>
      <x:c r="E144" s="108" t="str">
        <x:v>NE</x:v>
      </x:c>
      <x:c r="F144" s="108" t="str">
        <x:v>NE</x:v>
      </x:c>
      <x:c r="G144" s="109" t="n">
        <x:v>107.6</x:v>
      </x:c>
      <x:c r="H144" s="109" t="n">
        <x:f>'Weekly Points'!W144</x:f>
        <x:v>6.329411764705882</x:v>
      </x:c>
      <x:c r="I144" s="109" t="n">
        <x:f>'Weekly Points'!X144</x:f>
        <x:v>3.5</x:v>
      </x:c>
      <x:c r="J144" s="109" t="n">
        <x:f>'Weekly Points'!Y144</x:f>
        <x:v>2.1</x:v>
      </x:c>
      <x:c r="K144" s="109" t="n">
        <x:f>'Weekly Points'!Z144</x:f>
        <x:v>6.549518590829886</x:v>
      </x:c>
      <x:c r="L144" s="173" t="n">
        <x:f>'Weekly Points'!AA144</x:f>
        <x:v>1.034775242045614</x:v>
      </x:c>
      <x:c r="M144" s="173" t="n">
        <x:f>'Weekly Points'!AB144</x:f>
        <x:v>0.4117647058823529</x:v>
      </x:c>
      <x:c r="N144" s="109" t="n">
        <x:f>0.5*J144+0.3*I144+0.2*H144</x:f>
        <x:v>3.3658823529411768</x:v>
      </x:c>
      <x:c r="O144" s="175" t="n">
        <x:v>13</x:v>
      </x:c>
      <x:c r="P144" s="175" t="n">
        <x:v>14</x:v>
      </x:c>
      <x:c r="Q144" s="175" t="n">
        <x:v>0</x:v>
      </x:c>
      <x:c r="R144" s="175" t="n">
        <x:v>46</x:v>
      </x:c>
      <x:c r="S144" s="175" t="n">
        <x:v>0</x:v>
      </x:c>
      <x:c r="T144" s="175" t="n">
        <x:v>6</x:v>
      </x:c>
      <x:c r="U144" s="175" t="n">
        <x:v>0</x:v>
      </x:c>
      <x:c r="V144" s="175" t="n">
        <x:f>SUM(S144:U144)</x:f>
        <x:v>6</x:v>
      </x:c>
      <x:c r="W144" s="108" t="str">
        <x:v>https://fantasy.espn.com/football/leaders?leagueId=555583&amp;lineupSlot=4&amp;scoringPeriodId=0&amp;statSplit=lastSeason</x:v>
      </x:c>
    </x:row>
    <x:row r="145">
      <x:c r="A145" s="108" t="str">
        <x:v>WR</x:v>
      </x:c>
      <x:c r="B145" s="175" t="n">
        <x:f>1+COUNTIFS($A$4:$A$356,A145,$J$4:$J$356,"&gt;"&amp;J145)</x:f>
        <x:v>50</x:v>
      </x:c>
      <x:c r="C145" s="175" t="n">
        <x:v>109</x:v>
      </x:c>
      <x:c r="D145" s="108" t="str">
        <x:v>Devin Duvernay</x:v>
      </x:c>
      <x:c r="E145" s="108" t="str">
        <x:v>CHI</x:v>
      </x:c>
      <x:c r="F145" s="108" t="str">
        <x:v>CHI</x:v>
      </x:c>
      <x:c r="G145" s="109" t="n">
        <x:v>47.22</x:v>
      </x:c>
      <x:c r="H145" s="109" t="n">
        <x:f>'Weekly Points'!W145</x:f>
        <x:v>2.777647058823529</x:v>
      </x:c>
      <x:c r="I145" s="109" t="n">
        <x:f>'Weekly Points'!X145</x:f>
        <x:v>2.64</x:v>
      </x:c>
      <x:c r="J145" s="109" t="n">
        <x:f>'Weekly Points'!Y145</x:f>
        <x:v>2.03</x:v>
      </x:c>
      <x:c r="K145" s="109" t="n">
        <x:f>'Weekly Points'!Z145</x:f>
        <x:v>1.332037490250378</x:v>
      </x:c>
      <x:c r="L145" s="173" t="n">
        <x:f>'Weekly Points'!AA145</x:f>
        <x:v>0.47955606383431654</x:v>
      </x:c>
      <x:c r="M145" s="173" t="n">
        <x:f>'Weekly Points'!AB145</x:f>
        <x:v>0.23529411764705882</x:v>
      </x:c>
      <x:c r="N145" s="109" t="n">
        <x:f>0.5*J145+0.3*I145+0.2*H145</x:f>
        <x:v>2.3625294117647058</x:v>
      </x:c>
      <x:c r="O145" s="175" t="n">
        <x:v>17</x:v>
      </x:c>
      <x:c r="P145" s="175" t="n">
        <x:v>5</x:v>
      </x:c>
      <x:c r="Q145" s="175" t="n">
        <x:v>0</x:v>
      </x:c>
      <x:c r="R145" s="175" t="n">
        <x:v>5</x:v>
      </x:c>
      <x:c r="S145" s="175" t="n">
        <x:v>0</x:v>
      </x:c>
      <x:c r="T145" s="175" t="n">
        <x:v>0</x:v>
      </x:c>
      <x:c r="U145" s="175" t="n">
        <x:v>0</x:v>
      </x:c>
      <x:c r="V145" s="175" t="n">
        <x:f>SUM(S145:U145)</x:f>
        <x:v>0</x:v>
      </x:c>
      <x:c r="W145" s="108" t="str">
        <x:v>https://fantasy.espn.com/football/leaders?leagueId=555583&amp;lineupSlot=4&amp;scoringPeriodId=0&amp;statSplit=lastSeason</x:v>
      </x:c>
    </x:row>
    <x:row r="146">
      <x:c r="A146" s="108" t="str">
        <x:v>WR</x:v>
      </x:c>
      <x:c r="B146" s="175" t="n">
        <x:f>1+COUNTIFS($A$4:$A$356,A146,$J$4:$J$356,"&gt;"&amp;J146)</x:f>
        <x:v>51</x:v>
      </x:c>
      <x:c r="C146" s="175" t="n">
        <x:v>104</x:v>
      </x:c>
      <x:c r="D146" s="108" t="str">
        <x:v>Myles Price</x:v>
      </x:c>
      <x:c r="E146" s="108" t="str">
        <x:v>MIN</x:v>
      </x:c>
      <x:c r="F146" s="108" t="str">
        <x:v>MIN</x:v>
      </x:c>
      <x:c r="G146" s="109" t="n">
        <x:v>52.77</x:v>
      </x:c>
      <x:c r="H146" s="109" t="n">
        <x:f>'Weekly Points'!W146</x:f>
        <x:v>3.104117647058824</x:v>
      </x:c>
      <x:c r="I146" s="109" t="n">
        <x:f>'Weekly Points'!X146</x:f>
        <x:v>2.35</x:v>
      </x:c>
      <x:c r="J146" s="109" t="n">
        <x:f>'Weekly Points'!Y146</x:f>
        <x:v>2.01</x:v>
      </x:c>
      <x:c r="K146" s="109" t="n">
        <x:f>'Weekly Points'!Z146</x:f>
        <x:v>1.8631253275502349</x:v>
      </x:c>
      <x:c r="L146" s="173" t="n">
        <x:f>'Weekly Points'!AA146</x:f>
        <x:v>0.6002109260631796</x:v>
      </x:c>
      <x:c r="M146" s="173" t="n">
        <x:f>'Weekly Points'!AB146</x:f>
        <x:v>0.23529411764705882</x:v>
      </x:c>
      <x:c r="N146" s="109" t="n">
        <x:f>0.5*J146+0.3*I146+0.2*H146</x:f>
        <x:v>2.3308235294117647</x:v>
      </x:c>
      <x:c r="O146" s="175" t="n">
        <x:v>16</x:v>
      </x:c>
      <x:c r="P146" s="175" t="n">
        <x:v>6</x:v>
      </x:c>
      <x:c r="Q146" s="175" t="n">
        <x:v>0</x:v>
      </x:c>
      <x:c r="R146" s="175" t="n">
        <x:v>0</x:v>
      </x:c>
      <x:c r="S146" s="175" t="n">
        <x:v>0</x:v>
      </x:c>
      <x:c r="T146" s="175" t="n">
        <x:v>0</x:v>
      </x:c>
      <x:c r="U146" s="175" t="n">
        <x:v>0</x:v>
      </x:c>
      <x:c r="V146" s="175" t="n">
        <x:f>SUM(S146:U146)</x:f>
        <x:v>0</x:v>
      </x:c>
      <x:c r="W146" s="108" t="str">
        <x:v>https://fantasy.espn.com/football/leaders?leagueId=555583&amp;lineupSlot=4&amp;scoringPeriodId=0&amp;statSplit=lastSeason</x:v>
      </x:c>
    </x:row>
    <x:row r="147">
      <x:c r="A147" s="108" t="str">
        <x:v>WR</x:v>
      </x:c>
      <x:c r="B147" s="175" t="n">
        <x:f>1+COUNTIFS($A$4:$A$356,A147,$J$4:$J$356,"&gt;"&amp;J147)</x:f>
        <x:v>52</x:v>
      </x:c>
      <x:c r="C147" s="175" t="n">
        <x:v>85</x:v>
      </x:c>
      <x:c r="D147" s="108" t="str">
        <x:v>Darnell Mooney</x:v>
      </x:c>
      <x:c r="E147" s="108" t="str">
        <x:v>ATL</x:v>
      </x:c>
      <x:c r="F147" s="108" t="str">
        <x:v>ATL</x:v>
      </x:c>
      <x:c r="G147" s="109" t="n">
        <x:v>67.3</x:v>
      </x:c>
      <x:c r="H147" s="109" t="n">
        <x:f>'Weekly Points'!W147</x:f>
        <x:v>3.9588235294117653</x:v>
      </x:c>
      <x:c r="I147" s="109" t="n">
        <x:f>'Weekly Points'!X147</x:f>
        <x:v>3.4</x:v>
      </x:c>
      <x:c r="J147" s="109" t="n">
        <x:f>'Weekly Points'!Y147</x:f>
        <x:v>2</x:v>
      </x:c>
      <x:c r="K147" s="109" t="n">
        <x:f>'Weekly Points'!Z147</x:f>
        <x:v>3.839126558680244</x:v>
      </x:c>
      <x:c r="L147" s="173" t="n">
        <x:f>'Weekly Points'!AA147</x:f>
        <x:v>0.9697645096220526</x:v>
      </x:c>
      <x:c r="M147" s="173" t="n">
        <x:f>'Weekly Points'!AB147</x:f>
        <x:v>0.23529411764705882</x:v>
      </x:c>
      <x:c r="N147" s="109" t="n">
        <x:f>0.5*J147+0.3*I147+0.2*H147</x:f>
        <x:v>2.811764705882353</x:v>
      </x:c>
      <x:c r="O147" s="175" t="n">
        <x:v>15</x:v>
      </x:c>
      <x:c r="P147" s="175" t="n">
        <x:v>5</x:v>
      </x:c>
      <x:c r="Q147" s="175" t="n">
        <x:v>0</x:v>
      </x:c>
      <x:c r="R147" s="175" t="n">
        <x:v>72</x:v>
      </x:c>
      <x:c r="S147" s="175" t="n">
        <x:v>0</x:v>
      </x:c>
      <x:c r="T147" s="175" t="n">
        <x:v>1</x:v>
      </x:c>
      <x:c r="U147" s="175" t="n">
        <x:v>0</x:v>
      </x:c>
      <x:c r="V147" s="175" t="n">
        <x:f>SUM(S147:U147)</x:f>
        <x:v>1</x:v>
      </x:c>
      <x:c r="W147" s="108" t="str">
        <x:v>https://fantasy.espn.com/football/leaders?leagueId=555583&amp;lineupSlot=4&amp;scoringPeriodId=0&amp;statSplit=lastSeason</x:v>
      </x:c>
    </x:row>
    <x:row r="148">
      <x:c r="A148" s="108" t="str">
        <x:v>WR</x:v>
      </x:c>
      <x:c r="B148" s="175" t="n">
        <x:f>1+COUNTIFS($A$4:$A$356,A148,$J$4:$J$356,"&gt;"&amp;J148)</x:f>
        <x:v>53</x:v>
      </x:c>
      <x:c r="C148" s="175" t="n">
        <x:v>49</x:v>
      </x:c>
      <x:c r="D148" s="108" t="str">
        <x:v>Luther Burden III</x:v>
      </x:c>
      <x:c r="E148" s="108" t="str">
        <x:v>CHI</x:v>
      </x:c>
      <x:c r="F148" s="108" t="str">
        <x:v>CHI</x:v>
      </x:c>
      <x:c r="G148" s="109" t="n">
        <x:v>113.09</x:v>
      </x:c>
      <x:c r="H148" s="109" t="n">
        <x:f>'Weekly Points'!W148</x:f>
        <x:v>6.6523529411764715</x:v>
      </x:c>
      <x:c r="I148" s="109" t="n">
        <x:f>'Weekly Points'!X148</x:f>
        <x:v>5.6</x:v>
      </x:c>
      <x:c r="J148" s="109" t="n">
        <x:f>'Weekly Points'!Y148</x:f>
        <x:v>1.98</x:v>
      </x:c>
      <x:c r="K148" s="109" t="n">
        <x:f>'Weekly Points'!Z148</x:f>
        <x:v>6.535605223706402</x:v>
      </x:c>
      <x:c r="L148" s="173" t="n">
        <x:f>'Weekly Points'!AA148</x:f>
        <x:v>0.9824501618446266</x:v>
      </x:c>
      <x:c r="M148" s="173" t="n">
        <x:f>'Weekly Points'!AB148</x:f>
        <x:v>0.35294117647058826</x:v>
      </x:c>
      <x:c r="N148" s="109" t="n">
        <x:f>0.5*J148+0.3*I148+0.2*H148</x:f>
        <x:v>4.000470588235294</x:v>
      </x:c>
      <x:c r="O148" s="175" t="n">
        <x:v>15</x:v>
      </x:c>
      <x:c r="P148" s="175" t="n">
        <x:v>5</x:v>
      </x:c>
      <x:c r="Q148" s="175" t="n">
        <x:v>6</x:v>
      </x:c>
      <x:c r="R148" s="175" t="n">
        <x:v>60</x:v>
      </x:c>
      <x:c r="S148" s="175" t="n">
        <x:v>0</x:v>
      </x:c>
      <x:c r="T148" s="175" t="n">
        <x:v>2</x:v>
      </x:c>
      <x:c r="U148" s="175" t="n">
        <x:v>0</x:v>
      </x:c>
      <x:c r="V148" s="175" t="n">
        <x:f>SUM(S148:U148)</x:f>
        <x:v>2</x:v>
      </x:c>
      <x:c r="W148" s="108" t="str">
        <x:v>https://fantasy.espn.com/football/leaders?leagueId=555583&amp;lineupSlot=4&amp;scoringPeriodId=0&amp;statSplit=lastSeason</x:v>
      </x:c>
    </x:row>
    <x:row r="149">
      <x:c r="A149" s="108" t="str">
        <x:v>WR</x:v>
      </x:c>
      <x:c r="B149" s="175" t="n">
        <x:f>1+COUNTIFS($A$4:$A$356,A149,$J$4:$J$356,"&gt;"&amp;J149)</x:f>
        <x:v>54</x:v>
      </x:c>
      <x:c r="C149" s="175" t="n">
        <x:v>89</x:v>
      </x:c>
      <x:c r="D149" s="108" t="str">
        <x:v>Xavier Smith</x:v>
      </x:c>
      <x:c r="E149" s="108" t="str">
        <x:v>LAR</x:v>
      </x:c>
      <x:c r="F149" s="108" t="str">
        <x:v>LAR</x:v>
      </x:c>
      <x:c r="G149" s="109" t="n">
        <x:v>60.88</x:v>
      </x:c>
      <x:c r="H149" s="109" t="n">
        <x:f>'Weekly Points'!W149</x:f>
        <x:v>3.581176470588235</x:v>
      </x:c>
      <x:c r="I149" s="109" t="n">
        <x:f>'Weekly Points'!X149</x:f>
        <x:v>2.65</x:v>
      </x:c>
      <x:c r="J149" s="109" t="n">
        <x:f>'Weekly Points'!Y149</x:f>
        <x:v>1.96</x:v>
      </x:c>
      <x:c r="K149" s="109" t="n">
        <x:f>'Weekly Points'!Z149</x:f>
        <x:v>3.014308783029099</x:v>
      </x:c>
      <x:c r="L149" s="173" t="n">
        <x:f>'Weekly Points'!AA149</x:f>
        <x:v>0.841709088559374</x:v>
      </x:c>
      <x:c r="M149" s="173" t="n">
        <x:f>'Weekly Points'!AB149</x:f>
        <x:v>0.23529411764705882</x:v>
      </x:c>
      <x:c r="N149" s="109" t="n">
        <x:f>0.5*J149+0.3*I149+0.2*H149</x:f>
        <x:v>2.491235294117647</x:v>
      </x:c>
      <x:c r="O149" s="175" t="n">
        <x:v>15</x:v>
      </x:c>
      <x:c r="P149" s="175" t="n">
        <x:v>8</x:v>
      </x:c>
      <x:c r="Q149" s="175" t="n">
        <x:v>0</x:v>
      </x:c>
      <x:c r="R149" s="175" t="n">
        <x:v>24</x:v>
      </x:c>
      <x:c r="S149" s="175" t="n">
        <x:v>0</x:v>
      </x:c>
      <x:c r="T149" s="175" t="n">
        <x:v>0</x:v>
      </x:c>
      <x:c r="U149" s="175" t="n">
        <x:v>0</x:v>
      </x:c>
      <x:c r="V149" s="175" t="n">
        <x:f>SUM(S149:U149)</x:f>
        <x:v>0</x:v>
      </x:c>
      <x:c r="W149" s="108" t="str">
        <x:v>https://fantasy.espn.com/football/leaders?leagueId=555583&amp;lineupSlot=4&amp;scoringPeriodId=0&amp;statSplit=lastSeason</x:v>
      </x:c>
    </x:row>
    <x:row r="150">
      <x:c r="A150" s="108" t="str">
        <x:v>WR</x:v>
      </x:c>
      <x:c r="B150" s="175" t="n">
        <x:f>1+COUNTIFS($A$4:$A$356,A150,$J$4:$J$356,"&gt;"&amp;J150)</x:f>
        <x:v>55</x:v>
      </x:c>
      <x:c r="C150" s="175" t="n">
        <x:v>123</x:v>
      </x:c>
      <x:c r="D150" s="108" t="str">
        <x:v>Jordan Whittington</x:v>
      </x:c>
      <x:c r="E150" s="108" t="str">
        <x:v>LAR</x:v>
      </x:c>
      <x:c r="F150" s="108" t="str">
        <x:v>LAR</x:v>
      </x:c>
      <x:c r="G150" s="109" t="n">
        <x:v>40.32</x:v>
      </x:c>
      <x:c r="H150" s="109" t="n">
        <x:f>'Weekly Points'!W150</x:f>
        <x:v>2.3717647058823528</x:v>
      </x:c>
      <x:c r="I150" s="109" t="n">
        <x:f>'Weekly Points'!X150</x:f>
        <x:v>2.62</x:v>
      </x:c>
      <x:c r="J150" s="109" t="n">
        <x:f>'Weekly Points'!Y150</x:f>
        <x:v>1.9</x:v>
      </x:c>
      <x:c r="K150" s="109" t="n">
        <x:f>'Weekly Points'!Z150</x:f>
        <x:v>1.526238109918007</x:v>
      </x:c>
      <x:c r="L150" s="173" t="n">
        <x:f>'Weekly Points'!AA150</x:f>
        <x:v>0.6435031713443978</x:v>
      </x:c>
      <x:c r="M150" s="173" t="n">
        <x:f>'Weekly Points'!AB150</x:f>
        <x:v>0.23529411764705882</x:v>
      </x:c>
      <x:c r="N150" s="109" t="n">
        <x:f>0.5*J150+0.3*I150+0.2*H150</x:f>
        <x:v>2.2103529411764704</x:v>
      </x:c>
      <x:c r="O150" s="175" t="n">
        <x:v>13</x:v>
      </x:c>
      <x:c r="P150" s="175" t="n">
        <x:v>8</x:v>
      </x:c>
      <x:c r="Q150" s="175" t="n">
        <x:v>3</x:v>
      </x:c>
      <x:c r="R150" s="175" t="n">
        <x:v>25</x:v>
      </x:c>
      <x:c r="S150" s="175" t="n">
        <x:v>0</x:v>
      </x:c>
      <x:c r="T150" s="175" t="n">
        <x:v>0</x:v>
      </x:c>
      <x:c r="U150" s="175" t="n">
        <x:v>0</x:v>
      </x:c>
      <x:c r="V150" s="175" t="n">
        <x:f>SUM(S150:U150)</x:f>
        <x:v>0</x:v>
      </x:c>
      <x:c r="W150" s="108" t="str">
        <x:v>https://fantasy.espn.com/football/leaders?leagueId=555583&amp;lineupSlot=4&amp;scoringPeriodId=0&amp;statSplit=lastSeason</x:v>
      </x:c>
    </x:row>
    <x:row r="151">
      <x:c r="A151" s="108" t="str">
        <x:v>WR</x:v>
      </x:c>
      <x:c r="B151" s="175" t="n">
        <x:f>1+COUNTIFS($A$4:$A$356,A151,$J$4:$J$356,"&gt;"&amp;J151)</x:f>
        <x:v>55</x:v>
      </x:c>
      <x:c r="C151" s="175" t="n">
        <x:v>63</x:v>
      </x:c>
      <x:c r="D151" s="108" t="str">
        <x:v>Mack Hollins</x:v>
      </x:c>
      <x:c r="E151" s="108" t="str">
        <x:v>NE</x:v>
      </x:c>
      <x:c r="F151" s="108" t="str">
        <x:v>NE</x:v>
      </x:c>
      <x:c r="G151" s="109" t="n">
        <x:v>89.9</x:v>
      </x:c>
      <x:c r="H151" s="109" t="n">
        <x:f>'Weekly Points'!W151</x:f>
        <x:v>5.288235294117648</x:v>
      </x:c>
      <x:c r="I151" s="109" t="n">
        <x:f>'Weekly Points'!X151</x:f>
        <x:v>4.7</x:v>
      </x:c>
      <x:c r="J151" s="109" t="n">
        <x:f>'Weekly Points'!Y151</x:f>
        <x:v>1.9</x:v>
      </x:c>
      <x:c r="K151" s="109" t="n">
        <x:f>'Weekly Points'!Z151</x:f>
        <x:v>4.095892110387039</x:v>
      </x:c>
      <x:c r="L151" s="173" t="n">
        <x:f>'Weekly Points'!AA151</x:f>
        <x:v>0.7745290976260251</x:v>
      </x:c>
      <x:c r="M151" s="173" t="n">
        <x:f>'Weekly Points'!AB151</x:f>
        <x:v>0.29411764705882354</x:v>
      </x:c>
      <x:c r="N151" s="109" t="n">
        <x:f>0.5*J151+0.3*I151+0.2*H151</x:f>
        <x:v>3.4176470588235297</x:v>
      </x:c>
      <x:c r="O151" s="175" t="n">
        <x:v>14</x:v>
      </x:c>
      <x:c r="P151" s="175" t="n">
        <x:v>14</x:v>
      </x:c>
      <x:c r="Q151" s="175" t="n">
        <x:v>1</x:v>
      </x:c>
      <x:c r="R151" s="175" t="n">
        <x:v>65</x:v>
      </x:c>
      <x:c r="S151" s="175" t="n">
        <x:v>0</x:v>
      </x:c>
      <x:c r="T151" s="175" t="n">
        <x:v>2</x:v>
      </x:c>
      <x:c r="U151" s="175" t="n">
        <x:v>0</x:v>
      </x:c>
      <x:c r="V151" s="175" t="n">
        <x:f>SUM(S151:U151)</x:f>
        <x:v>2</x:v>
      </x:c>
      <x:c r="W151" s="108" t="str">
        <x:v>https://fantasy.espn.com/football/leaders?leagueId=555583&amp;lineupSlot=4&amp;scoringPeriodId=0&amp;statSplit=lastSeason</x:v>
      </x:c>
    </x:row>
    <x:row r="152">
      <x:c r="A152" s="108" t="str">
        <x:v>WR</x:v>
      </x:c>
      <x:c r="B152" s="175" t="n">
        <x:f>1+COUNTIFS($A$4:$A$356,A152,$J$4:$J$356,"&gt;"&amp;J152)</x:f>
        <x:v>57</x:v>
      </x:c>
      <x:c r="C152" s="175" t="n">
        <x:v>71</x:v>
      </x:c>
      <x:c r="D152" s="108" t="str">
        <x:v>Xavier Hutchinson</x:v>
      </x:c>
      <x:c r="E152" s="108" t="str">
        <x:v>HOU</x:v>
      </x:c>
      <x:c r="F152" s="108" t="str">
        <x:v>HOU</x:v>
      </x:c>
      <x:c r="G152" s="109" t="n">
        <x:v>80.5</x:v>
      </x:c>
      <x:c r="H152" s="109" t="n">
        <x:f>'Weekly Points'!W152</x:f>
        <x:v>4.73529411764706</x:v>
      </x:c>
      <x:c r="I152" s="109" t="n">
        <x:f>'Weekly Points'!X152</x:f>
        <x:v>3.9</x:v>
      </x:c>
      <x:c r="J152" s="109" t="n">
        <x:f>'Weekly Points'!Y152</x:f>
        <x:v>1.8</x:v>
      </x:c>
      <x:c r="K152" s="109" t="n">
        <x:f>'Weekly Points'!Z152</x:f>
        <x:v>4.61747845327252</x:v>
      </x:c>
      <x:c r="L152" s="173" t="n">
        <x:f>'Weekly Points'!AA152</x:f>
        <x:v>0.9751196733618984</x:v>
      </x:c>
      <x:c r="M152" s="173" t="n">
        <x:f>'Weekly Points'!AB152</x:f>
        <x:v>0.35294117647058826</x:v>
      </x:c>
      <x:c r="N152" s="109" t="n">
        <x:f>0.5*J152+0.3*I152+0.2*H152</x:f>
        <x:v>3.017058823529412</x:v>
      </x:c>
      <x:c r="O152" s="175" t="n">
        <x:v>15</x:v>
      </x:c>
      <x:c r="P152" s="175" t="n">
        <x:v>6</x:v>
      </x:c>
      <x:c r="Q152" s="175" t="n">
        <x:v>3</x:v>
      </x:c>
      <x:c r="R152" s="175" t="n">
        <x:v>57</x:v>
      </x:c>
      <x:c r="S152" s="175" t="n">
        <x:v>0</x:v>
      </x:c>
      <x:c r="T152" s="175" t="n">
        <x:v>3</x:v>
      </x:c>
      <x:c r="U152" s="175" t="n">
        <x:v>0</x:v>
      </x:c>
      <x:c r="V152" s="175" t="n">
        <x:f>SUM(S152:U152)</x:f>
        <x:v>3</x:v>
      </x:c>
      <x:c r="W152" s="108" t="str">
        <x:v>https://fantasy.espn.com/football/leaders?leagueId=555583&amp;lineupSlot=4&amp;scoringPeriodId=0&amp;statSplit=lastSeason</x:v>
      </x:c>
    </x:row>
    <x:row r="153">
      <x:c r="A153" s="108" t="str">
        <x:v>WR</x:v>
      </x:c>
      <x:c r="B153" s="175" t="n">
        <x:f>1+COUNTIFS($A$4:$A$356,A153,$J$4:$J$356,"&gt;"&amp;J153)</x:f>
        <x:v>58</x:v>
      </x:c>
      <x:c r="C153" s="175" t="n">
        <x:v>103</x:v>
      </x:c>
      <x:c r="D153" s="108" t="str">
        <x:v>Skyy Moore</x:v>
      </x:c>
      <x:c r="E153" s="108" t="str">
        <x:v>SF</x:v>
      </x:c>
      <x:c r="F153" s="108" t="str">
        <x:v>SF</x:v>
      </x:c>
      <x:c r="G153" s="109" t="n">
        <x:v>53.56</x:v>
      </x:c>
      <x:c r="H153" s="109" t="n">
        <x:f>'Weekly Points'!W153</x:f>
        <x:v>3.150588235294118</x:v>
      </x:c>
      <x:c r="I153" s="109" t="n">
        <x:f>'Weekly Points'!X153</x:f>
        <x:v>3.39</x:v>
      </x:c>
      <x:c r="J153" s="109" t="n">
        <x:f>'Weekly Points'!Y153</x:f>
        <x:v>1.75</x:v>
      </x:c>
      <x:c r="K153" s="109" t="n">
        <x:f>'Weekly Points'!Z153</x:f>
        <x:v>1.8406503664809069</x:v>
      </x:c>
      <x:c r="L153" s="173" t="n">
        <x:f>'Weekly Points'!AA153</x:f>
        <x:v>0.5842243508247836</x:v>
      </x:c>
      <x:c r="M153" s="173" t="n">
        <x:f>'Weekly Points'!AB153</x:f>
        <x:v>0.23529411764705882</x:v>
      </x:c>
      <x:c r="N153" s="109" t="n">
        <x:f>0.5*J153+0.3*I153+0.2*H153</x:f>
        <x:v>2.5221176470588236</x:v>
      </x:c>
      <x:c r="O153" s="175" t="n">
        <x:v>16</x:v>
      </x:c>
      <x:c r="P153" s="175" t="n">
        <x:v>14</x:v>
      </x:c>
      <x:c r="Q153" s="175" t="n">
        <x:v>2</x:v>
      </x:c>
      <x:c r="R153" s="175" t="n">
        <x:v>7</x:v>
      </x:c>
      <x:c r="S153" s="175" t="n">
        <x:v>0</x:v>
      </x:c>
      <x:c r="T153" s="175" t="n">
        <x:v>0</x:v>
      </x:c>
      <x:c r="U153" s="175" t="n">
        <x:v>0</x:v>
      </x:c>
      <x:c r="V153" s="175" t="n">
        <x:f>SUM(S153:U153)</x:f>
        <x:v>0</x:v>
      </x:c>
      <x:c r="W153" s="108" t="str">
        <x:v>https://fantasy.espn.com/football/leaders?leagueId=555583&amp;lineupSlot=4&amp;scoringPeriodId=0&amp;statSplit=lastSeason</x:v>
      </x:c>
    </x:row>
    <x:row r="154">
      <x:c r="A154" s="108" t="str">
        <x:v>WR</x:v>
      </x:c>
      <x:c r="B154" s="175" t="n">
        <x:f>1+COUNTIFS($A$4:$A$356,A154,$J$4:$J$356,"&gt;"&amp;J154)</x:f>
        <x:v>58</x:v>
      </x:c>
      <x:c r="C154" s="175" t="n">
        <x:v>62</x:v>
      </x:c>
      <x:c r="D154" s="108" t="str">
        <x:v>Isaiah Williams</x:v>
      </x:c>
      <x:c r="E154" s="108" t="str">
        <x:v>NYJ</x:v>
      </x:c>
      <x:c r="F154" s="108" t="str">
        <x:v>NYJ</x:v>
      </x:c>
      <x:c r="G154" s="109" t="n">
        <x:v>90.61</x:v>
      </x:c>
      <x:c r="H154" s="109" t="n">
        <x:f>'Weekly Points'!W154</x:f>
        <x:v>5.33</x:v>
      </x:c>
      <x:c r="I154" s="109" t="n">
        <x:f>'Weekly Points'!X154</x:f>
        <x:v>3.37</x:v>
      </x:c>
      <x:c r="J154" s="109" t="n">
        <x:f>'Weekly Points'!Y154</x:f>
        <x:v>1.75</x:v>
      </x:c>
      <x:c r="K154" s="109" t="n">
        <x:f>'Weekly Points'!Z154</x:f>
        <x:v>4.9841242076865475</x:v>
      </x:c>
      <x:c r="L154" s="173" t="n">
        <x:f>'Weekly Points'!AA154</x:f>
        <x:v>0.9351077312732734</x:v>
      </x:c>
      <x:c r="M154" s="173" t="n">
        <x:f>'Weekly Points'!AB154</x:f>
        <x:v>0.29411764705882354</x:v>
      </x:c>
      <x:c r="N154" s="109" t="n">
        <x:f>0.5*J154+0.3*I154+0.2*H154</x:f>
        <x:v>2.952</x:v>
      </x:c>
      <x:c r="O154" s="175" t="n">
        <x:v>14</x:v>
      </x:c>
      <x:c r="P154" s="175" t="n">
        <x:v>9</x:v>
      </x:c>
      <x:c r="Q154" s="175" t="n">
        <x:v>3</x:v>
      </x:c>
      <x:c r="R154" s="175" t="n">
        <x:v>36</x:v>
      </x:c>
      <x:c r="S154" s="175" t="n">
        <x:v>0</x:v>
      </x:c>
      <x:c r="T154" s="175" t="n">
        <x:v>0</x:v>
      </x:c>
      <x:c r="U154" s="175" t="n">
        <x:v>0</x:v>
      </x:c>
      <x:c r="V154" s="175" t="n">
        <x:f>SUM(S154:U154)</x:f>
        <x:v>0</x:v>
      </x:c>
      <x:c r="W154" s="108" t="str">
        <x:v>https://fantasy.espn.com/football/leaders?leagueId=555583&amp;lineupSlot=4&amp;scoringPeriodId=0&amp;statSplit=lastSeason</x:v>
      </x:c>
    </x:row>
    <x:row r="155">
      <x:c r="A155" s="108" t="str">
        <x:v>WR</x:v>
      </x:c>
      <x:c r="B155" s="175" t="n">
        <x:f>1+COUNTIFS($A$4:$A$356,A155,$J$4:$J$356,"&gt;"&amp;J155)</x:f>
        <x:v>60</x:v>
      </x:c>
      <x:c r="C155" s="175" t="n">
        <x:v>101</x:v>
      </x:c>
      <x:c r="D155" s="108" t="str">
        <x:v>Tre' Harris</x:v>
      </x:c>
      <x:c r="E155" s="108" t="str">
        <x:v>LAC</x:v>
      </x:c>
      <x:c r="F155" s="108" t="str">
        <x:v>LAC</x:v>
      </x:c>
      <x:c r="G155" s="109" t="n">
        <x:v>54.4</x:v>
      </x:c>
      <x:c r="H155" s="109" t="n">
        <x:f>'Weekly Points'!W155</x:f>
        <x:v>3.1999999999999997</x:v>
      </x:c>
      <x:c r="I155" s="109" t="n">
        <x:f>'Weekly Points'!X155</x:f>
        <x:v>2.8</x:v>
      </x:c>
      <x:c r="J155" s="109" t="n">
        <x:f>'Weekly Points'!Y155</x:f>
        <x:v>1.6</x:v>
      </x:c>
      <x:c r="K155" s="109" t="n">
        <x:f>'Weekly Points'!Z155</x:f>
        <x:v>2.370405773156099</x:v>
      </x:c>
      <x:c r="L155" s="173" t="n">
        <x:f>'Weekly Points'!AA155</x:f>
        <x:v>0.740751804111281</x:v>
      </x:c>
      <x:c r="M155" s="173" t="n">
        <x:f>'Weekly Points'!AB155</x:f>
        <x:v>0.23529411764705882</x:v>
      </x:c>
      <x:c r="N155" s="109" t="n">
        <x:f>0.5*J155+0.3*I155+0.2*H155</x:f>
        <x:v>2.2800000000000002</x:v>
      </x:c>
      <x:c r="O155" s="175" t="n">
        <x:v>14</x:v>
      </x:c>
      <x:c r="P155" s="175" t="n">
        <x:v>12</x:v>
      </x:c>
      <x:c r="Q155" s="175" t="n">
        <x:v>2</x:v>
      </x:c>
      <x:c r="R155" s="175" t="n">
        <x:v>43</x:v>
      </x:c>
      <x:c r="S155" s="175" t="n">
        <x:v>0</x:v>
      </x:c>
      <x:c r="T155" s="175" t="n">
        <x:v>1</x:v>
      </x:c>
      <x:c r="U155" s="175" t="n">
        <x:v>0</x:v>
      </x:c>
      <x:c r="V155" s="175" t="n">
        <x:f>SUM(S155:U155)</x:f>
        <x:v>1</x:v>
      </x:c>
      <x:c r="W155" s="108" t="str">
        <x:v>https://fantasy.espn.com/football/leaders?leagueId=555583&amp;lineupSlot=4&amp;scoringPeriodId=0&amp;statSplit=lastSeason</x:v>
      </x:c>
    </x:row>
    <x:row r="156">
      <x:c r="A156" s="108" t="str">
        <x:v>WR</x:v>
      </x:c>
      <x:c r="B156" s="175" t="n">
        <x:f>1+COUNTIFS($A$4:$A$356,A156,$J$4:$J$356,"&gt;"&amp;J156)</x:f>
        <x:v>61</x:v>
      </x:c>
      <x:c r="C156" s="175" t="n">
        <x:v>69</x:v>
      </x:c>
      <x:c r="D156" s="108" t="str">
        <x:v>DeMario Douglas</x:v>
      </x:c>
      <x:c r="E156" s="108" t="str">
        <x:v>NE</x:v>
      </x:c>
      <x:c r="F156" s="108" t="str">
        <x:v>NE</x:v>
      </x:c>
      <x:c r="G156" s="109" t="n">
        <x:v>82.3</x:v>
      </x:c>
      <x:c r="H156" s="109" t="n">
        <x:f>'Weekly Points'!W156</x:f>
        <x:v>4.841176470588235</x:v>
      </x:c>
      <x:c r="I156" s="109" t="n">
        <x:f>'Weekly Points'!X156</x:f>
        <x:v>3.9</x:v>
      </x:c>
      <x:c r="J156" s="109" t="n">
        <x:f>'Weekly Points'!Y156</x:f>
        <x:v>1.5</x:v>
      </x:c>
      <x:c r="K156" s="109" t="n">
        <x:f>'Weekly Points'!Z156</x:f>
        <x:v>4.946544702948706</x:v>
      </x:c>
      <x:c r="L156" s="173" t="n">
        <x:f>'Weekly Points'!AA156</x:f>
        <x:v>1.0217650054693561</x:v>
      </x:c>
      <x:c r="M156" s="173" t="n">
        <x:f>'Weekly Points'!AB156</x:f>
        <x:v>0.35294117647058826</x:v>
      </x:c>
      <x:c r="N156" s="109" t="n">
        <x:f>0.5*J156+0.3*I156+0.2*H156</x:f>
        <x:v>2.888235294117647</x:v>
      </x:c>
      <x:c r="O156" s="175" t="n">
        <x:v>16</x:v>
      </x:c>
      <x:c r="P156" s="175" t="n">
        <x:v>14</x:v>
      </x:c>
      <x:c r="Q156" s="175" t="n">
        <x:v>7</x:v>
      </x:c>
      <x:c r="R156" s="175" t="n">
        <x:v>46</x:v>
      </x:c>
      <x:c r="S156" s="175" t="n">
        <x:v>0</x:v>
      </x:c>
      <x:c r="T156" s="175" t="n">
        <x:v>3</x:v>
      </x:c>
      <x:c r="U156" s="175" t="n">
        <x:v>0</x:v>
      </x:c>
      <x:c r="V156" s="175" t="n">
        <x:f>SUM(S156:U156)</x:f>
        <x:v>3</x:v>
      </x:c>
      <x:c r="W156" s="108" t="str">
        <x:v>https://fantasy.espn.com/football/leaders?leagueId=555583&amp;lineupSlot=4&amp;scoringPeriodId=0&amp;statSplit=lastSeason</x:v>
      </x:c>
    </x:row>
    <x:row r="157">
      <x:c r="A157" s="108" t="str">
        <x:v>WR</x:v>
      </x:c>
      <x:c r="B157" s="175" t="n">
        <x:f>1+COUNTIFS($A$4:$A$356,A157,$J$4:$J$356,"&gt;"&amp;J157)</x:f>
        <x:v>62</x:v>
      </x:c>
      <x:c r="C157" s="175" t="n">
        <x:v>47</x:v>
      </x:c>
      <x:c r="D157" s="108" t="str">
        <x:v>Jordan Addison</x:v>
      </x:c>
      <x:c r="E157" s="108" t="str">
        <x:v>MIN</x:v>
      </x:c>
      <x:c r="F157" s="108" t="str">
        <x:v>MIN</x:v>
      </x:c>
      <x:c r="G157" s="109" t="n">
        <x:v>116.1</x:v>
      </x:c>
      <x:c r="H157" s="109" t="n">
        <x:f>'Weekly Points'!W157</x:f>
        <x:v>6.829411764705881</x:v>
      </x:c>
      <x:c r="I157" s="109" t="n">
        <x:f>'Weekly Points'!X157</x:f>
        <x:v>7.4</x:v>
      </x:c>
      <x:c r="J157" s="109" t="n">
        <x:f>'Weekly Points'!Y157</x:f>
        <x:v>1.3</x:v>
      </x:c>
      <x:c r="K157" s="109" t="n">
        <x:f>'Weekly Points'!Z157</x:f>
        <x:v>5.3938706723882275</x:v>
      </x:c>
      <x:c r="L157" s="173" t="n">
        <x:f>'Weekly Points'!AA157</x:f>
        <x:v>0.7898001845874236</x:v>
      </x:c>
      <x:c r="M157" s="173" t="n">
        <x:f>'Weekly Points'!AB157</x:f>
        <x:v>0.29411764705882354</x:v>
      </x:c>
      <x:c r="N157" s="109" t="n">
        <x:f>0.5*J157+0.3*I157+0.2*H157</x:f>
        <x:v>4.235882352941177</x:v>
      </x:c>
      <x:c r="O157" s="175" t="n">
        <x:v>13</x:v>
      </x:c>
      <x:c r="P157" s="175" t="n">
        <x:v>6</x:v>
      </x:c>
      <x:c r="Q157" s="175" t="n">
        <x:v>2</x:v>
      </x:c>
      <x:c r="R157" s="175" t="n">
        <x:v>79</x:v>
      </x:c>
      <x:c r="S157" s="175" t="n">
        <x:v>1</x:v>
      </x:c>
      <x:c r="T157" s="175" t="n">
        <x:v>3</x:v>
      </x:c>
      <x:c r="U157" s="175" t="n">
        <x:v>0</x:v>
      </x:c>
      <x:c r="V157" s="175" t="n">
        <x:f>SUM(S157:U157)</x:f>
        <x:v>4</x:v>
      </x:c>
      <x:c r="W157" s="108" t="str">
        <x:v>https://fantasy.espn.com/football/leaders?leagueId=555583&amp;lineupSlot=4&amp;scoringPeriodId=0&amp;statSplit=lastSeason</x:v>
      </x:c>
    </x:row>
    <x:row r="158">
      <x:c r="A158" s="108" t="str">
        <x:v>WR</x:v>
      </x:c>
      <x:c r="B158" s="175" t="n">
        <x:f>1+COUNTIFS($A$4:$A$356,A158,$J$4:$J$356,"&gt;"&amp;J158)</x:f>
        <x:v>62</x:v>
      </x:c>
      <x:c r="C158" s="175" t="n">
        <x:v>72</x:v>
      </x:c>
      <x:c r="D158" s="108" t="str">
        <x:v>Darius Slayton</x:v>
      </x:c>
      <x:c r="E158" s="108" t="str">
        <x:v>NYG</x:v>
      </x:c>
      <x:c r="F158" s="108" t="str">
        <x:v>NYG</x:v>
      </x:c>
      <x:c r="G158" s="109" t="n">
        <x:v>80.3</x:v>
      </x:c>
      <x:c r="H158" s="109" t="n">
        <x:f>'Weekly Points'!W158</x:f>
        <x:v>4.723529411764706</x:v>
      </x:c>
      <x:c r="I158" s="109" t="n">
        <x:f>'Weekly Points'!X158</x:f>
        <x:v>4.6</x:v>
      </x:c>
      <x:c r="J158" s="109" t="n">
        <x:f>'Weekly Points'!Y158</x:f>
        <x:v>1.3</x:v>
      </x:c>
      <x:c r="K158" s="109" t="n">
        <x:f>'Weekly Points'!Z158</x:f>
        <x:v>3.876707124801652</x:v>
      </x:c>
      <x:c r="L158" s="173" t="n">
        <x:f>'Weekly Points'!AA158</x:f>
        <x:v>0.8207225544411965</x:v>
      </x:c>
      <x:c r="M158" s="173" t="n">
        <x:f>'Weekly Points'!AB158</x:f>
        <x:v>0.29411764705882354</x:v>
      </x:c>
      <x:c r="N158" s="109" t="n">
        <x:f>0.5*J158+0.3*I158+0.2*H158</x:f>
        <x:v>2.974705882352941</x:v>
      </x:c>
      <x:c r="O158" s="175" t="n">
        <x:v>13</x:v>
      </x:c>
      <x:c r="P158" s="175" t="n">
        <x:v>14</x:v>
      </x:c>
      <x:c r="Q158" s="175" t="n">
        <x:v>0</x:v>
      </x:c>
      <x:c r="R158" s="175" t="n">
        <x:v>63</x:v>
      </x:c>
      <x:c r="S158" s="175" t="n">
        <x:v>0</x:v>
      </x:c>
      <x:c r="T158" s="175" t="n">
        <x:v>1</x:v>
      </x:c>
      <x:c r="U158" s="175" t="n">
        <x:v>0</x:v>
      </x:c>
      <x:c r="V158" s="175" t="n">
        <x:f>SUM(S158:U158)</x:f>
        <x:v>1</x:v>
      </x:c>
      <x:c r="W158" s="108" t="str">
        <x:v>https://fantasy.espn.com/football/leaders?leagueId=555583&amp;lineupSlot=4&amp;scoringPeriodId=0&amp;statSplit=lastSeason</x:v>
      </x:c>
    </x:row>
    <x:row r="159">
      <x:c r="A159" s="108" t="str">
        <x:v>WR</x:v>
      </x:c>
      <x:c r="B159" s="175" t="n">
        <x:f>1+COUNTIFS($A$4:$A$356,A159,$J$4:$J$356,"&gt;"&amp;J159)</x:f>
        <x:v>64</x:v>
      </x:c>
      <x:c r="C159" s="175" t="n">
        <x:v>99</x:v>
      </x:c>
      <x:c r="D159" s="108" t="str">
        <x:v>Van Jefferson</x:v>
      </x:c>
      <x:c r="E159" s="108" t="str">
        <x:v>TEN</x:v>
      </x:c>
      <x:c r="F159" s="108" t="str">
        <x:v>TEN</x:v>
      </x:c>
      <x:c r="G159" s="109" t="n">
        <x:v>55.5</x:v>
      </x:c>
      <x:c r="H159" s="109" t="n">
        <x:f>'Weekly Points'!W159</x:f>
        <x:v>3.2647058823529416</x:v>
      </x:c>
      <x:c r="I159" s="109" t="n">
        <x:f>'Weekly Points'!X159</x:f>
        <x:v>2.6</x:v>
      </x:c>
      <x:c r="J159" s="109" t="n">
        <x:f>'Weekly Points'!Y159</x:f>
        <x:v>1.1</x:v>
      </x:c>
      <x:c r="K159" s="109" t="n">
        <x:f>'Weekly Points'!Z159</x:f>
        <x:v>2.9619034373723827</x:v>
      </x:c>
      <x:c r="L159" s="173" t="n">
        <x:f>'Weekly Points'!AA159</x:f>
        <x:v>0.9072497015374865</x:v>
      </x:c>
      <x:c r="M159" s="173" t="n">
        <x:f>'Weekly Points'!AB159</x:f>
        <x:v>0.4117647058823529</x:v>
      </x:c>
      <x:c r="N159" s="109" t="n">
        <x:f>0.5*J159+0.3*I159+0.2*H159</x:f>
        <x:v>1.9829411764705884</x:v>
      </x:c>
      <x:c r="O159" s="175" t="n">
        <x:v>14</x:v>
      </x:c>
      <x:c r="P159" s="175" t="n">
        <x:v>10</x:v>
      </x:c>
      <x:c r="Q159" s="175" t="n">
        <x:v>0</x:v>
      </x:c>
      <x:c r="R159" s="175" t="n">
        <x:v>52</x:v>
      </x:c>
      <x:c r="S159" s="175" t="n">
        <x:v>0</x:v>
      </x:c>
      <x:c r="T159" s="175" t="n">
        <x:v>1</x:v>
      </x:c>
      <x:c r="U159" s="175" t="n">
        <x:v>0</x:v>
      </x:c>
      <x:c r="V159" s="175" t="n">
        <x:f>SUM(S159:U159)</x:f>
        <x:v>1</x:v>
      </x:c>
      <x:c r="W159" s="108" t="str">
        <x:v>https://fantasy.espn.com/football/leaders?leagueId=555583&amp;lineupSlot=4&amp;scoringPeriodId=0&amp;statSplit=lastSeason</x:v>
      </x:c>
    </x:row>
    <x:row r="160">
      <x:c r="A160" s="108" t="str">
        <x:v>WR</x:v>
      </x:c>
      <x:c r="B160" s="175" t="n">
        <x:f>1+COUNTIFS($A$4:$A$356,A160,$J$4:$J$356,"&gt;"&amp;J160)</x:f>
        <x:v>65</x:v>
      </x:c>
      <x:c r="C160" s="175" t="n">
        <x:v>95</x:v>
      </x:c>
      <x:c r="D160" s="108" t="str">
        <x:v>Tyler Lockett</x:v>
      </x:c>
      <x:c r="E160" s="108" t="str">
        <x:v>LV/TEN</x:v>
      </x:c>
      <x:c r="F160" s="108" t="str">
        <x:v>LV</x:v>
      </x:c>
      <x:c r="G160" s="109" t="n">
        <x:v>57.1</x:v>
      </x:c>
      <x:c r="H160" s="109" t="n">
        <x:f>'Weekly Points'!W160</x:f>
        <x:v>3.3588235294117648</x:v>
      </x:c>
      <x:c r="I160" s="109" t="n">
        <x:f>'Weekly Points'!X160</x:f>
        <x:v>2</x:v>
      </x:c>
      <x:c r="J160" s="109" t="n">
        <x:f>'Weekly Points'!Y160</x:f>
        <x:v>1</x:v>
      </x:c>
      <x:c r="K160" s="109" t="n">
        <x:f>'Weekly Points'!Z160</x:f>
        <x:v>2.902748965565818</x:v>
      </x:c>
      <x:c r="L160" s="173" t="n">
        <x:f>'Weekly Points'!AA160</x:f>
        <x:v>0.864215979240261</x:v>
      </x:c>
      <x:c r="M160" s="173" t="n">
        <x:f>'Weekly Points'!AB160</x:f>
        <x:v>0.4117647058823529</x:v>
      </x:c>
      <x:c r="N160" s="109" t="n">
        <x:f>0.5*J160+0.3*I160+0.2*H160</x:f>
        <x:v>1.7717647058823531</x:v>
      </x:c>
      <x:c r="O160" s="175" t="n">
        <x:v>14</x:v>
      </x:c>
      <x:c r="P160" s="175" t="n">
        <x:v>8</x:v>
      </x:c>
      <x:c r="Q160" s="175" t="n">
        <x:v>0</x:v>
      </x:c>
      <x:c r="R160" s="175" t="n">
        <x:v>55</x:v>
      </x:c>
      <x:c r="S160" s="175" t="n">
        <x:v>0</x:v>
      </x:c>
      <x:c r="T160" s="175" t="n">
        <x:v>1</x:v>
      </x:c>
      <x:c r="U160" s="175" t="n">
        <x:v>0</x:v>
      </x:c>
      <x:c r="V160" s="175" t="n">
        <x:f>SUM(S160:U160)</x:f>
        <x:v>1</x:v>
      </x:c>
      <x:c r="W160" s="108" t="str">
        <x:v>https://fantasy.espn.com/football/leaders?leagueId=555583&amp;lineupSlot=4&amp;scoringPeriodId=0&amp;statSplit=lastSeason</x:v>
      </x:c>
    </x:row>
    <x:row r="161">
      <x:c r="A161" s="108" t="str">
        <x:v>WR</x:v>
      </x:c>
      <x:c r="B161" s="175" t="n">
        <x:f>1+COUNTIFS($A$4:$A$356,A161,$J$4:$J$356,"&gt;"&amp;J161)</x:f>
        <x:v>65</x:v>
      </x:c>
      <x:c r="C161" s="175" t="n">
        <x:v>88</x:v>
      </x:c>
      <x:c r="D161" s="108" t="str">
        <x:v>Sterling Shepard</x:v>
      </x:c>
      <x:c r="E161" s="108" t="str">
        <x:v>TB</x:v>
      </x:c>
      <x:c r="F161" s="108" t="str">
        <x:v>TB</x:v>
      </x:c>
      <x:c r="G161" s="109" t="n">
        <x:v>62.5</x:v>
      </x:c>
      <x:c r="H161" s="109" t="n">
        <x:f>'Weekly Points'!W161</x:f>
        <x:v>3.6764705882352944</x:v>
      </x:c>
      <x:c r="I161" s="109" t="n">
        <x:f>'Weekly Points'!X161</x:f>
        <x:v>3</x:v>
      </x:c>
      <x:c r="J161" s="109" t="n">
        <x:f>'Weekly Points'!Y161</x:f>
        <x:v>1</x:v>
      </x:c>
      <x:c r="K161" s="109" t="n">
        <x:f>'Weekly Points'!Z161</x:f>
        <x:v>3.312281852841687</x:v>
      </x:c>
      <x:c r="L161" s="173" t="n">
        <x:f>'Weekly Points'!AA161</x:f>
        <x:v>0.9009406639729388</x:v>
      </x:c>
      <x:c r="M161" s="173" t="n">
        <x:f>'Weekly Points'!AB161</x:f>
        <x:v>0.4117647058823529</x:v>
      </x:c>
      <x:c r="N161" s="109" t="n">
        <x:f>0.5*J161+0.3*I161+0.2*H161</x:f>
        <x:v>2.135294117647059</x:v>
      </x:c>
      <x:c r="O161" s="175" t="n">
        <x:v>13</x:v>
      </x:c>
      <x:c r="P161" s="175" t="n">
        <x:v>9</x:v>
      </x:c>
      <x:c r="Q161" s="175" t="n">
        <x:v>4</x:v>
      </x:c>
      <x:c r="R161" s="175" t="n">
        <x:v>53</x:v>
      </x:c>
      <x:c r="S161" s="175" t="n">
        <x:v>0</x:v>
      </x:c>
      <x:c r="T161" s="175" t="n">
        <x:v>1</x:v>
      </x:c>
      <x:c r="U161" s="175" t="n">
        <x:v>0</x:v>
      </x:c>
      <x:c r="V161" s="175" t="n">
        <x:f>SUM(S161:U161)</x:f>
        <x:v>1</x:v>
      </x:c>
      <x:c r="W161" s="108" t="str">
        <x:v>https://fantasy.espn.com/football/leaders?leagueId=555583&amp;lineupSlot=4&amp;scoringPeriodId=0&amp;statSplit=lastSeason</x:v>
      </x:c>
    </x:row>
    <x:row r="162">
      <x:c r="A162" s="108" t="str">
        <x:v>WR</x:v>
      </x:c>
      <x:c r="B162" s="175" t="n">
        <x:f>1+COUNTIFS($A$4:$A$356,A162,$J$4:$J$356,"&gt;"&amp;J162)</x:f>
        <x:v>65</x:v>
      </x:c>
      <x:c r="C162" s="175" t="n">
        <x:v>87</x:v>
      </x:c>
      <x:c r="D162" s="108" t="str">
        <x:v>Olamide Zaccheaus</x:v>
      </x:c>
      <x:c r="E162" s="108" t="str">
        <x:v>CHI</x:v>
      </x:c>
      <x:c r="F162" s="108" t="str">
        <x:v>CHI</x:v>
      </x:c>
      <x:c r="G162" s="109" t="n">
        <x:v>65.3</x:v>
      </x:c>
      <x:c r="H162" s="109" t="n">
        <x:f>'Weekly Points'!W162</x:f>
        <x:v>3.841176470588235</x:v>
      </x:c>
      <x:c r="I162" s="109" t="n">
        <x:f>'Weekly Points'!X162</x:f>
        <x:v>3.1</x:v>
      </x:c>
      <x:c r="J162" s="109" t="n">
        <x:f>'Weekly Points'!Y162</x:f>
        <x:v>1</x:v>
      </x:c>
      <x:c r="K162" s="109" t="n">
        <x:f>'Weekly Points'!Z162</x:f>
        <x:v>3.745751919100672</x:v>
      </x:c>
      <x:c r="L162" s="173" t="n">
        <x:f>'Weekly Points'!AA162</x:f>
        <x:v>0.9751574674534674</x:v>
      </x:c>
      <x:c r="M162" s="173" t="n">
        <x:f>'Weekly Points'!AB162</x:f>
        <x:v>0.4117647058823529</x:v>
      </x:c>
      <x:c r="N162" s="109" t="n">
        <x:f>0.5*J162+0.3*I162+0.2*H162</x:f>
        <x:v>2.198235294117647</x:v>
      </x:c>
      <x:c r="O162" s="175" t="n">
        <x:v>13</x:v>
      </x:c>
      <x:c r="P162" s="175" t="n">
        <x:v>5</x:v>
      </x:c>
      <x:c r="Q162" s="175" t="n">
        <x:v>4</x:v>
      </x:c>
      <x:c r="R162" s="175" t="n">
        <x:v>65</x:v>
      </x:c>
      <x:c r="S162" s="175" t="n">
        <x:v>0</x:v>
      </x:c>
      <x:c r="T162" s="175" t="n">
        <x:v>2</x:v>
      </x:c>
      <x:c r="U162" s="175" t="n">
        <x:v>0</x:v>
      </x:c>
      <x:c r="V162" s="175" t="n">
        <x:f>SUM(S162:U162)</x:f>
        <x:v>2</x:v>
      </x:c>
      <x:c r="W162" s="108" t="str">
        <x:v>https://fantasy.espn.com/football/leaders?leagueId=555583&amp;lineupSlot=4&amp;scoringPeriodId=0&amp;statSplit=lastSeason</x:v>
      </x:c>
    </x:row>
    <x:row r="163">
      <x:c r="A163" s="108" t="str">
        <x:v>WR</x:v>
      </x:c>
      <x:c r="B163" s="175" t="n">
        <x:f>1+COUNTIFS($A$4:$A$356,A163,$J$4:$J$356,"&gt;"&amp;J163)</x:f>
        <x:v>65</x:v>
      </x:c>
      <x:c r="C163" s="175" t="n">
        <x:v>96</x:v>
      </x:c>
      <x:c r="D163" s="108" t="str">
        <x:v>JuJu Smith-Schuster</x:v>
      </x:c>
      <x:c r="E163" s="108" t="str">
        <x:v>KC</x:v>
      </x:c>
      <x:c r="F163" s="108" t="str">
        <x:v>KC</x:v>
      </x:c>
      <x:c r="G163" s="109" t="n">
        <x:v>57</x:v>
      </x:c>
      <x:c r="H163" s="109" t="n">
        <x:f>'Weekly Points'!W163</x:f>
        <x:v>3.3529411764705883</x:v>
      </x:c>
      <x:c r="I163" s="109" t="n">
        <x:f>'Weekly Points'!X163</x:f>
        <x:v>2.3</x:v>
      </x:c>
      <x:c r="J163" s="109" t="n">
        <x:f>'Weekly Points'!Y163</x:f>
        <x:v>1</x:v>
      </x:c>
      <x:c r="K163" s="109" t="n">
        <x:f>'Weekly Points'!Z163</x:f>
        <x:v>3.298862129504804</x:v>
      </x:c>
      <x:c r="L163" s="173" t="n">
        <x:f>'Weekly Points'!AA163</x:f>
        <x:v>0.9838711614312573</x:v>
      </x:c>
      <x:c r="M163" s="173" t="n">
        <x:f>'Weekly Points'!AB163</x:f>
        <x:v>0.4117647058823529</x:v>
      </x:c>
      <x:c r="N163" s="109" t="n">
        <x:f>0.5*J163+0.3*I163+0.2*H163</x:f>
        <x:v>1.8605882352941177</x:v>
      </x:c>
      <x:c r="O163" s="175" t="n">
        <x:v>14</x:v>
      </x:c>
      <x:c r="P163" s="175" t="n">
        <x:v>10</x:v>
      </x:c>
      <x:c r="Q163" s="175" t="n">
        <x:v>0</x:v>
      </x:c>
      <x:c r="R163" s="175" t="n">
        <x:v>45</x:v>
      </x:c>
      <x:c r="S163" s="175" t="n">
        <x:v>0</x:v>
      </x:c>
      <x:c r="T163" s="175" t="n">
        <x:v>1</x:v>
      </x:c>
      <x:c r="U163" s="175" t="n">
        <x:v>0</x:v>
      </x:c>
      <x:c r="V163" s="175" t="n">
        <x:f>SUM(S163:U163)</x:f>
        <x:v>1</x:v>
      </x:c>
      <x:c r="W163" s="108" t="str">
        <x:v>https://fantasy.espn.com/football/leaders?leagueId=555583&amp;lineupSlot=4&amp;scoringPeriodId=0&amp;statSplit=lastSeason</x:v>
      </x:c>
    </x:row>
    <x:row r="164">
      <x:c r="A164" s="108" t="str">
        <x:v>WR</x:v>
      </x:c>
      <x:c r="B164" s="175" t="n">
        <x:f>1+COUNTIFS($A$4:$A$356,A164,$J$4:$J$356,"&gt;"&amp;J164)</x:f>
        <x:v>65</x:v>
      </x:c>
      <x:c r="C164" s="175" t="n">
        <x:v>76</x:v>
      </x:c>
      <x:c r="D164" s="108" t="str">
        <x:v>Andrei Iosivas</x:v>
      </x:c>
      <x:c r="E164" s="108" t="str">
        <x:v>CIN</x:v>
      </x:c>
      <x:c r="F164" s="108" t="str">
        <x:v>CIN</x:v>
      </x:c>
      <x:c r="G164" s="109" t="n">
        <x:v>73.4</x:v>
      </x:c>
      <x:c r="H164" s="109" t="n">
        <x:f>'Weekly Points'!W164</x:f>
        <x:v>4.317647058823529</x:v>
      </x:c>
      <x:c r="I164" s="109" t="n">
        <x:f>'Weekly Points'!X164</x:f>
        <x:v>2.7</x:v>
      </x:c>
      <x:c r="J164" s="109" t="n">
        <x:f>'Weekly Points'!Y164</x:f>
        <x:v>1</x:v>
      </x:c>
      <x:c r="K164" s="109" t="n">
        <x:f>'Weekly Points'!Z164</x:f>
        <x:v>4.357176000457399</x:v>
      </x:c>
      <x:c r="L164" s="173" t="n">
        <x:f>'Weekly Points'!AA164</x:f>
        <x:v>1.0091552044656102</x:v>
      </x:c>
      <x:c r="M164" s="173" t="n">
        <x:f>'Weekly Points'!AB164</x:f>
        <x:v>0.4117647058823529</x:v>
      </x:c>
      <x:c r="N164" s="109" t="n">
        <x:f>0.5*J164+0.3*I164+0.2*H164</x:f>
        <x:v>2.173529411764706</x:v>
      </x:c>
      <x:c r="O164" s="175" t="n">
        <x:v>13</x:v>
      </x:c>
      <x:c r="P164" s="175" t="n">
        <x:v>10</x:v>
      </x:c>
      <x:c r="Q164" s="175" t="n">
        <x:v>3</x:v>
      </x:c>
      <x:c r="R164" s="175" t="n">
        <x:v>58</x:v>
      </x:c>
      <x:c r="S164" s="175" t="n">
        <x:v>0</x:v>
      </x:c>
      <x:c r="T164" s="175" t="n">
        <x:v>2</x:v>
      </x:c>
      <x:c r="U164" s="175" t="n">
        <x:v>0</x:v>
      </x:c>
      <x:c r="V164" s="175" t="n">
        <x:f>SUM(S164:U164)</x:f>
        <x:v>2</x:v>
      </x:c>
      <x:c r="W164" s="108" t="str">
        <x:v>https://fantasy.espn.com/football/leaders?leagueId=555583&amp;lineupSlot=4&amp;scoringPeriodId=0&amp;statSplit=lastSeason</x:v>
      </x:c>
    </x:row>
    <x:row r="165">
      <x:c r="A165" s="108" t="str">
        <x:v>WR</x:v>
      </x:c>
      <x:c r="B165" s="175" t="n">
        <x:f>1+COUNTIFS($A$4:$A$356,A165,$J$4:$J$356,"&gt;"&amp;J165)</x:f>
        <x:v>65</x:v>
      </x:c>
      <x:c r="C165" s="175" t="n">
        <x:v>90</x:v>
      </x:c>
      <x:c r="D165" s="108" t="str">
        <x:v>Dontayvion Wicks</x:v>
      </x:c>
      <x:c r="E165" s="108" t="str">
        <x:v>GB</x:v>
      </x:c>
      <x:c r="F165" s="108" t="str">
        <x:v>GB</x:v>
      </x:c>
      <x:c r="G165" s="109" t="n">
        <x:v>60.8</x:v>
      </x:c>
      <x:c r="H165" s="109" t="n">
        <x:f>'Weekly Points'!W165</x:f>
        <x:v>3.5764705882352943</x:v>
      </x:c>
      <x:c r="I165" s="109" t="n">
        <x:f>'Weekly Points'!X165</x:f>
        <x:v>2.2</x:v>
      </x:c>
      <x:c r="J165" s="109" t="n">
        <x:f>'Weekly Points'!Y165</x:f>
        <x:v>1</x:v>
      </x:c>
      <x:c r="K165" s="109" t="n">
        <x:f>'Weekly Points'!Z165</x:f>
        <x:v>5.69060416639101</x:v>
      </x:c>
      <x:c r="L165" s="173" t="n">
        <x:f>'Weekly Points'!AA165</x:f>
        <x:v>1.5911228754711704</x:v>
      </x:c>
      <x:c r="M165" s="173" t="n">
        <x:f>'Weekly Points'!AB165</x:f>
        <x:v>0.47058823529411764</x:v>
      </x:c>
      <x:c r="N165" s="109" t="n">
        <x:f>0.5*J165+0.3*I165+0.2*H165</x:f>
        <x:v>1.875294117647059</x:v>
      </x:c>
      <x:c r="O165" s="175" t="n">
        <x:v>13</x:v>
      </x:c>
      <x:c r="P165" s="175" t="n">
        <x:v>5</x:v>
      </x:c>
      <x:c r="Q165" s="175" t="n">
        <x:v>1</x:v>
      </x:c>
      <x:c r="R165" s="175" t="n">
        <x:v>46</x:v>
      </x:c>
      <x:c r="S165" s="175" t="n">
        <x:v>0</x:v>
      </x:c>
      <x:c r="T165" s="175" t="n">
        <x:v>2</x:v>
      </x:c>
      <x:c r="U165" s="175" t="n">
        <x:v>0</x:v>
      </x:c>
      <x:c r="V165" s="175" t="n">
        <x:f>SUM(S165:U165)</x:f>
        <x:v>2</x:v>
      </x:c>
      <x:c r="W165" s="108" t="str">
        <x:v>https://fantasy.espn.com/football/leaders?leagueId=555583&amp;lineupSlot=4&amp;scoringPeriodId=0&amp;statSplit=lastSeason</x:v>
      </x:c>
    </x:row>
    <x:row r="166">
      <x:c r="A166" s="108" t="str">
        <x:v>WR</x:v>
      </x:c>
      <x:c r="B166" s="175" t="n">
        <x:f>1+COUNTIFS($A$4:$A$356,A166,$J$4:$J$356,"&gt;"&amp;J166)</x:f>
        <x:v>71</x:v>
      </x:c>
      <x:c r="C166" s="175" t="n">
        <x:v>23</x:v>
      </x:c>
      <x:c r="D166" s="108" t="str">
        <x:v>CeeDee Lamb</x:v>
      </x:c>
      <x:c r="E166" s="108" t="str">
        <x:v>DAL</x:v>
      </x:c>
      <x:c r="F166" s="108" t="str">
        <x:v>DAL</x:v>
      </x:c>
      <x:c r="G166" s="109" t="n">
        <x:v>165.4</x:v>
      </x:c>
      <x:c r="H166" s="109" t="n">
        <x:f>'Weekly Points'!W166</x:f>
        <x:v>9.729411764705883</x:v>
      </x:c>
      <x:c r="I166" s="109" t="n">
        <x:f>'Weekly Points'!X166</x:f>
        <x:v>11.1</x:v>
      </x:c>
      <x:c r="J166" s="109" t="n">
        <x:f>'Weekly Points'!Y166</x:f>
        <x:v>0.9</x:v>
      </x:c>
      <x:c r="K166" s="109" t="n">
        <x:f>'Weekly Points'!Z166</x:f>
        <x:v>7.142891547124262</x:v>
      </x:c>
      <x:c r="L166" s="173" t="n">
        <x:f>'Weekly Points'!AA166</x:f>
        <x:v>0.7341545120986241</x:v>
      </x:c>
      <x:c r="M166" s="173" t="n">
        <x:f>'Weekly Points'!AB166</x:f>
        <x:v>0.29411764705882354</x:v>
      </x:c>
      <x:c r="N166" s="109" t="n">
        <x:f>0.5*J166+0.3*I166+0.2*H166</x:f>
        <x:v>5.725882352941177</x:v>
      </x:c>
      <x:c r="O166" s="175" t="n">
        <x:v>13</x:v>
      </x:c>
      <x:c r="P166" s="175" t="n">
        <x:v>10</x:v>
      </x:c>
      <x:c r="Q166" s="175" t="n">
        <x:v>1</x:v>
      </x:c>
      <x:c r="R166" s="175" t="n">
        <x:v>117</x:v>
      </x:c>
      <x:c r="S166" s="175" t="n">
        <x:v>0</x:v>
      </x:c>
      <x:c r="T166" s="175" t="n">
        <x:v>3</x:v>
      </x:c>
      <x:c r="U166" s="175" t="n">
        <x:v>0</x:v>
      </x:c>
      <x:c r="V166" s="175" t="n">
        <x:f>SUM(S166:U166)</x:f>
        <x:v>3</x:v>
      </x:c>
      <x:c r="W166" s="108" t="str">
        <x:v>https://fantasy.espn.com/football/leaders?leagueId=555583&amp;lineupSlot=4&amp;scoringPeriodId=0&amp;statSplit=lastSeason</x:v>
      </x:c>
    </x:row>
    <x:row r="167">
      <x:c r="A167" s="108" t="str">
        <x:v>WR</x:v>
      </x:c>
      <x:c r="B167" s="175" t="n">
        <x:f>1+COUNTIFS($A$4:$A$356,A167,$J$4:$J$356,"&gt;"&amp;J167)</x:f>
        <x:v>72</x:v>
      </x:c>
      <x:c r="C167" s="175" t="n">
        <x:v>91</x:v>
      </x:c>
      <x:c r="D167" s="108" t="str">
        <x:v>Gunner Olszewski</x:v>
      </x:c>
      <x:c r="E167" s="108" t="str">
        <x:v>NYG</x:v>
      </x:c>
      <x:c r="F167" s="108" t="str">
        <x:v>NYG</x:v>
      </x:c>
      <x:c r="G167" s="109" t="n">
        <x:v>60.41</x:v>
      </x:c>
      <x:c r="H167" s="109" t="n">
        <x:f>'Weekly Points'!W167</x:f>
        <x:v>3.5535294117647056</x:v>
      </x:c>
      <x:c r="I167" s="109" t="n">
        <x:f>'Weekly Points'!X167</x:f>
        <x:v>2.55</x:v>
      </x:c>
      <x:c r="J167" s="109" t="n">
        <x:f>'Weekly Points'!Y167</x:f>
        <x:v>0.85</x:v>
      </x:c>
      <x:c r="K167" s="109" t="n">
        <x:f>'Weekly Points'!Z167</x:f>
        <x:v>4.1873365691394575</x:v>
      </x:c>
      <x:c r="L167" s="173" t="n">
        <x:f>'Weekly Points'!AA167</x:f>
        <x:v>1.1783599019263498</x:v>
      </x:c>
      <x:c r="M167" s="173" t="n">
        <x:f>'Weekly Points'!AB167</x:f>
        <x:v>0.4117647058823529</x:v>
      </x:c>
      <x:c r="N167" s="109" t="n">
        <x:f>0.5*J167+0.3*I167+0.2*H167</x:f>
        <x:v>1.9007058823529412</x:v>
      </x:c>
      <x:c r="O167" s="175" t="n">
        <x:v>15</x:v>
      </x:c>
      <x:c r="P167" s="175" t="n">
        <x:v>14</x:v>
      </x:c>
      <x:c r="Q167" s="175" t="n">
        <x:v>0</x:v>
      </x:c>
      <x:c r="R167" s="175" t="n">
        <x:v>13</x:v>
      </x:c>
      <x:c r="S167" s="175" t="n">
        <x:v>0</x:v>
      </x:c>
      <x:c r="T167" s="175" t="n">
        <x:v>1</x:v>
      </x:c>
      <x:c r="U167" s="175" t="n">
        <x:v>0</x:v>
      </x:c>
      <x:c r="V167" s="175" t="n">
        <x:f>SUM(S167:U167)</x:f>
        <x:v>1</x:v>
      </x:c>
      <x:c r="W167" s="108" t="str">
        <x:v>https://fantasy.espn.com/football/leaders?leagueId=555583&amp;lineupSlot=4&amp;scoringPeriodId=0&amp;statSplit=lastSeason</x:v>
      </x:c>
    </x:row>
    <x:row r="168">
      <x:c r="A168" s="108" t="str">
        <x:v>WR</x:v>
      </x:c>
      <x:c r="B168" s="175" t="n">
        <x:f>1+COUNTIFS($A$4:$A$356,A168,$J$4:$J$356,"&gt;"&amp;J168)</x:f>
        <x:v>73</x:v>
      </x:c>
      <x:c r="C168" s="175" t="n">
        <x:v>111</x:v>
      </x:c>
      <x:c r="D168" s="108" t="str">
        <x:v>Isaiah Bond</x:v>
      </x:c>
      <x:c r="E168" s="108" t="str">
        <x:v>CLE</x:v>
      </x:c>
      <x:c r="F168" s="108" t="str">
        <x:v>CLE</x:v>
      </x:c>
      <x:c r="G168" s="109" t="n">
        <x:v>46.15</x:v>
      </x:c>
      <x:c r="H168" s="109" t="n">
        <x:f>'Weekly Points'!W168</x:f>
        <x:v>2.7147058823529413</x:v>
      </x:c>
      <x:c r="I168" s="109" t="n">
        <x:f>'Weekly Points'!X168</x:f>
        <x:v>2.1</x:v>
      </x:c>
      <x:c r="J168" s="109" t="n">
        <x:f>'Weekly Points'!Y168</x:f>
        <x:v>0.8</x:v>
      </x:c>
      <x:c r="K168" s="109" t="n">
        <x:f>'Weekly Points'!Z168</x:f>
        <x:v>2.7533810608842333</x:v>
      </x:c>
      <x:c r="L168" s="173" t="n">
        <x:f>'Weekly Points'!AA168</x:f>
        <x:v>1.0142465446377458</x:v>
      </x:c>
      <x:c r="M168" s="173" t="n">
        <x:f>'Weekly Points'!AB168</x:f>
        <x:v>0.35294117647058826</x:v>
      </x:c>
      <x:c r="N168" s="109" t="n">
        <x:f>0.5*J168+0.3*I168+0.2*H168</x:f>
        <x:v>1.5729411764705883</x:v>
      </x:c>
      <x:c r="O168" s="175" t="n">
        <x:v>13</x:v>
      </x:c>
      <x:c r="P168" s="175" t="n">
        <x:v>9</x:v>
      </x:c>
      <x:c r="Q168" s="175" t="n">
        <x:v>5</x:v>
      </x:c>
      <x:c r="R168" s="175" t="n">
        <x:v>44</x:v>
      </x:c>
      <x:c r="S168" s="175" t="n">
        <x:v>0</x:v>
      </x:c>
      <x:c r="T168" s="175" t="n">
        <x:v>0</x:v>
      </x:c>
      <x:c r="U168" s="175" t="n">
        <x:v>0</x:v>
      </x:c>
      <x:c r="V168" s="175" t="n">
        <x:f>SUM(S168:U168)</x:f>
        <x:v>0</x:v>
      </x:c>
      <x:c r="W168" s="108" t="str">
        <x:v>https://fantasy.espn.com/football/leaders?leagueId=555583&amp;lineupSlot=4&amp;scoringPeriodId=0&amp;statSplit=lastSeason</x:v>
      </x:c>
    </x:row>
    <x:row r="169">
      <x:c r="A169" s="108" t="str">
        <x:v>WR</x:v>
      </x:c>
      <x:c r="B169" s="175" t="n">
        <x:f>1+COUNTIFS($A$4:$A$356,A169,$J$4:$J$356,"&gt;"&amp;J169)</x:f>
        <x:v>74</x:v>
      </x:c>
      <x:c r="C169" s="175" t="n">
        <x:v>78</x:v>
      </x:c>
      <x:c r="D169" s="108" t="str">
        <x:v>Kalif Raymond</x:v>
      </x:c>
      <x:c r="E169" s="108" t="str">
        <x:v>DET</x:v>
      </x:c>
      <x:c r="F169" s="108" t="str">
        <x:v>DET</x:v>
      </x:c>
      <x:c r="G169" s="109" t="n">
        <x:v>71.68</x:v>
      </x:c>
      <x:c r="H169" s="109" t="n">
        <x:f>'Weekly Points'!W169</x:f>
        <x:v>4.2164705882352935</x:v>
      </x:c>
      <x:c r="I169" s="109" t="n">
        <x:f>'Weekly Points'!X169</x:f>
        <x:v>3.2</x:v>
      </x:c>
      <x:c r="J169" s="109" t="n">
        <x:f>'Weekly Points'!Y169</x:f>
        <x:v>0.75</x:v>
      </x:c>
      <x:c r="K169" s="109" t="n">
        <x:f>'Weekly Points'!Z169</x:f>
        <x:v>4.4235771274022255</x:v>
      </x:c>
      <x:c r="L169" s="173" t="n">
        <x:f>'Weekly Points'!AA169</x:f>
        <x:v>1.049118459344836</x:v>
      </x:c>
      <x:c r="M169" s="173" t="n">
        <x:f>'Weekly Points'!AB169</x:f>
        <x:v>0.4117647058823529</x:v>
      </x:c>
      <x:c r="N169" s="109" t="n">
        <x:f>0.5*J169+0.3*I169+0.2*H169</x:f>
        <x:v>2.1782941176470585</x:v>
      </x:c>
      <x:c r="O169" s="175" t="n">
        <x:v>14</x:v>
      </x:c>
      <x:c r="P169" s="175" t="n">
        <x:v>8</x:v>
      </x:c>
      <x:c r="Q169" s="175" t="n">
        <x:v>2</x:v>
      </x:c>
      <x:c r="R169" s="175" t="n">
        <x:v>30</x:v>
      </x:c>
      <x:c r="S169" s="175" t="n">
        <x:v>0</x:v>
      </x:c>
      <x:c r="T169" s="175" t="n">
        <x:v>1</x:v>
      </x:c>
      <x:c r="U169" s="175" t="n">
        <x:v>0</x:v>
      </x:c>
      <x:c r="V169" s="175" t="n">
        <x:f>SUM(S169:U169)</x:f>
        <x:v>1</x:v>
      </x:c>
      <x:c r="W169" s="108" t="str">
        <x:v>https://fantasy.espn.com/football/leaders?leagueId=555583&amp;lineupSlot=4&amp;scoringPeriodId=0&amp;statSplit=lastSeason</x:v>
      </x:c>
    </x:row>
    <x:row r="170">
      <x:c r="A170" s="108" t="str">
        <x:v>WR</x:v>
      </x:c>
      <x:c r="B170" s="175" t="n">
        <x:f>1+COUNTIFS($A$4:$A$356,A170,$J$4:$J$356,"&gt;"&amp;J170)</x:f>
        <x:v>75</x:v>
      </x:c>
      <x:c r="C170" s="175" t="n">
        <x:v>73</x:v>
      </x:c>
      <x:c r="D170" s="108" t="str">
        <x:v>Calvin Austin III</x:v>
      </x:c>
      <x:c r="E170" s="108" t="str">
        <x:v>PIT</x:v>
      </x:c>
      <x:c r="F170" s="108" t="str">
        <x:v>PIT</x:v>
      </x:c>
      <x:c r="G170" s="109" t="n">
        <x:v>75.75</x:v>
      </x:c>
      <x:c r="H170" s="109" t="n">
        <x:f>'Weekly Points'!W170</x:f>
        <x:v>4.455882352941177</x:v>
      </x:c>
      <x:c r="I170" s="109" t="n">
        <x:f>'Weekly Points'!X170</x:f>
        <x:v>2.7</x:v>
      </x:c>
      <x:c r="J170" s="109" t="n">
        <x:f>'Weekly Points'!Y170</x:f>
        <x:v>0.6</x:v>
      </x:c>
      <x:c r="K170" s="109" t="n">
        <x:f>'Weekly Points'!Z170</x:f>
        <x:v>4.663433548014532</x:v>
      </x:c>
      <x:c r="L170" s="173" t="n">
        <x:f>'Weekly Points'!AA170</x:f>
        <x:v>1.0465791460890699</x:v>
      </x:c>
      <x:c r="M170" s="173" t="n">
        <x:f>'Weekly Points'!AB170</x:f>
        <x:v>0.4117647058823529</x:v>
      </x:c>
      <x:c r="N170" s="109" t="n">
        <x:f>0.5*J170+0.3*I170+0.2*H170</x:f>
        <x:v>2.0011764705882356</x:v>
      </x:c>
      <x:c r="O170" s="175" t="n">
        <x:v>14</x:v>
      </x:c>
      <x:c r="P170" s="175" t="n">
        <x:v>5</x:v>
      </x:c>
      <x:c r="Q170" s="175" t="n">
        <x:v>0</x:v>
      </x:c>
      <x:c r="R170" s="175" t="n">
        <x:v>55</x:v>
      </x:c>
      <x:c r="S170" s="175" t="n">
        <x:v>0</x:v>
      </x:c>
      <x:c r="T170" s="175" t="n">
        <x:v>3</x:v>
      </x:c>
      <x:c r="U170" s="175" t="n">
        <x:v>0</x:v>
      </x:c>
      <x:c r="V170" s="175" t="n">
        <x:f>SUM(S170:U170)</x:f>
        <x:v>3</x:v>
      </x:c>
      <x:c r="W170" s="108" t="str">
        <x:v>https://fantasy.espn.com/football/leaders?leagueId=555583&amp;lineupSlot=4&amp;scoringPeriodId=0&amp;statSplit=lastSeason</x:v>
      </x:c>
    </x:row>
    <x:row r="171">
      <x:c r="A171" s="108" t="str">
        <x:v>WR</x:v>
      </x:c>
      <x:c r="B171" s="175" t="n">
        <x:f>1+COUNTIFS($A$4:$A$356,A171,$J$4:$J$356,"&gt;"&amp;J171)</x:f>
        <x:v>75</x:v>
      </x:c>
      <x:c r="C171" s="175" t="n">
        <x:v>79</x:v>
      </x:c>
      <x:c r="D171" s="108" t="str">
        <x:v>Xavier Legette</x:v>
      </x:c>
      <x:c r="E171" s="108" t="str">
        <x:v>CAR</x:v>
      </x:c>
      <x:c r="F171" s="108" t="str">
        <x:v>CAR</x:v>
      </x:c>
      <x:c r="G171" s="109" t="n">
        <x:v>71.3</x:v>
      </x:c>
      <x:c r="H171" s="109" t="n">
        <x:f>'Weekly Points'!W171</x:f>
        <x:v>4.194117647058825</x:v>
      </x:c>
      <x:c r="I171" s="109" t="n">
        <x:f>'Weekly Points'!X171</x:f>
        <x:v>2.5</x:v>
      </x:c>
      <x:c r="J171" s="109" t="n">
        <x:f>'Weekly Points'!Y171</x:f>
        <x:v>0.6</x:v>
      </x:c>
      <x:c r="K171" s="109" t="n">
        <x:f>'Weekly Points'!Z171</x:f>
        <x:v>5.612535401511334</x:v>
      </x:c>
      <x:c r="L171" s="173" t="n">
        <x:f>'Weekly Points'!AA171</x:f>
        <x:v>1.33819217146834</x:v>
      </x:c>
      <x:c r="M171" s="173" t="n">
        <x:f>'Weekly Points'!AB171</x:f>
        <x:v>0.47058823529411764</x:v>
      </x:c>
      <x:c r="N171" s="109" t="n">
        <x:f>0.5*J171+0.3*I171+0.2*H171</x:f>
        <x:v>1.888823529411765</x:v>
      </x:c>
      <x:c r="O171" s="175" t="n">
        <x:v>14</x:v>
      </x:c>
      <x:c r="P171" s="175" t="n">
        <x:v>14</x:v>
      </x:c>
      <x:c r="Q171" s="175" t="n">
        <x:v>1</x:v>
      </x:c>
      <x:c r="R171" s="175" t="n">
        <x:v>64</x:v>
      </x:c>
      <x:c r="S171" s="175" t="n">
        <x:v>0</x:v>
      </x:c>
      <x:c r="T171" s="175" t="n">
        <x:v>3</x:v>
      </x:c>
      <x:c r="U171" s="175" t="n">
        <x:v>0</x:v>
      </x:c>
      <x:c r="V171" s="175" t="n">
        <x:f>SUM(S171:U171)</x:f>
        <x:v>3</x:v>
      </x:c>
      <x:c r="W171" s="108" t="str">
        <x:v>https://fantasy.espn.com/football/leaders?leagueId=555583&amp;lineupSlot=4&amp;scoringPeriodId=0&amp;statSplit=lastSeason</x:v>
      </x:c>
    </x:row>
    <x:row r="172">
      <x:c r="A172" s="108" t="str">
        <x:v>WR</x:v>
      </x:c>
      <x:c r="B172" s="175" t="n">
        <x:f>1+COUNTIFS($A$4:$A$356,A172,$J$4:$J$356,"&gt;"&amp;J172)</x:f>
        <x:v>77</x:v>
      </x:c>
      <x:c r="C172" s="175" t="n">
        <x:v>114</x:v>
      </x:c>
      <x:c r="D172" s="108" t="str">
        <x:v>Charlie Jones</x:v>
      </x:c>
      <x:c r="E172" s="108" t="str">
        <x:v>CIN</x:v>
      </x:c>
      <x:c r="F172" s="108" t="str">
        <x:v>CIN</x:v>
      </x:c>
      <x:c r="G172" s="109" t="n">
        <x:v>44.27</x:v>
      </x:c>
      <x:c r="H172" s="109" t="n">
        <x:f>'Weekly Points'!W172</x:f>
        <x:v>2.6041176470588234</x:v>
      </x:c>
      <x:c r="I172" s="109" t="n">
        <x:f>'Weekly Points'!X172</x:f>
        <x:v>2.28</x:v>
      </x:c>
      <x:c r="J172" s="109" t="n">
        <x:f>'Weekly Points'!Y172</x:f>
        <x:v>0.45</x:v>
      </x:c>
      <x:c r="K172" s="109" t="n">
        <x:f>'Weekly Points'!Z172</x:f>
        <x:v>2.8780120974759633</x:v>
      </x:c>
      <x:c r="L172" s="173" t="n">
        <x:f>'Weekly Points'!AA172</x:f>
        <x:v>1.105177448770982</x:v>
      </x:c>
      <x:c r="M172" s="173" t="n">
        <x:f>'Weekly Points'!AB172</x:f>
        <x:v>0.4117647058823529</x:v>
      </x:c>
      <x:c r="N172" s="109" t="n">
        <x:f>0.5*J172+0.3*I172+0.2*H172</x:f>
        <x:v>1.4298235294117645</x:v>
      </x:c>
      <x:c r="O172" s="175" t="n">
        <x:v>13</x:v>
      </x:c>
      <x:c r="P172" s="175" t="n">
        <x:v>10</x:v>
      </x:c>
      <x:c r="Q172" s="175" t="n">
        <x:v>0</x:v>
      </x:c>
      <x:c r="R172" s="175" t="n">
        <x:v>1</x:v>
      </x:c>
      <x:c r="S172" s="175" t="n">
        <x:v>0</x:v>
      </x:c>
      <x:c r="T172" s="175" t="n">
        <x:v>0</x:v>
      </x:c>
      <x:c r="U172" s="175" t="n">
        <x:v>0</x:v>
      </x:c>
      <x:c r="V172" s="175" t="n">
        <x:f>SUM(S172:U172)</x:f>
        <x:v>0</x:v>
      </x:c>
      <x:c r="W172" s="108" t="str">
        <x:v>https://fantasy.espn.com/football/leaders?leagueId=555583&amp;lineupSlot=4&amp;scoringPeriodId=0&amp;statSplit=lastSeason</x:v>
      </x:c>
    </x:row>
    <x:row r="173">
      <x:c r="A173" s="108" t="str">
        <x:v>WR</x:v>
      </x:c>
      <x:c r="B173" s="175" t="n">
        <x:f>1+COUNTIFS($A$4:$A$356,A173,$J$4:$J$356,"&gt;"&amp;J173)</x:f>
        <x:v>78</x:v>
      </x:c>
      <x:c r="C173" s="175" t="n">
        <x:v>97</x:v>
      </x:c>
      <x:c r="D173" s="108" t="str">
        <x:v>Matthew Golden</x:v>
      </x:c>
      <x:c r="E173" s="108" t="str">
        <x:v>GB</x:v>
      </x:c>
      <x:c r="F173" s="108" t="str">
        <x:v>GB</x:v>
      </x:c>
      <x:c r="G173" s="109" t="n">
        <x:v>56.9</x:v>
      </x:c>
      <x:c r="H173" s="109" t="n">
        <x:f>'Weekly Points'!W173</x:f>
        <x:v>3.3470588235294114</x:v>
      </x:c>
      <x:c r="I173" s="109" t="n">
        <x:f>'Weekly Points'!X173</x:f>
        <x:v>1.9</x:v>
      </x:c>
      <x:c r="J173" s="109" t="n">
        <x:f>'Weekly Points'!Y173</x:f>
        <x:v>0.4</x:v>
      </x:c>
      <x:c r="K173" s="109" t="n">
        <x:f>'Weekly Points'!Z173</x:f>
        <x:v>3.596218217395606</x:v>
      </x:c>
      <x:c r="L173" s="173" t="n">
        <x:f>'Weekly Points'!AA173</x:f>
        <x:v>1.0744412951797067</x:v>
      </x:c>
      <x:c r="M173" s="173" t="n">
        <x:f>'Weekly Points'!AB173</x:f>
        <x:v>0.4117647058823529</x:v>
      </x:c>
      <x:c r="N173" s="109" t="n">
        <x:f>0.5*J173+0.3*I173+0.2*H173</x:f>
        <x:v>1.4394117647058824</x:v>
      </x:c>
      <x:c r="O173" s="175" t="n">
        <x:v>13</x:v>
      </x:c>
      <x:c r="P173" s="175" t="n">
        <x:v>5</x:v>
      </x:c>
      <x:c r="Q173" s="175" t="n">
        <x:v>10</x:v>
      </x:c>
      <x:c r="R173" s="175" t="n">
        <x:v>44</x:v>
      </x:c>
      <x:c r="S173" s="175" t="n">
        <x:v>0</x:v>
      </x:c>
      <x:c r="T173" s="175" t="n">
        <x:v>0</x:v>
      </x:c>
      <x:c r="U173" s="175" t="n">
        <x:v>0</x:v>
      </x:c>
      <x:c r="V173" s="175" t="n">
        <x:f>SUM(S173:U173)</x:f>
        <x:v>0</x:v>
      </x:c>
      <x:c r="W173" s="108" t="str">
        <x:v>https://fantasy.espn.com/football/leaders?leagueId=555583&amp;lineupSlot=4&amp;scoringPeriodId=0&amp;statSplit=lastSeason</x:v>
      </x:c>
    </x:row>
    <x:row r="174">
      <x:c r="A174" s="108" t="str">
        <x:v>WR</x:v>
      </x:c>
      <x:c r="B174" s="175" t="n">
        <x:f>1+COUNTIFS($A$4:$A$356,A174,$J$4:$J$356,"&gt;"&amp;J174)</x:f>
        <x:v>78</x:v>
      </x:c>
      <x:c r="C174" s="175" t="n">
        <x:v>106</x:v>
      </x:c>
      <x:c r="D174" s="108" t="str">
        <x:v>Kameron Johnson</x:v>
      </x:c>
      <x:c r="E174" s="108" t="str">
        <x:v>TB</x:v>
      </x:c>
      <x:c r="F174" s="108" t="str">
        <x:v>TB</x:v>
      </x:c>
      <x:c r="G174" s="109" t="n">
        <x:v>49.8</x:v>
      </x:c>
      <x:c r="H174" s="109" t="n">
        <x:f>'Weekly Points'!W174</x:f>
        <x:v>2.929411764705882</x:v>
      </x:c>
      <x:c r="I174" s="109" t="n">
        <x:f>'Weekly Points'!X174</x:f>
        <x:v>2.53</x:v>
      </x:c>
      <x:c r="J174" s="109" t="n">
        <x:f>'Weekly Points'!Y174</x:f>
        <x:v>0.4</x:v>
      </x:c>
      <x:c r="K174" s="109" t="n">
        <x:f>'Weekly Points'!Z174</x:f>
        <x:v>3.6516804682521897</x:v>
      </x:c>
      <x:c r="L174" s="173" t="n">
        <x:f>'Weekly Points'!AA174</x:f>
        <x:v>1.2465575895640006</x:v>
      </x:c>
      <x:c r="M174" s="173" t="n">
        <x:f>'Weekly Points'!AB174</x:f>
        <x:v>0.4117647058823529</x:v>
      </x:c>
      <x:c r="N174" s="109" t="n">
        <x:f>0.5*J174+0.3*I174+0.2*H174</x:f>
        <x:v>1.5448823529411762</x:v>
      </x:c>
      <x:c r="O174" s="175" t="n">
        <x:v>16</x:v>
      </x:c>
      <x:c r="P174" s="175" t="n">
        <x:v>9</x:v>
      </x:c>
      <x:c r="Q174" s="175" t="n">
        <x:v>2</x:v>
      </x:c>
      <x:c r="R174" s="175" t="n">
        <x:v>7</x:v>
      </x:c>
      <x:c r="S174" s="175" t="n">
        <x:v>0</x:v>
      </x:c>
      <x:c r="T174" s="175" t="n">
        <x:v>1</x:v>
      </x:c>
      <x:c r="U174" s="175" t="n">
        <x:v>0</x:v>
      </x:c>
      <x:c r="V174" s="175" t="n">
        <x:f>SUM(S174:U174)</x:f>
        <x:v>1</x:v>
      </x:c>
      <x:c r="W174" s="108" t="str">
        <x:v>https://fantasy.espn.com/football/leaders?leagueId=555583&amp;lineupSlot=4&amp;scoringPeriodId=0&amp;statSplit=lastSeason</x:v>
      </x:c>
    </x:row>
    <x:row r="175">
      <x:c r="A175" s="108" t="str">
        <x:v>WR</x:v>
      </x:c>
      <x:c r="B175" s="175" t="n">
        <x:f>1+COUNTIFS($A$4:$A$356,A175,$J$4:$J$356,"&gt;"&amp;J175)</x:f>
        <x:v>80</x:v>
      </x:c>
      <x:c r="C175" s="175" t="n">
        <x:v>64</x:v>
      </x:c>
      <x:c r="D175" s="108" t="str">
        <x:v>Xavier Worthy</x:v>
      </x:c>
      <x:c r="E175" s="108" t="str">
        <x:v>KC</x:v>
      </x:c>
      <x:c r="F175" s="108" t="str">
        <x:v>KC</x:v>
      </x:c>
      <x:c r="G175" s="109" t="n">
        <x:v>88.9</x:v>
      </x:c>
      <x:c r="H175" s="109" t="n">
        <x:f>'Weekly Points'!W175</x:f>
        <x:v>5.229411764705881</x:v>
      </x:c>
      <x:c r="I175" s="109" t="n">
        <x:f>'Weekly Points'!X175</x:f>
        <x:v>5.1</x:v>
      </x:c>
      <x:c r="J175" s="109" t="n">
        <x:f>'Weekly Points'!Y175</x:f>
        <x:v>0.1</x:v>
      </x:c>
      <x:c r="K175" s="109" t="n">
        <x:f>'Weekly Points'!Z175</x:f>
        <x:v>4.122073251323095</x:v>
      </x:c>
      <x:c r="L175" s="173" t="n">
        <x:f>'Weekly Points'!AA175</x:f>
        <x:v>0.7882479783182524</x:v>
      </x:c>
      <x:c r="M175" s="173" t="n">
        <x:f>'Weekly Points'!AB175</x:f>
        <x:v>0.29411764705882354</x:v>
      </x:c>
      <x:c r="N175" s="109" t="n">
        <x:f>0.5*J175+0.3*I175+0.2*H175</x:f>
        <x:v>2.625882352941176</x:v>
      </x:c>
      <x:c r="O175" s="175" t="n">
        <x:v>13</x:v>
      </x:c>
      <x:c r="P175" s="175" t="n">
        <x:v>10</x:v>
      </x:c>
      <x:c r="Q175" s="175" t="n">
        <x:v>11</x:v>
      </x:c>
      <x:c r="R175" s="175" t="n">
        <x:v>73</x:v>
      </x:c>
      <x:c r="S175" s="175" t="n">
        <x:v>0</x:v>
      </x:c>
      <x:c r="T175" s="175" t="n">
        <x:v>1</x:v>
      </x:c>
      <x:c r="U175" s="175" t="n">
        <x:v>0</x:v>
      </x:c>
      <x:c r="V175" s="175" t="n">
        <x:f>SUM(S175:U175)</x:f>
        <x:v>1</x:v>
      </x:c>
      <x:c r="W175" s="108" t="str">
        <x:v>https://fantasy.espn.com/football/leaders?leagueId=555583&amp;lineupSlot=4&amp;scoringPeriodId=0&amp;statSplit=lastSeason</x:v>
      </x:c>
    </x:row>
    <x:row r="176">
      <x:c r="A176" s="108" t="str">
        <x:v>WR</x:v>
      </x:c>
      <x:c r="B176" s="175" t="n">
        <x:f>1+COUNTIFS($A$4:$A$356,A176,$J$4:$J$356,"&gt;"&amp;J176)</x:f>
        <x:v>80</x:v>
      </x:c>
      <x:c r="C176" s="175" t="n">
        <x:v>93</x:v>
      </x:c>
      <x:c r="D176" s="108" t="str">
        <x:v>John Metchie III</x:v>
      </x:c>
      <x:c r="E176" s="108" t="str">
        <x:v>NYJ/PHI</x:v>
      </x:c>
      <x:c r="F176" s="108" t="str">
        <x:v>NYJ</x:v>
      </x:c>
      <x:c r="G176" s="109" t="n">
        <x:v>59</x:v>
      </x:c>
      <x:c r="H176" s="109" t="n">
        <x:f>'Weekly Points'!W176</x:f>
        <x:v>3.4705882352941178</x:v>
      </x:c>
      <x:c r="I176" s="109" t="n">
        <x:f>'Weekly Points'!X176</x:f>
        <x:v>2.23</x:v>
      </x:c>
      <x:c r="J176" s="109" t="n">
        <x:f>'Weekly Points'!Y176</x:f>
        <x:v>0.1</x:v>
      </x:c>
      <x:c r="K176" s="109" t="n">
        <x:f>'Weekly Points'!Z176</x:f>
        <x:v>4.247581277951343</x:v>
      </x:c>
      <x:c r="L176" s="173" t="n">
        <x:f>'Weekly Points'!AA176</x:f>
        <x:v>1.2238793512741157</x:v>
      </x:c>
      <x:c r="M176" s="173" t="n">
        <x:f>'Weekly Points'!AB176</x:f>
        <x:v>0.4117647058823529</x:v>
      </x:c>
      <x:c r="N176" s="109" t="n">
        <x:f>0.5*J176+0.3*I176+0.2*H176</x:f>
        <x:v>1.4131176470588236</x:v>
      </x:c>
      <x:c r="O176" s="175" t="n">
        <x:v>13</x:v>
      </x:c>
      <x:c r="P176" s="175" t="n">
        <x:v>9</x:v>
      </x:c>
      <x:c r="Q176" s="175" t="n">
        <x:v>3</x:v>
      </x:c>
      <x:c r="R176" s="175" t="n">
        <x:v>48</x:v>
      </x:c>
      <x:c r="S176" s="175" t="n">
        <x:v>0</x:v>
      </x:c>
      <x:c r="T176" s="175" t="n">
        <x:v>2</x:v>
      </x:c>
      <x:c r="U176" s="175" t="n">
        <x:v>0</x:v>
      </x:c>
      <x:c r="V176" s="175" t="n">
        <x:f>SUM(S176:U176)</x:f>
        <x:v>2</x:v>
      </x:c>
      <x:c r="W176" s="108" t="str">
        <x:v>https://fantasy.espn.com/football/leaders?leagueId=555583&amp;lineupSlot=4&amp;scoringPeriodId=0&amp;statSplit=lastSeason</x:v>
      </x:c>
    </x:row>
    <x:row r="177">
      <x:c r="A177" s="108" t="str">
        <x:v>WR</x:v>
      </x:c>
      <x:c r="B177" s="175" t="n">
        <x:f>1+COUNTIFS($A$4:$A$356,A177,$J$4:$J$356,"&gt;"&amp;J177)</x:f>
        <x:v>82</x:v>
      </x:c>
      <x:c r="C177" s="175" t="n">
        <x:v>33</x:v>
      </x:c>
      <x:c r="D177" s="108" t="str">
        <x:v>Quentin Johnston</x:v>
      </x:c>
      <x:c r="E177" s="108" t="str">
        <x:v>LAC</x:v>
      </x:c>
      <x:c r="F177" s="108" t="str">
        <x:v>LAC</x:v>
      </x:c>
      <x:c r="G177" s="109" t="n">
        <x:v>147.7</x:v>
      </x:c>
      <x:c r="H177" s="109" t="n">
        <x:f>'Weekly Points'!W177</x:f>
        <x:v>8.688235294117648</x:v>
      </x:c>
      <x:c r="I177" s="109" t="n">
        <x:f>'Weekly Points'!X177</x:f>
        <x:v>9.8</x:v>
      </x:c>
      <x:c r="J177" s="109" t="n">
        <x:f>'Weekly Points'!Y177</x:f>
        <x:v>0</x:v>
      </x:c>
      <x:c r="K177" s="109" t="n">
        <x:f>'Weekly Points'!Z177</x:f>
        <x:v>7.499167197130562</x:v>
      </x:c>
      <x:c r="L177" s="173" t="n">
        <x:f>'Weekly Points'!AA177</x:f>
        <x:v>0.8631404356886901</x:v>
      </x:c>
      <x:c r="M177" s="173" t="n">
        <x:f>'Weekly Points'!AB177</x:f>
        <x:v>0.35294117647058826</x:v>
      </x:c>
      <x:c r="N177" s="109" t="n">
        <x:f>0.5*J177+0.3*I177+0.2*H177</x:f>
        <x:v>4.6776470588235295</x:v>
      </x:c>
      <x:c r="O177" s="175" t="n">
        <x:v>12</x:v>
      </x:c>
      <x:c r="P177" s="175" t="n">
        <x:v>12</x:v>
      </x:c>
      <x:c r="Q177" s="175" t="n">
        <x:v>2</x:v>
      </x:c>
      <x:c r="R177" s="175" t="n">
        <x:v>85</x:v>
      </x:c>
      <x:c r="S177" s="175" t="n">
        <x:v>0</x:v>
      </x:c>
      <x:c r="T177" s="175" t="n">
        <x:v>8</x:v>
      </x:c>
      <x:c r="U177" s="175" t="n">
        <x:v>0</x:v>
      </x:c>
      <x:c r="V177" s="175" t="n">
        <x:f>SUM(S177:U177)</x:f>
        <x:v>8</x:v>
      </x:c>
      <x:c r="W177" s="108" t="str">
        <x:v>https://fantasy.espn.com/football/leaders?leagueId=555583&amp;lineupSlot=4&amp;scoringPeriodId=0&amp;statSplit=lastSeason</x:v>
      </x:c>
    </x:row>
    <x:row r="178">
      <x:c r="A178" s="108" t="str">
        <x:v>WR</x:v>
      </x:c>
      <x:c r="B178" s="175" t="n">
        <x:f>1+COUNTIFS($A$4:$A$356,A178,$J$4:$J$356,"&gt;"&amp;J178)</x:f>
        <x:v>82</x:v>
      </x:c>
      <x:c r="C178" s="175" t="n">
        <x:v>110</x:v>
      </x:c>
      <x:c r="D178" s="108" t="str">
        <x:v>Demarcus Robinson</x:v>
      </x:c>
      <x:c r="E178" s="108" t="str">
        <x:v>SF</x:v>
      </x:c>
      <x:c r="F178" s="108" t="str">
        <x:v>SF</x:v>
      </x:c>
      <x:c r="G178" s="109" t="n">
        <x:v>47.2</x:v>
      </x:c>
      <x:c r="H178" s="109" t="n">
        <x:f>'Weekly Points'!W178</x:f>
        <x:v>2.776470588235295</x:v>
      </x:c>
      <x:c r="I178" s="109" t="n">
        <x:f>'Weekly Points'!X178</x:f>
        <x:v>2.5</x:v>
      </x:c>
      <x:c r="J178" s="109" t="n">
        <x:f>'Weekly Points'!Y178</x:f>
        <x:v>0</x:v>
      </x:c>
      <x:c r="K178" s="109" t="n">
        <x:f>'Weekly Points'!Z178</x:f>
        <x:v>2.588783364431732</x:v>
      </x:c>
      <x:c r="L178" s="173" t="n">
        <x:f>'Weekly Points'!AA178</x:f>
        <x:v>0.9324007880368524</x:v>
      </x:c>
      <x:c r="M178" s="173" t="n">
        <x:f>'Weekly Points'!AB178</x:f>
        <x:v>0.4117647058823529</x:v>
      </x:c>
      <x:c r="N178" s="109" t="n">
        <x:f>0.5*J178+0.3*I178+0.2*H178</x:f>
        <x:v>1.3052941176470592</x:v>
      </x:c>
      <x:c r="O178" s="175" t="n">
        <x:v>12</x:v>
      </x:c>
      <x:c r="P178" s="175" t="n">
        <x:v>14</x:v>
      </x:c>
      <x:c r="Q178" s="175" t="n">
        <x:v>1</x:v>
      </x:c>
      <x:c r="R178" s="175" t="n">
        <x:v>35</x:v>
      </x:c>
      <x:c r="S178" s="175" t="n">
        <x:v>0</x:v>
      </x:c>
      <x:c r="T178" s="175" t="n">
        <x:v>1</x:v>
      </x:c>
      <x:c r="U178" s="175" t="n">
        <x:v>0</x:v>
      </x:c>
      <x:c r="V178" s="175" t="n">
        <x:f>SUM(S178:U178)</x:f>
        <x:v>1</x:v>
      </x:c>
      <x:c r="W178" s="108" t="str">
        <x:v>https://fantasy.espn.com/football/leaders?leagueId=555583&amp;lineupSlot=4&amp;scoringPeriodId=0&amp;statSplit=lastSeason</x:v>
      </x:c>
    </x:row>
    <x:row r="179">
      <x:c r="A179" s="108" t="str">
        <x:v>WR</x:v>
      </x:c>
      <x:c r="B179" s="175" t="n">
        <x:f>1+COUNTIFS($A$4:$A$356,A179,$J$4:$J$356,"&gt;"&amp;J179)</x:f>
        <x:v>82</x:v>
      </x:c>
      <x:c r="C179" s="175" t="n">
        <x:v>65</x:v>
      </x:c>
      <x:c r="D179" s="108" t="str">
        <x:v>Tyquan Thornton</x:v>
      </x:c>
      <x:c r="E179" s="108" t="str">
        <x:v>KC</x:v>
      </x:c>
      <x:c r="F179" s="108" t="str">
        <x:v>KC</x:v>
      </x:c>
      <x:c r="G179" s="109" t="n">
        <x:v>87.55</x:v>
      </x:c>
      <x:c r="H179" s="109" t="n">
        <x:f>'Weekly Points'!W179</x:f>
        <x:v>5.1499999999999995</x:v>
      </x:c>
      <x:c r="I179" s="109" t="n">
        <x:f>'Weekly Points'!X179</x:f>
        <x:v>4.4</x:v>
      </x:c>
      <x:c r="J179" s="109" t="n">
        <x:f>'Weekly Points'!Y179</x:f>
        <x:v>0</x:v>
      </x:c>
      <x:c r="K179" s="109" t="n">
        <x:f>'Weekly Points'!Z179</x:f>
        <x:v>4.914840671225203</x:v>
      </x:c>
      <x:c r="L179" s="173" t="n">
        <x:f>'Weekly Points'!AA179</x:f>
        <x:v>0.954337994412661</x:v>
      </x:c>
      <x:c r="M179" s="173" t="n">
        <x:f>'Weekly Points'!AB179</x:f>
        <x:v>0.35294117647058826</x:v>
      </x:c>
      <x:c r="N179" s="109" t="n">
        <x:f>0.5*J179+0.3*I179+0.2*H179</x:f>
        <x:v>2.35</x:v>
      </x:c>
      <x:c r="O179" s="175" t="n">
        <x:v>12</x:v>
      </x:c>
      <x:c r="P179" s="175" t="n">
        <x:v>10</x:v>
      </x:c>
      <x:c r="Q179" s="175" t="n">
        <x:v>0</x:v>
      </x:c>
      <x:c r="R179" s="175" t="n">
        <x:v>37</x:v>
      </x:c>
      <x:c r="S179" s="175" t="n">
        <x:v>0</x:v>
      </x:c>
      <x:c r="T179" s="175" t="n">
        <x:v>3</x:v>
      </x:c>
      <x:c r="U179" s="175" t="n">
        <x:v>0</x:v>
      </x:c>
      <x:c r="V179" s="175" t="n">
        <x:f>SUM(S179:U179)</x:f>
        <x:v>3</x:v>
      </x:c>
      <x:c r="W179" s="108" t="str">
        <x:v>https://fantasy.espn.com/football/leaders?leagueId=555583&amp;lineupSlot=4&amp;scoringPeriodId=0&amp;statSplit=lastSeason</x:v>
      </x:c>
    </x:row>
    <x:row r="180">
      <x:c r="A180" s="108" t="str">
        <x:v>WR</x:v>
      </x:c>
      <x:c r="B180" s="175" t="n">
        <x:f>1+COUNTIFS($A$4:$A$356,A180,$J$4:$J$356,"&gt;"&amp;J180)</x:f>
        <x:v>82</x:v>
      </x:c>
      <x:c r="C180" s="175" t="n">
        <x:v>119</x:v>
      </x:c>
      <x:c r="D180" s="108" t="str">
        <x:v>Savion Williams</x:v>
      </x:c>
      <x:c r="E180" s="108" t="str">
        <x:v>GB</x:v>
      </x:c>
      <x:c r="F180" s="108" t="str">
        <x:v>GB</x:v>
      </x:c>
      <x:c r="G180" s="109" t="n">
        <x:v>42.01</x:v>
      </x:c>
      <x:c r="H180" s="109" t="n">
        <x:f>'Weekly Points'!W180</x:f>
        <x:v>2.471176470588236</x:v>
      </x:c>
      <x:c r="I180" s="109" t="n">
        <x:f>'Weekly Points'!X180</x:f>
        <x:v>2.24</x:v>
      </x:c>
      <x:c r="J180" s="109" t="n">
        <x:f>'Weekly Points'!Y180</x:f>
        <x:v>0</x:v>
      </x:c>
      <x:c r="K180" s="109" t="n">
        <x:f>'Weekly Points'!Z180</x:f>
        <x:v>2.489615803936638</x:v>
      </x:c>
      <x:c r="L180" s="173" t="n">
        <x:f>'Weekly Points'!AA180</x:f>
        <x:v>1.007461763078382</x:v>
      </x:c>
      <x:c r="M180" s="173" t="n">
        <x:f>'Weekly Points'!AB180</x:f>
        <x:v>0.29411764705882354</x:v>
      </x:c>
      <x:c r="N180" s="109" t="n">
        <x:f>0.5*J180+0.3*I180+0.2*H180</x:f>
        <x:v>1.1662352941176473</x:v>
      </x:c>
      <x:c r="O180" s="175" t="n">
        <x:v>12</x:v>
      </x:c>
      <x:c r="P180" s="175" t="n">
        <x:v>5</x:v>
      </x:c>
      <x:c r="Q180" s="175" t="n">
        <x:v>11</x:v>
      </x:c>
      <x:c r="R180" s="175" t="n">
        <x:v>10</x:v>
      </x:c>
      <x:c r="S180" s="175" t="n">
        <x:v>0</x:v>
      </x:c>
      <x:c r="T180" s="175" t="n">
        <x:v>1</x:v>
      </x:c>
      <x:c r="U180" s="175" t="n">
        <x:v>0</x:v>
      </x:c>
      <x:c r="V180" s="175" t="n">
        <x:f>SUM(S180:U180)</x:f>
        <x:v>1</x:v>
      </x:c>
      <x:c r="W180" s="108" t="str">
        <x:v>https://fantasy.espn.com/football/leaders?leagueId=555583&amp;lineupSlot=4&amp;scoringPeriodId=0&amp;statSplit=lastSeason</x:v>
      </x:c>
    </x:row>
    <x:row r="181">
      <x:c r="A181" s="108" t="str">
        <x:v>WR</x:v>
      </x:c>
      <x:c r="B181" s="175" t="n">
        <x:f>1+COUNTIFS($A$4:$A$356,A181,$J$4:$J$356,"&gt;"&amp;J181)</x:f>
        <x:v>82</x:v>
      </x:c>
      <x:c r="C181" s="175" t="n">
        <x:v>92</x:v>
      </x:c>
      <x:c r="D181" s="108" t="str">
        <x:v>Pat Bryant</x:v>
      </x:c>
      <x:c r="E181" s="108" t="str">
        <x:v>DEN</x:v>
      </x:c>
      <x:c r="F181" s="108" t="str">
        <x:v>DEN</x:v>
      </x:c>
      <x:c r="G181" s="109" t="n">
        <x:v>59.3</x:v>
      </x:c>
      <x:c r="H181" s="109" t="n">
        <x:f>'Weekly Points'!W181</x:f>
        <x:v>3.4882352941176475</x:v>
      </x:c>
      <x:c r="I181" s="109" t="n">
        <x:f>'Weekly Points'!X181</x:f>
        <x:v>3</x:v>
      </x:c>
      <x:c r="J181" s="109" t="n">
        <x:f>'Weekly Points'!Y181</x:f>
        <x:v>0</x:v>
      </x:c>
      <x:c r="K181" s="109" t="n">
        <x:f>'Weekly Points'!Z181</x:f>
        <x:v>3.518001162582354</x:v>
      </x:c>
      <x:c r="L181" s="173" t="n">
        <x:f>'Weekly Points'!AA181</x:f>
        <x:v>1.0085332169291739</x:v>
      </x:c>
      <x:c r="M181" s="173" t="n">
        <x:f>'Weekly Points'!AB181</x:f>
        <x:v>0.4117647058823529</x:v>
      </x:c>
      <x:c r="N181" s="109" t="n">
        <x:f>0.5*J181+0.3*I181+0.2*H181</x:f>
        <x:v>1.5976470588235294</x:v>
      </x:c>
      <x:c r="O181" s="175" t="n">
        <x:v>11</x:v>
      </x:c>
      <x:c r="P181" s="175" t="n">
        <x:v>12</x:v>
      </x:c>
      <x:c r="Q181" s="175" t="n">
        <x:v>0</x:v>
      </x:c>
      <x:c r="R181" s="175" t="n">
        <x:v>49</x:v>
      </x:c>
      <x:c r="S181" s="175" t="n">
        <x:v>0</x:v>
      </x:c>
      <x:c r="T181" s="175" t="n">
        <x:v>1</x:v>
      </x:c>
      <x:c r="U181" s="175" t="n">
        <x:v>0</x:v>
      </x:c>
      <x:c r="V181" s="175" t="n">
        <x:f>SUM(S181:U181)</x:f>
        <x:v>1</x:v>
      </x:c>
      <x:c r="W181" s="108" t="str">
        <x:v>https://fantasy.espn.com/football/leaders?leagueId=555583&amp;lineupSlot=4&amp;scoringPeriodId=0&amp;statSplit=lastSeason</x:v>
      </x:c>
    </x:row>
    <x:row r="182">
      <x:c r="A182" s="108" t="str">
        <x:v>WR</x:v>
      </x:c>
      <x:c r="B182" s="175" t="n">
        <x:f>1+COUNTIFS($A$4:$A$356,A182,$J$4:$J$356,"&gt;"&amp;J182)</x:f>
        <x:v>82</x:v>
      </x:c>
      <x:c r="C182" s="175" t="n">
        <x:v>54</x:v>
      </x:c>
      <x:c r="D182" s="108" t="str">
        <x:v>Marvin Harrison Jr.</x:v>
      </x:c>
      <x:c r="E182" s="108" t="str">
        <x:v>ARI</x:v>
      </x:c>
      <x:c r="F182" s="108" t="str">
        <x:v>ARI</x:v>
      </x:c>
      <x:c r="G182" s="109" t="n">
        <x:v>107.3</x:v>
      </x:c>
      <x:c r="H182" s="109" t="n">
        <x:f>'Weekly Points'!W182</x:f>
        <x:v>6.3117647058823545</x:v>
      </x:c>
      <x:c r="I182" s="109" t="n">
        <x:f>'Weekly Points'!X182</x:f>
        <x:v>4.2</x:v>
      </x:c>
      <x:c r="J182" s="109" t="n">
        <x:f>'Weekly Points'!Y182</x:f>
        <x:v>0</x:v>
      </x:c>
      <x:c r="K182" s="109" t="n">
        <x:f>'Weekly Points'!Z182</x:f>
        <x:v>6.377154293712294</x:v>
      </x:c>
      <x:c r="L182" s="173" t="n">
        <x:f>'Weekly Points'!AA182</x:f>
        <x:v>1.0103599533374554</x:v>
      </x:c>
      <x:c r="M182" s="173" t="n">
        <x:f>'Weekly Points'!AB182</x:f>
        <x:v>0.4117647058823529</x:v>
      </x:c>
      <x:c r="N182" s="109" t="n">
        <x:f>0.5*J182+0.3*I182+0.2*H182</x:f>
        <x:v>2.5223529411764707</x:v>
      </x:c>
      <x:c r="O182" s="175" t="n">
        <x:v>11</x:v>
      </x:c>
      <x:c r="P182" s="175" t="n">
        <x:v>8</x:v>
      </x:c>
      <x:c r="Q182" s="175" t="n">
        <x:v>0</x:v>
      </x:c>
      <x:c r="R182" s="175" t="n">
        <x:v>73</x:v>
      </x:c>
      <x:c r="S182" s="175" t="n">
        <x:v>0</x:v>
      </x:c>
      <x:c r="T182" s="175" t="n">
        <x:v>4</x:v>
      </x:c>
      <x:c r="U182" s="175" t="n">
        <x:v>0</x:v>
      </x:c>
      <x:c r="V182" s="175" t="n">
        <x:f>SUM(S182:U182)</x:f>
        <x:v>4</x:v>
      </x:c>
      <x:c r="W182" s="108" t="str">
        <x:v>https://fantasy.espn.com/football/leaders?leagueId=555583&amp;lineupSlot=4&amp;scoringPeriodId=0&amp;statSplit=lastSeason</x:v>
      </x:c>
    </x:row>
    <x:row r="183">
      <x:c r="A183" s="108" t="str">
        <x:v>WR</x:v>
      </x:c>
      <x:c r="B183" s="175" t="n">
        <x:f>1+COUNTIFS($A$4:$A$356,A183,$J$4:$J$356,"&gt;"&amp;J183)</x:f>
        <x:v>82</x:v>
      </x:c>
      <x:c r="C183" s="175" t="n">
        <x:v>121</x:v>
      </x:c>
      <x:c r="D183" s="108" t="str">
        <x:v>Malachi Corley</x:v>
      </x:c>
      <x:c r="E183" s="108" t="str">
        <x:v>CLE</x:v>
      </x:c>
      <x:c r="F183" s="108" t="str">
        <x:v>CLE</x:v>
      </x:c>
      <x:c r="G183" s="109" t="n">
        <x:v>40.86</x:v>
      </x:c>
      <x:c r="H183" s="109" t="n">
        <x:f>'Weekly Points'!W183</x:f>
        <x:v>2.4035294117647057</x:v>
      </x:c>
      <x:c r="I183" s="109" t="n">
        <x:f>'Weekly Points'!X183</x:f>
        <x:v>2.44</x:v>
      </x:c>
      <x:c r="J183" s="109" t="n">
        <x:f>'Weekly Points'!Y183</x:f>
        <x:v>0</x:v>
      </x:c>
      <x:c r="K183" s="109" t="n">
        <x:f>'Weekly Points'!Z183</x:f>
        <x:v>2.4340209800837562</x:v>
      </x:c>
      <x:c r="L183" s="173" t="n">
        <x:f>'Weekly Points'!AA183</x:f>
        <x:v>1.0126861640093945</x:v>
      </x:c>
      <x:c r="M183" s="173" t="n">
        <x:f>'Weekly Points'!AB183</x:f>
        <x:v>0.47058823529411764</x:v>
      </x:c>
      <x:c r="N183" s="109" t="n">
        <x:f>0.5*J183+0.3*I183+0.2*H183</x:f>
        <x:v>1.212705882352941</x:v>
      </x:c>
      <x:c r="O183" s="175" t="n">
        <x:v>12</x:v>
      </x:c>
      <x:c r="P183" s="175" t="n">
        <x:v>9</x:v>
      </x:c>
      <x:c r="Q183" s="175" t="n">
        <x:v>13</x:v>
      </x:c>
      <x:c r="R183" s="175" t="n">
        <x:v>14</x:v>
      </x:c>
      <x:c r="S183" s="175" t="n">
        <x:v>0</x:v>
      </x:c>
      <x:c r="T183" s="175" t="n">
        <x:v>0</x:v>
      </x:c>
      <x:c r="U183" s="175" t="n">
        <x:v>0</x:v>
      </x:c>
      <x:c r="V183" s="175" t="n">
        <x:f>SUM(S183:U183)</x:f>
        <x:v>0</x:v>
      </x:c>
      <x:c r="W183" s="108" t="str">
        <x:v>https://fantasy.espn.com/football/leaders?leagueId=555583&amp;lineupSlot=4&amp;scoringPeriodId=0&amp;statSplit=lastSeason</x:v>
      </x:c>
    </x:row>
    <x:row r="184">
      <x:c r="A184" s="108" t="str">
        <x:v>WR</x:v>
      </x:c>
      <x:c r="B184" s="175" t="n">
        <x:f>1+COUNTIFS($A$4:$A$356,A184,$J$4:$J$356,"&gt;"&amp;J184)</x:f>
        <x:v>82</x:v>
      </x:c>
      <x:c r="C184" s="175" t="n">
        <x:v>57</x:v>
      </x:c>
      <x:c r="D184" s="108" t="str">
        <x:v>Terry McLaurin</x:v>
      </x:c>
      <x:c r="E184" s="108" t="str">
        <x:v>WSH</x:v>
      </x:c>
      <x:c r="F184" s="108" t="str">
        <x:v>WSH</x:v>
      </x:c>
      <x:c r="G184" s="109" t="n">
        <x:v>97.2</x:v>
      </x:c>
      <x:c r="H184" s="109" t="n">
        <x:f>'Weekly Points'!W184</x:f>
        <x:v>5.7176470588235295</x:v>
      </x:c>
      <x:c r="I184" s="109" t="n">
        <x:f>'Weekly Points'!X184</x:f>
        <x:v>5.6</x:v>
      </x:c>
      <x:c r="J184" s="109" t="n">
        <x:f>'Weekly Points'!Y184</x:f>
        <x:v>0</x:v>
      </x:c>
      <x:c r="K184" s="109" t="n">
        <x:f>'Weekly Points'!Z184</x:f>
        <x:v>5.965314970641696</x:v>
      </x:c>
      <x:c r="L184" s="173" t="n">
        <x:f>'Weekly Points'!AA184</x:f>
        <x:v>1.0433164043303378</x:v>
      </x:c>
      <x:c r="M184" s="173" t="n">
        <x:f>'Weekly Points'!AB184</x:f>
        <x:v>0.4117647058823529</x:v>
      </x:c>
      <x:c r="N184" s="109" t="n">
        <x:f>0.5*J184+0.3*I184+0.2*H184</x:f>
        <x:v>2.8235294117647056</x:v>
      </x:c>
      <x:c r="O184" s="175" t="n">
        <x:v>10</x:v>
      </x:c>
      <x:c r="P184" s="175" t="n">
        <x:v>12</x:v>
      </x:c>
      <x:c r="Q184" s="175" t="n">
        <x:v>0</x:v>
      </x:c>
      <x:c r="R184" s="175" t="n">
        <x:v>60</x:v>
      </x:c>
      <x:c r="S184" s="175" t="n">
        <x:v>0</x:v>
      </x:c>
      <x:c r="T184" s="175" t="n">
        <x:v>3</x:v>
      </x:c>
      <x:c r="U184" s="175" t="n">
        <x:v>0</x:v>
      </x:c>
      <x:c r="V184" s="175" t="n">
        <x:f>SUM(S184:U184)</x:f>
        <x:v>3</x:v>
      </x:c>
      <x:c r="W184" s="108" t="str">
        <x:v>https://fantasy.espn.com/football/leaders?leagueId=555583&amp;lineupSlot=4&amp;scoringPeriodId=0&amp;statSplit=lastSeason</x:v>
      </x:c>
    </x:row>
    <x:row r="185">
      <x:c r="A185" s="108" t="str">
        <x:v>WR</x:v>
      </x:c>
      <x:c r="B185" s="175" t="n">
        <x:f>1+COUNTIFS($A$4:$A$356,A185,$J$4:$J$356,"&gt;"&amp;J185)</x:f>
        <x:v>82</x:v>
      </x:c>
      <x:c r="C185" s="175" t="n">
        <x:v>19</x:v>
      </x:c>
      <x:c r="D185" s="108" t="str">
        <x:v>Drake London</x:v>
      </x:c>
      <x:c r="E185" s="108" t="str">
        <x:v>ATL</x:v>
      </x:c>
      <x:c r="F185" s="108" t="str">
        <x:v>ATL</x:v>
      </x:c>
      <x:c r="G185" s="109" t="n">
        <x:v>167.9</x:v>
      </x:c>
      <x:c r="H185" s="109" t="n">
        <x:f>'Weekly Points'!W185</x:f>
        <x:v>9.876470588235295</x:v>
      </x:c>
      <x:c r="I185" s="109" t="n">
        <x:f>'Weekly Points'!X185</x:f>
        <x:v>6.2</x:v>
      </x:c>
      <x:c r="J185" s="109" t="n">
        <x:f>'Weekly Points'!Y185</x:f>
        <x:v>0</x:v>
      </x:c>
      <x:c r="K185" s="109" t="n">
        <x:f>'Weekly Points'!Z185</x:f>
        <x:v>10.439547511704468</x:v>
      </x:c>
      <x:c r="L185" s="173" t="n">
        <x:f>'Weekly Points'!AA185</x:f>
        <x:v>1.057011957706825</x:v>
      </x:c>
      <x:c r="M185" s="173" t="n">
        <x:f>'Weekly Points'!AB185</x:f>
        <x:v>0.47058823529411764</x:v>
      </x:c>
      <x:c r="N185" s="109" t="n">
        <x:f>0.5*J185+0.3*I185+0.2*H185</x:f>
        <x:v>3.835294117647059</x:v>
      </x:c>
      <x:c r="O185" s="175" t="n">
        <x:v>12</x:v>
      </x:c>
      <x:c r="P185" s="175" t="n">
        <x:v>5</x:v>
      </x:c>
      <x:c r="Q185" s="175" t="n">
        <x:v>0</x:v>
      </x:c>
      <x:c r="R185" s="175" t="n">
        <x:v>112</x:v>
      </x:c>
      <x:c r="S185" s="175" t="n">
        <x:v>0</x:v>
      </x:c>
      <x:c r="T185" s="175" t="n">
        <x:v>7</x:v>
      </x:c>
      <x:c r="U185" s="175" t="n">
        <x:v>0</x:v>
      </x:c>
      <x:c r="V185" s="175" t="n">
        <x:f>SUM(S185:U185)</x:f>
        <x:v>7</x:v>
      </x:c>
      <x:c r="W185" s="108" t="str">
        <x:v>https://fantasy.espn.com/football/leaders?leagueId=555583&amp;lineupSlot=4&amp;scoringPeriodId=0&amp;statSplit=lastSeason</x:v>
      </x:c>
    </x:row>
    <x:row r="186">
      <x:c r="A186" s="108" t="str">
        <x:v>WR</x:v>
      </x:c>
      <x:c r="B186" s="175" t="n">
        <x:f>1+COUNTIFS($A$4:$A$356,A186,$J$4:$J$356,"&gt;"&amp;J186)</x:f>
        <x:v>82</x:v>
      </x:c>
      <x:c r="C186" s="175" t="n">
        <x:v>120</x:v>
      </x:c>
      <x:c r="D186" s="108" t="str">
        <x:v>Joshua Palmer</x:v>
      </x:c>
      <x:c r="E186" s="108" t="str">
        <x:v>BUF</x:v>
      </x:c>
      <x:c r="F186" s="108" t="str">
        <x:v>BUF</x:v>
      </x:c>
      <x:c r="G186" s="109" t="n">
        <x:v>41.3</x:v>
      </x:c>
      <x:c r="H186" s="109" t="n">
        <x:f>'Weekly Points'!W186</x:f>
        <x:v>2.429411764705883</x:v>
      </x:c>
      <x:c r="I186" s="109" t="n">
        <x:f>'Weekly Points'!X186</x:f>
        <x:v>1.7</x:v>
      </x:c>
      <x:c r="J186" s="109" t="n">
        <x:f>'Weekly Points'!Y186</x:f>
        <x:v>0</x:v>
      </x:c>
      <x:c r="K186" s="109" t="n">
        <x:f>'Weekly Points'!Z186</x:f>
        <x:v>2.596097683715119</x:v>
      </x:c>
      <x:c r="L186" s="173" t="n">
        <x:f>'Weekly Points'!AA186</x:f>
        <x:v>1.0686116373645766</x:v>
      </x:c>
      <x:c r="M186" s="173" t="n">
        <x:f>'Weekly Points'!AB186</x:f>
        <x:v>0.47058823529411764</x:v>
      </x:c>
      <x:c r="N186" s="109" t="n">
        <x:f>0.5*J186+0.3*I186+0.2*H186</x:f>
        <x:v>0.9958823529411767</x:v>
      </x:c>
      <x:c r="O186" s="175" t="n">
        <x:v>12</x:v>
      </x:c>
      <x:c r="P186" s="175" t="n">
        <x:v>7</x:v>
      </x:c>
      <x:c r="Q186" s="175" t="n">
        <x:v>0</x:v>
      </x:c>
      <x:c r="R186" s="175" t="n">
        <x:v>37</x:v>
      </x:c>
      <x:c r="S186" s="175" t="n">
        <x:v>0</x:v>
      </x:c>
      <x:c r="T186" s="175" t="n">
        <x:v>0</x:v>
      </x:c>
      <x:c r="U186" s="175" t="n">
        <x:v>0</x:v>
      </x:c>
      <x:c r="V186" s="175" t="n">
        <x:f>SUM(S186:U186)</x:f>
        <x:v>0</x:v>
      </x:c>
      <x:c r="W186" s="108" t="str">
        <x:v>https://fantasy.espn.com/football/leaders?leagueId=555583&amp;lineupSlot=4&amp;scoringPeriodId=0&amp;statSplit=lastSeason</x:v>
      </x:c>
    </x:row>
    <x:row r="187">
      <x:c r="A187" s="108" t="str">
        <x:v>WR</x:v>
      </x:c>
      <x:c r="B187" s="175" t="n">
        <x:f>1+COUNTIFS($A$4:$A$356,A187,$J$4:$J$356,"&gt;"&amp;J187)</x:f>
        <x:v>82</x:v>
      </x:c>
      <x:c r="C187" s="175" t="n">
        <x:v>60</x:v>
      </x:c>
      <x:c r="D187" s="108" t="str">
        <x:v>Greg Dortch</x:v>
      </x:c>
      <x:c r="E187" s="108" t="str">
        <x:v>ARI</x:v>
      </x:c>
      <x:c r="F187" s="108" t="str">
        <x:v>ARI</x:v>
      </x:c>
      <x:c r="G187" s="109" t="n">
        <x:v>93.68</x:v>
      </x:c>
      <x:c r="H187" s="109" t="n">
        <x:f>'Weekly Points'!W187</x:f>
        <x:v>5.510588235294117</x:v>
      </x:c>
      <x:c r="I187" s="109" t="n">
        <x:f>'Weekly Points'!X187</x:f>
        <x:v>3.94</x:v>
      </x:c>
      <x:c r="J187" s="109" t="n">
        <x:f>'Weekly Points'!Y187</x:f>
        <x:v>0</x:v>
      </x:c>
      <x:c r="K187" s="109" t="n">
        <x:f>'Weekly Points'!Z187</x:f>
        <x:v>5.954963792637726</x:v>
      </x:c>
      <x:c r="L187" s="173" t="n">
        <x:f>'Weekly Points'!AA187</x:f>
        <x:v>1.0806403124983066</x:v>
      </x:c>
      <x:c r="M187" s="173" t="n">
        <x:f>'Weekly Points'!AB187</x:f>
        <x:v>0.29411764705882354</x:v>
      </x:c>
      <x:c r="N187" s="109" t="n">
        <x:f>0.5*J187+0.3*I187+0.2*H187</x:f>
        <x:v>2.2841176470588236</x:v>
      </x:c>
      <x:c r="O187" s="175" t="n">
        <x:v>12</x:v>
      </x:c>
      <x:c r="P187" s="175" t="n">
        <x:v>8</x:v>
      </x:c>
      <x:c r="Q187" s="175" t="n">
        <x:v>7</x:v>
      </x:c>
      <x:c r="R187" s="175" t="n">
        <x:v>33</x:v>
      </x:c>
      <x:c r="S187" s="175" t="n">
        <x:v>1</x:v>
      </x:c>
      <x:c r="T187" s="175" t="n">
        <x:v>3</x:v>
      </x:c>
      <x:c r="U187" s="175" t="n">
        <x:v>0</x:v>
      </x:c>
      <x:c r="V187" s="175" t="n">
        <x:f>SUM(S187:U187)</x:f>
        <x:v>4</x:v>
      </x:c>
      <x:c r="W187" s="108" t="str">
        <x:v>https://fantasy.espn.com/football/leaders?leagueId=555583&amp;lineupSlot=4&amp;scoringPeriodId=0&amp;statSplit=lastSeason</x:v>
      </x:c>
    </x:row>
    <x:row r="188">
      <x:c r="A188" s="108" t="str">
        <x:v>WR</x:v>
      </x:c>
      <x:c r="B188" s="175" t="n">
        <x:f>1+COUNTIFS($A$4:$A$356,A188,$J$4:$J$356,"&gt;"&amp;J188)</x:f>
        <x:v>82</x:v>
      </x:c>
      <x:c r="C188" s="175" t="n">
        <x:v>67</x:v>
      </x:c>
      <x:c r="D188" s="108" t="str">
        <x:v>Keon Coleman</x:v>
      </x:c>
      <x:c r="E188" s="108" t="str">
        <x:v>BUF</x:v>
      </x:c>
      <x:c r="F188" s="108" t="str">
        <x:v>BUF</x:v>
      </x:c>
      <x:c r="G188" s="109" t="n">
        <x:v>83.8</x:v>
      </x:c>
      <x:c r="H188" s="109" t="n">
        <x:f>'Weekly Points'!W188</x:f>
        <x:v>4.929411764705883</x:v>
      </x:c>
      <x:c r="I188" s="109" t="n">
        <x:f>'Weekly Points'!X188</x:f>
        <x:v>3.5</x:v>
      </x:c>
      <x:c r="J188" s="109" t="n">
        <x:f>'Weekly Points'!Y188</x:f>
        <x:v>0</x:v>
      </x:c>
      <x:c r="K188" s="109" t="n">
        <x:f>'Weekly Points'!Z188</x:f>
        <x:v>5.3521589603011765</x:v>
      </x:c>
      <x:c r="L188" s="173" t="n">
        <x:f>'Weekly Points'!AA188</x:f>
        <x:v>1.0857601709441527</x:v>
      </x:c>
      <x:c r="M188" s="173" t="n">
        <x:f>'Weekly Points'!AB188</x:f>
        <x:v>0.29411764705882354</x:v>
      </x:c>
      <x:c r="N188" s="109" t="n">
        <x:f>0.5*J188+0.3*I188+0.2*H188</x:f>
        <x:v>2.0358823529411767</x:v>
      </x:c>
      <x:c r="O188" s="175" t="n">
        <x:v>12</x:v>
      </x:c>
      <x:c r="P188" s="175" t="n">
        <x:v>7</x:v>
      </x:c>
      <x:c r="Q188" s="175" t="n">
        <x:v>0</x:v>
      </x:c>
      <x:c r="R188" s="175" t="n">
        <x:v>59</x:v>
      </x:c>
      <x:c r="S188" s="175" t="n">
        <x:v>0</x:v>
      </x:c>
      <x:c r="T188" s="175" t="n">
        <x:v>4</x:v>
      </x:c>
      <x:c r="U188" s="175" t="n">
        <x:v>0</x:v>
      </x:c>
      <x:c r="V188" s="175" t="n">
        <x:f>SUM(S188:U188)</x:f>
        <x:v>4</x:v>
      </x:c>
      <x:c r="W188" s="108" t="str">
        <x:v>https://fantasy.espn.com/football/leaders?leagueId=555583&amp;lineupSlot=4&amp;scoringPeriodId=0&amp;statSplit=lastSeason</x:v>
      </x:c>
    </x:row>
    <x:row r="189">
      <x:c r="A189" s="108" t="str">
        <x:v>WR</x:v>
      </x:c>
      <x:c r="B189" s="175" t="n">
        <x:f>1+COUNTIFS($A$4:$A$356,A189,$J$4:$J$356,"&gt;"&amp;J189)</x:f>
        <x:v>82</x:v>
      </x:c>
      <x:c r="C189" s="175" t="n">
        <x:v>94</x:v>
      </x:c>
      <x:c r="D189" s="108" t="str">
        <x:v>Jaylin Lane</x:v>
      </x:c>
      <x:c r="E189" s="108" t="str">
        <x:v>WSH</x:v>
      </x:c>
      <x:c r="F189" s="108" t="str">
        <x:v>WSH</x:v>
      </x:c>
      <x:c r="G189" s="109" t="n">
        <x:v>57.58</x:v>
      </x:c>
      <x:c r="H189" s="109" t="n">
        <x:f>'Weekly Points'!W189</x:f>
        <x:v>3.3870588235294115</x:v>
      </x:c>
      <x:c r="I189" s="109" t="n">
        <x:f>'Weekly Points'!X189</x:f>
        <x:v>2.1</x:v>
      </x:c>
      <x:c r="J189" s="109" t="n">
        <x:f>'Weekly Points'!Y189</x:f>
        <x:v>0</x:v>
      </x:c>
      <x:c r="K189" s="109" t="n">
        <x:f>'Weekly Points'!Z189</x:f>
        <x:v>3.6944756289641942</x:v>
      </x:c>
      <x:c r="L189" s="173" t="n">
        <x:f>'Weekly Points'!AA189</x:f>
        <x:v>1.0907621690238156</x:v>
      </x:c>
      <x:c r="M189" s="173" t="n">
        <x:f>'Weekly Points'!AB189</x:f>
        <x:v>0.35294117647058826</x:v>
      </x:c>
      <x:c r="N189" s="109" t="n">
        <x:f>0.5*J189+0.3*I189+0.2*H189</x:f>
        <x:v>1.3074117647058823</x:v>
      </x:c>
      <x:c r="O189" s="175" t="n">
        <x:v>12</x:v>
      </x:c>
      <x:c r="P189" s="175" t="n">
        <x:v>12</x:v>
      </x:c>
      <x:c r="Q189" s="175" t="n">
        <x:v>1</x:v>
      </x:c>
      <x:c r="R189" s="175" t="n">
        <x:v>32</x:v>
      </x:c>
      <x:c r="S189" s="175" t="n">
        <x:v>0</x:v>
      </x:c>
      <x:c r="T189" s="175" t="n">
        <x:v>0</x:v>
      </x:c>
      <x:c r="U189" s="175" t="n">
        <x:v>0</x:v>
      </x:c>
      <x:c r="V189" s="175" t="n">
        <x:f>SUM(S189:U189)</x:f>
        <x:v>0</x:v>
      </x:c>
      <x:c r="W189" s="108" t="str">
        <x:v>https://fantasy.espn.com/football/leaders?leagueId=555583&amp;lineupSlot=4&amp;scoringPeriodId=0&amp;statSplit=lastSeason</x:v>
      </x:c>
    </x:row>
    <x:row r="190">
      <x:c r="A190" s="108" t="str">
        <x:v>WR</x:v>
      </x:c>
      <x:c r="B190" s="175" t="n">
        <x:f>1+COUNTIFS($A$4:$A$356,A190,$J$4:$J$356,"&gt;"&amp;J190)</x:f>
        <x:v>82</x:v>
      </x:c>
      <x:c r="C190" s="175" t="n">
        <x:v>58</x:v>
      </x:c>
      <x:c r="D190" s="108" t="str">
        <x:v>Ryan Flournoy</x:v>
      </x:c>
      <x:c r="E190" s="108" t="str">
        <x:v>DAL</x:v>
      </x:c>
      <x:c r="F190" s="108" t="str">
        <x:v>DAL</x:v>
      </x:c>
      <x:c r="G190" s="109" t="n">
        <x:v>96</x:v>
      </x:c>
      <x:c r="H190" s="109" t="n">
        <x:f>'Weekly Points'!W190</x:f>
        <x:v>5.647058823529412</x:v>
      </x:c>
      <x:c r="I190" s="109" t="n">
        <x:f>'Weekly Points'!X190</x:f>
        <x:v>4.8</x:v>
      </x:c>
      <x:c r="J190" s="109" t="n">
        <x:f>'Weekly Points'!Y190</x:f>
        <x:v>0</x:v>
      </x:c>
      <x:c r="K190" s="109" t="n">
        <x:f>'Weekly Points'!Z190</x:f>
        <x:v>6.203236123855395</x:v>
      </x:c>
      <x:c r="L190" s="173" t="n">
        <x:f>'Weekly Points'!AA190</x:f>
        <x:v>1.0984897302660594</x:v>
      </x:c>
      <x:c r="M190" s="173" t="n">
        <x:f>'Weekly Points'!AB190</x:f>
        <x:v>0.35294117647058826</x:v>
      </x:c>
      <x:c r="N190" s="109" t="n">
        <x:f>0.5*J190+0.3*I190+0.2*H190</x:f>
        <x:v>2.5694117647058823</x:v>
      </x:c>
      <x:c r="O190" s="175" t="n">
        <x:v>12</x:v>
      </x:c>
      <x:c r="P190" s="175" t="n">
        <x:v>10</x:v>
      </x:c>
      <x:c r="Q190" s="175" t="n">
        <x:v>4</x:v>
      </x:c>
      <x:c r="R190" s="175" t="n">
        <x:v>56</x:v>
      </x:c>
      <x:c r="S190" s="175" t="n">
        <x:v>0</x:v>
      </x:c>
      <x:c r="T190" s="175" t="n">
        <x:v>4</x:v>
      </x:c>
      <x:c r="U190" s="175" t="n">
        <x:v>0</x:v>
      </x:c>
      <x:c r="V190" s="175" t="n">
        <x:f>SUM(S190:U190)</x:f>
        <x:v>4</x:v>
      </x:c>
      <x:c r="W190" s="108" t="str">
        <x:v>https://fantasy.espn.com/football/leaders?leagueId=555583&amp;lineupSlot=4&amp;scoringPeriodId=0&amp;statSplit=lastSeason</x:v>
      </x:c>
    </x:row>
    <x:row r="191">
      <x:c r="A191" s="108" t="str">
        <x:v>WR</x:v>
      </x:c>
      <x:c r="B191" s="175" t="n">
        <x:f>1+COUNTIFS($A$4:$A$356,A191,$J$4:$J$356,"&gt;"&amp;J191)</x:f>
        <x:v>82</x:v>
      </x:c>
      <x:c r="C191" s="175" t="n">
        <x:v>43</x:v>
      </x:c>
      <x:c r="D191" s="108" t="str">
        <x:v>Rome Odunze</x:v>
      </x:c>
      <x:c r="E191" s="108" t="str">
        <x:v>CHI</x:v>
      </x:c>
      <x:c r="F191" s="108" t="str">
        <x:v>CHI</x:v>
      </x:c>
      <x:c r="G191" s="109" t="n">
        <x:v>124.1</x:v>
      </x:c>
      <x:c r="H191" s="109" t="n">
        <x:f>'Weekly Points'!W191</x:f>
        <x:v>7.3</x:v>
      </x:c>
      <x:c r="I191" s="109" t="n">
        <x:f>'Weekly Points'!X191</x:f>
        <x:v>4.2</x:v>
      </x:c>
      <x:c r="J191" s="109" t="n">
        <x:f>'Weekly Points'!Y191</x:f>
        <x:v>0</x:v>
      </x:c>
      <x:c r="K191" s="109" t="n">
        <x:f>'Weekly Points'!Z191</x:f>
        <x:v>8.071955809358428</x:v>
      </x:c>
      <x:c r="L191" s="173" t="n">
        <x:f>'Weekly Points'!AA191</x:f>
        <x:v>1.10574737114499</x:v>
      </x:c>
      <x:c r="M191" s="173" t="n">
        <x:f>'Weekly Points'!AB191</x:f>
        <x:v>0.4117647058823529</x:v>
      </x:c>
      <x:c r="N191" s="109" t="n">
        <x:f>0.5*J191+0.3*I191+0.2*H191</x:f>
        <x:v>2.7199999999999998</x:v>
      </x:c>
      <x:c r="O191" s="175" t="n">
        <x:v>11</x:v>
      </x:c>
      <x:c r="P191" s="175" t="n">
        <x:v>5</x:v>
      </x:c>
      <x:c r="Q191" s="175" t="n">
        <x:v>0</x:v>
      </x:c>
      <x:c r="R191" s="175" t="n">
        <x:v>90</x:v>
      </x:c>
      <x:c r="S191" s="175" t="n">
        <x:v>0</x:v>
      </x:c>
      <x:c r="T191" s="175" t="n">
        <x:v>6</x:v>
      </x:c>
      <x:c r="U191" s="175" t="n">
        <x:v>0</x:v>
      </x:c>
      <x:c r="V191" s="175" t="n">
        <x:f>SUM(S191:U191)</x:f>
        <x:v>6</x:v>
      </x:c>
      <x:c r="W191" s="108" t="str">
        <x:v>https://fantasy.espn.com/football/leaders?leagueId=555583&amp;lineupSlot=4&amp;scoringPeriodId=0&amp;statSplit=lastSeason</x:v>
      </x:c>
    </x:row>
    <x:row r="192">
      <x:c r="A192" s="108" t="str">
        <x:v>WR</x:v>
      </x:c>
      <x:c r="B192" s="175" t="n">
        <x:f>1+COUNTIFS($A$4:$A$356,A192,$J$4:$J$356,"&gt;"&amp;J192)</x:f>
        <x:v>82</x:v>
      </x:c>
      <x:c r="C192" s="175" t="n">
        <x:v>98</x:v>
      </x:c>
      <x:c r="D192" s="108" t="str">
        <x:v>DeAndre Hopkins</x:v>
      </x:c>
      <x:c r="E192" s="108" t="str">
        <x:v>BAL</x:v>
      </x:c>
      <x:c r="F192" s="108" t="str">
        <x:v>BAL</x:v>
      </x:c>
      <x:c r="G192" s="109" t="n">
        <x:v>56</x:v>
      </x:c>
      <x:c r="H192" s="109" t="n">
        <x:f>'Weekly Points'!W192</x:f>
        <x:v>3.2941176470588234</x:v>
      </x:c>
      <x:c r="I192" s="109" t="n">
        <x:f>'Weekly Points'!X192</x:f>
        <x:v>2.3</x:v>
      </x:c>
      <x:c r="J192" s="109" t="n">
        <x:f>'Weekly Points'!Y192</x:f>
        <x:v>0</x:v>
      </x:c>
      <x:c r="K192" s="109" t="n">
        <x:f>'Weekly Points'!Z192</x:f>
        <x:v>3.6807081460973525</x:v>
      </x:c>
      <x:c r="L192" s="173" t="n">
        <x:f>'Weekly Points'!AA192</x:f>
        <x:v>1.1173578300652678</x:v>
      </x:c>
      <x:c r="M192" s="173" t="n">
        <x:f>'Weekly Points'!AB192</x:f>
        <x:v>0.35294117647058826</x:v>
      </x:c>
      <x:c r="N192" s="109" t="n">
        <x:f>0.5*J192+0.3*I192+0.2*H192</x:f>
        <x:v>1.3488235294117645</x:v>
      </x:c>
      <x:c r="O192" s="175" t="n">
        <x:v>12</x:v>
      </x:c>
      <x:c r="P192" s="175" t="n">
        <x:v>7</x:v>
      </x:c>
      <x:c r="Q192" s="175" t="n">
        <x:v>0</x:v>
      </x:c>
      <x:c r="R192" s="175" t="n">
        <x:v>39</x:v>
      </x:c>
      <x:c r="S192" s="175" t="n">
        <x:v>0</x:v>
      </x:c>
      <x:c r="T192" s="175" t="n">
        <x:v>2</x:v>
      </x:c>
      <x:c r="U192" s="175" t="n">
        <x:v>0</x:v>
      </x:c>
      <x:c r="V192" s="175" t="n">
        <x:f>SUM(S192:U192)</x:f>
        <x:v>2</x:v>
      </x:c>
      <x:c r="W192" s="108" t="str">
        <x:v>https://fantasy.espn.com/football/leaders?leagueId=555583&amp;lineupSlot=4&amp;scoringPeriodId=0&amp;statSplit=lastSeason</x:v>
      </x:c>
    </x:row>
    <x:row r="193">
      <x:c r="A193" s="108" t="str">
        <x:v>WR</x:v>
      </x:c>
      <x:c r="B193" s="175" t="n">
        <x:f>1+COUNTIFS($A$4:$A$356,A193,$J$4:$J$356,"&gt;"&amp;J193)</x:f>
        <x:v>82</x:v>
      </x:c>
      <x:c r="C193" s="175" t="n">
        <x:v>66</x:v>
      </x:c>
      <x:c r="D193" s="108" t="str">
        <x:v>Jalen Nailor</x:v>
      </x:c>
      <x:c r="E193" s="108" t="str">
        <x:v>MIN</x:v>
      </x:c>
      <x:c r="F193" s="108" t="str">
        <x:v>MIN</x:v>
      </x:c>
      <x:c r="G193" s="109" t="n">
        <x:v>86.2</x:v>
      </x:c>
      <x:c r="H193" s="109" t="n">
        <x:f>'Weekly Points'!W193</x:f>
        <x:v>5.070588235294117</x:v>
      </x:c>
      <x:c r="I193" s="109" t="n">
        <x:f>'Weekly Points'!X193</x:f>
        <x:v>4.5</x:v>
      </x:c>
      <x:c r="J193" s="109" t="n">
        <x:f>'Weekly Points'!Y193</x:f>
        <x:v>0</x:v>
      </x:c>
      <x:c r="K193" s="109" t="n">
        <x:f>'Weekly Points'!Z193</x:f>
        <x:v>5.8566969918187874</x:v>
      </x:c>
      <x:c r="L193" s="173" t="n">
        <x:f>'Weekly Points'!AA193</x:f>
        <x:v>1.1550330494306194</x:v>
      </x:c>
      <x:c r="M193" s="173" t="n">
        <x:f>'Weekly Points'!AB193</x:f>
        <x:v>0.4117647058823529</x:v>
      </x:c>
      <x:c r="N193" s="109" t="n">
        <x:f>0.5*J193+0.3*I193+0.2*H193</x:f>
        <x:v>2.3641176470588237</x:v>
      </x:c>
      <x:c r="O193" s="175" t="n">
        <x:v>12</x:v>
      </x:c>
      <x:c r="P193" s="175" t="n">
        <x:v>6</x:v>
      </x:c>
      <x:c r="Q193" s="175" t="n">
        <x:v>2</x:v>
      </x:c>
      <x:c r="R193" s="175" t="n">
        <x:v>53</x:v>
      </x:c>
      <x:c r="S193" s="175" t="n">
        <x:v>0</x:v>
      </x:c>
      <x:c r="T193" s="175" t="n">
        <x:v>4</x:v>
      </x:c>
      <x:c r="U193" s="175" t="n">
        <x:v>0</x:v>
      </x:c>
      <x:c r="V193" s="175" t="n">
        <x:f>SUM(S193:U193)</x:f>
        <x:v>4</x:v>
      </x:c>
      <x:c r="W193" s="108" t="str">
        <x:v>https://fantasy.espn.com/football/leaders?leagueId=555583&amp;lineupSlot=4&amp;scoringPeriodId=0&amp;statSplit=lastSeason</x:v>
      </x:c>
    </x:row>
    <x:row r="194">
      <x:c r="A194" s="108" t="str">
        <x:v>WR</x:v>
      </x:c>
      <x:c r="B194" s="175" t="n">
        <x:f>1+COUNTIFS($A$4:$A$356,A194,$J$4:$J$356,"&gt;"&amp;J194)</x:f>
        <x:v>82</x:v>
      </x:c>
      <x:c r="C194" s="175" t="n">
        <x:v>45</x:v>
      </x:c>
      <x:c r="D194" s="108" t="str">
        <x:v>Christian Watson</x:v>
      </x:c>
      <x:c r="E194" s="108" t="str">
        <x:v>GB</x:v>
      </x:c>
      <x:c r="F194" s="108" t="str">
        <x:v>GB</x:v>
      </x:c>
      <x:c r="G194" s="109" t="n">
        <x:v>118.9</x:v>
      </x:c>
      <x:c r="H194" s="109" t="n">
        <x:f>'Weekly Points'!W194</x:f>
        <x:v>6.9941176470588236</x:v>
      </x:c>
      <x:c r="I194" s="109" t="n">
        <x:f>'Weekly Points'!X194</x:f>
        <x:v>4.4</x:v>
      </x:c>
      <x:c r="J194" s="109" t="n">
        <x:f>'Weekly Points'!Y194</x:f>
        <x:v>0</x:v>
      </x:c>
      <x:c r="K194" s="109" t="n">
        <x:f>'Weekly Points'!Z194</x:f>
        <x:v>8.150963175726014</x:v>
      </x:c>
      <x:c r="L194" s="173" t="n">
        <x:f>'Weekly Points'!AA194</x:f>
        <x:v>1.1654026407682274</x:v>
      </x:c>
      <x:c r="M194" s="173" t="n">
        <x:f>'Weekly Points'!AB194</x:f>
        <x:v>0.47058823529411764</x:v>
      </x:c>
      <x:c r="N194" s="109" t="n">
        <x:f>0.5*J194+0.3*I194+0.2*H194</x:f>
        <x:v>2.7188235294117646</x:v>
      </x:c>
      <x:c r="O194" s="175" t="n">
        <x:v>10</x:v>
      </x:c>
      <x:c r="P194" s="175" t="n">
        <x:v>5</x:v>
      </x:c>
      <x:c r="Q194" s="175" t="n">
        <x:v>1</x:v>
      </x:c>
      <x:c r="R194" s="175" t="n">
        <x:v>55</x:v>
      </x:c>
      <x:c r="S194" s="175" t="n">
        <x:v>0</x:v>
      </x:c>
      <x:c r="T194" s="175" t="n">
        <x:v>6</x:v>
      </x:c>
      <x:c r="U194" s="175" t="n">
        <x:v>0</x:v>
      </x:c>
      <x:c r="V194" s="175" t="n">
        <x:f>SUM(S194:U194)</x:f>
        <x:v>6</x:v>
      </x:c>
      <x:c r="W194" s="108" t="str">
        <x:v>https://fantasy.espn.com/football/leaders?leagueId=555583&amp;lineupSlot=4&amp;scoringPeriodId=0&amp;statSplit=lastSeason</x:v>
      </x:c>
    </x:row>
    <x:row r="195">
      <x:c r="A195" s="108" t="str">
        <x:v>WR</x:v>
      </x:c>
      <x:c r="B195" s="175" t="n">
        <x:f>1+COUNTIFS($A$4:$A$356,A195,$J$4:$J$356,"&gt;"&amp;J195)</x:f>
        <x:v>82</x:v>
      </x:c>
      <x:c r="C195" s="175" t="n">
        <x:v>74</x:v>
      </x:c>
      <x:c r="D195" s="108" t="str">
        <x:v>Jalen Coker</x:v>
      </x:c>
      <x:c r="E195" s="108" t="str">
        <x:v>CAR</x:v>
      </x:c>
      <x:c r="F195" s="108" t="str">
        <x:v>CAR</x:v>
      </x:c>
      <x:c r="G195" s="109" t="n">
        <x:v>73.9</x:v>
      </x:c>
      <x:c r="H195" s="109" t="n">
        <x:f>'Weekly Points'!W195</x:f>
        <x:v>4.347058823529412</x:v>
      </x:c>
      <x:c r="I195" s="109" t="n">
        <x:f>'Weekly Points'!X195</x:f>
        <x:v>2.6</x:v>
      </x:c>
      <x:c r="J195" s="109" t="n">
        <x:f>'Weekly Points'!Y195</x:f>
        <x:v>0</x:v>
      </x:c>
      <x:c r="K195" s="109" t="n">
        <x:f>'Weekly Points'!Z195</x:f>
        <x:v>5.0901424511510855</x:v>
      </x:c>
      <x:c r="L195" s="173" t="n">
        <x:f>'Weekly Points'!AA195</x:f>
        <x:v>1.1709394001294782</x:v>
      </x:c>
      <x:c r="M195" s="173" t="n">
        <x:f>'Weekly Points'!AB195</x:f>
        <x:v>0.47058823529411764</x:v>
      </x:c>
      <x:c r="N195" s="109" t="n">
        <x:f>0.5*J195+0.3*I195+0.2*H195</x:f>
        <x:v>1.6494117647058826</x:v>
      </x:c>
      <x:c r="O195" s="175" t="n">
        <x:v>10</x:v>
      </x:c>
      <x:c r="P195" s="175" t="n">
        <x:v>14</x:v>
      </x:c>
      <x:c r="Q195" s="175" t="n">
        <x:v>0</x:v>
      </x:c>
      <x:c r="R195" s="175" t="n">
        <x:v>43</x:v>
      </x:c>
      <x:c r="S195" s="175" t="n">
        <x:v>0</x:v>
      </x:c>
      <x:c r="T195" s="175" t="n">
        <x:v>3</x:v>
      </x:c>
      <x:c r="U195" s="175" t="n">
        <x:v>0</x:v>
      </x:c>
      <x:c r="V195" s="175" t="n">
        <x:f>SUM(S195:U195)</x:f>
        <x:v>3</x:v>
      </x:c>
      <x:c r="W195" s="108" t="str">
        <x:v>https://fantasy.espn.com/football/leaders?leagueId=555583&amp;lineupSlot=4&amp;scoringPeriodId=0&amp;statSplit=lastSeason</x:v>
      </x:c>
    </x:row>
    <x:row r="196">
      <x:c r="A196" s="108" t="str">
        <x:v>WR</x:v>
      </x:c>
      <x:c r="B196" s="175" t="n">
        <x:f>1+COUNTIFS($A$4:$A$356,A196,$J$4:$J$356,"&gt;"&amp;J196)</x:f>
        <x:v>82</x:v>
      </x:c>
      <x:c r="C196" s="175" t="n">
        <x:v>84</x:v>
      </x:c>
      <x:c r="D196" s="108" t="str">
        <x:v>Isaac TeSlaa</x:v>
      </x:c>
      <x:c r="E196" s="108" t="str">
        <x:v>DET</x:v>
      </x:c>
      <x:c r="F196" s="108" t="str">
        <x:v>DET</x:v>
      </x:c>
      <x:c r="G196" s="109" t="n">
        <x:v>67.9</x:v>
      </x:c>
      <x:c r="H196" s="109" t="n">
        <x:f>'Weekly Points'!W196</x:f>
        <x:v>3.994117647058824</x:v>
      </x:c>
      <x:c r="I196" s="109" t="n">
        <x:f>'Weekly Points'!X196</x:f>
        <x:v>1.6</x:v>
      </x:c>
      <x:c r="J196" s="109" t="n">
        <x:f>'Weekly Points'!Y196</x:f>
        <x:v>0</x:v>
      </x:c>
      <x:c r="K196" s="109" t="n">
        <x:f>'Weekly Points'!Z196</x:f>
        <x:v>4.774869334613227</x:v>
      </x:c>
      <x:c r="L196" s="173" t="n">
        <x:f>'Weekly Points'!AA196</x:f>
        <x:v>1.1954753856910876</x:v>
      </x:c>
      <x:c r="M196" s="173" t="n">
        <x:f>'Weekly Points'!AB196</x:f>
        <x:v>0.5294117647058824</x:v>
      </x:c>
      <x:c r="N196" s="109" t="n">
        <x:f>0.5*J196+0.3*I196+0.2*H196</x:f>
        <x:v>1.2788235294117647</x:v>
      </x:c>
      <x:c r="O196" s="175" t="n">
        <x:v>9</x:v>
      </x:c>
      <x:c r="P196" s="175" t="n">
        <x:v>8</x:v>
      </x:c>
      <x:c r="Q196" s="175" t="n">
        <x:v>0</x:v>
      </x:c>
      <x:c r="R196" s="175" t="n">
        <x:v>27</x:v>
      </x:c>
      <x:c r="S196" s="175" t="n">
        <x:v>0</x:v>
      </x:c>
      <x:c r="T196" s="175" t="n">
        <x:v>6</x:v>
      </x:c>
      <x:c r="U196" s="175" t="n">
        <x:v>0</x:v>
      </x:c>
      <x:c r="V196" s="175" t="n">
        <x:f>SUM(S196:U196)</x:f>
        <x:v>6</x:v>
      </x:c>
      <x:c r="W196" s="108" t="str">
        <x:v>https://fantasy.espn.com/football/leaders?leagueId=555583&amp;lineupSlot=4&amp;scoringPeriodId=0&amp;statSplit=lastSeason</x:v>
      </x:c>
    </x:row>
    <x:row r="197">
      <x:c r="A197" s="108" t="str">
        <x:v>WR</x:v>
      </x:c>
      <x:c r="B197" s="175" t="n">
        <x:f>1+COUNTIFS($A$4:$A$356,A197,$J$4:$J$356,"&gt;"&amp;J197)</x:f>
        <x:v>82</x:v>
      </x:c>
      <x:c r="C197" s="175" t="n">
        <x:v>68</x:v>
      </x:c>
      <x:c r="D197" s="108" t="str">
        <x:v>Tez Johnson</x:v>
      </x:c>
      <x:c r="E197" s="108" t="str">
        <x:v>TB</x:v>
      </x:c>
      <x:c r="F197" s="108" t="str">
        <x:v>TB</x:v>
      </x:c>
      <x:c r="G197" s="109" t="n">
        <x:v>82.4</x:v>
      </x:c>
      <x:c r="H197" s="109" t="n">
        <x:f>'Weekly Points'!W197</x:f>
        <x:v>4.847058823529412</x:v>
      </x:c>
      <x:c r="I197" s="109" t="n">
        <x:f>'Weekly Points'!X197</x:f>
        <x:v>1.8</x:v>
      </x:c>
      <x:c r="J197" s="109" t="n">
        <x:f>'Weekly Points'!Y197</x:f>
        <x:v>0</x:v>
      </x:c>
      <x:c r="K197" s="109" t="n">
        <x:f>'Weekly Points'!Z197</x:f>
        <x:v>5.910520793920222</x:v>
      </x:c>
      <x:c r="L197" s="173" t="n">
        <x:f>'Weekly Points'!AA197</x:f>
        <x:v>1.2194035618524728</x:v>
      </x:c>
      <x:c r="M197" s="173" t="n">
        <x:f>'Weekly Points'!AB197</x:f>
        <x:v>0.5294117647058824</x:v>
      </x:c>
      <x:c r="N197" s="109" t="n">
        <x:f>0.5*J197+0.3*I197+0.2*H197</x:f>
        <x:v>1.5094117647058827</x:v>
      </x:c>
      <x:c r="O197" s="175" t="n">
        <x:v>12</x:v>
      </x:c>
      <x:c r="P197" s="175" t="n">
        <x:v>9</x:v>
      </x:c>
      <x:c r="Q197" s="175" t="n">
        <x:v>7</x:v>
      </x:c>
      <x:c r="R197" s="175" t="n">
        <x:v>44</x:v>
      </x:c>
      <x:c r="S197" s="175" t="n">
        <x:v>0</x:v>
      </x:c>
      <x:c r="T197" s="175" t="n">
        <x:v>5</x:v>
      </x:c>
      <x:c r="U197" s="175" t="n">
        <x:v>0</x:v>
      </x:c>
      <x:c r="V197" s="175" t="n">
        <x:f>SUM(S197:U197)</x:f>
        <x:v>5</x:v>
      </x:c>
      <x:c r="W197" s="108" t="str">
        <x:v>https://fantasy.espn.com/football/leaders?leagueId=555583&amp;lineupSlot=4&amp;scoringPeriodId=0&amp;statSplit=lastSeason</x:v>
      </x:c>
    </x:row>
    <x:row r="198">
      <x:c r="A198" s="108" t="str">
        <x:v>WR</x:v>
      </x:c>
      <x:c r="B198" s="175" t="n">
        <x:f>1+COUNTIFS($A$4:$A$356,A198,$J$4:$J$356,"&gt;"&amp;J198)</x:f>
        <x:v>82</x:v>
      </x:c>
      <x:c r="C198" s="175" t="n">
        <x:v>113</x:v>
      </x:c>
      <x:c r="D198" s="108" t="str">
        <x:v>Jahan Dotson</x:v>
      </x:c>
      <x:c r="E198" s="108" t="str">
        <x:v>PHI</x:v>
      </x:c>
      <x:c r="F198" s="108" t="str">
        <x:v>PHI</x:v>
      </x:c>
      <x:c r="G198" s="109" t="n">
        <x:v>45.6</x:v>
      </x:c>
      <x:c r="H198" s="109" t="n">
        <x:f>'Weekly Points'!W198</x:f>
        <x:v>2.6823529411764704</x:v>
      </x:c>
      <x:c r="I198" s="109" t="n">
        <x:f>'Weekly Points'!X198</x:f>
        <x:v>1.6</x:v>
      </x:c>
      <x:c r="J198" s="109" t="n">
        <x:f>'Weekly Points'!Y198</x:f>
        <x:v>0</x:v>
      </x:c>
      <x:c r="K198" s="109" t="n">
        <x:f>'Weekly Points'!Z198</x:f>
        <x:v>3.29660882692889</x:v>
      </x:c>
      <x:c r="L198" s="173" t="n">
        <x:f>'Weekly Points'!AA198</x:f>
        <x:v>1.2289989047761214</x:v>
      </x:c>
      <x:c r="M198" s="173" t="n">
        <x:f>'Weekly Points'!AB198</x:f>
        <x:v>0.47058823529411764</x:v>
      </x:c>
      <x:c r="N198" s="109" t="n">
        <x:f>0.5*J198+0.3*I198+0.2*H198</x:f>
        <x:v>1.0164705882352942</x:v>
      </x:c>
      <x:c r="O198" s="175" t="n">
        <x:v>12</x:v>
      </x:c>
      <x:c r="P198" s="175" t="n">
        <x:v>9</x:v>
      </x:c>
      <x:c r="Q198" s="175" t="n">
        <x:v>0</x:v>
      </x:c>
      <x:c r="R198" s="175" t="n">
        <x:v>36</x:v>
      </x:c>
      <x:c r="S198" s="175" t="n">
        <x:v>0</x:v>
      </x:c>
      <x:c r="T198" s="175" t="n">
        <x:v>1</x:v>
      </x:c>
      <x:c r="U198" s="175" t="n">
        <x:v>0</x:v>
      </x:c>
      <x:c r="V198" s="175" t="n">
        <x:f>SUM(S198:U198)</x:f>
        <x:v>1</x:v>
      </x:c>
      <x:c r="W198" s="108" t="str">
        <x:v>https://fantasy.espn.com/football/leaders?leagueId=555583&amp;lineupSlot=4&amp;scoringPeriodId=0&amp;statSplit=lastSeason</x:v>
      </x:c>
    </x:row>
    <x:row r="199">
      <x:c r="A199" s="108" t="str">
        <x:v>WR</x:v>
      </x:c>
      <x:c r="B199" s="175" t="n">
        <x:f>1+COUNTIFS($A$4:$A$356,A199,$J$4:$J$356,"&gt;"&amp;J199)</x:f>
        <x:v>82</x:v>
      </x:c>
      <x:c r="C199" s="175" t="n">
        <x:v>75</x:v>
      </x:c>
      <x:c r="D199" s="108" t="str">
        <x:v>Kendrick Bourne</x:v>
      </x:c>
      <x:c r="E199" s="108" t="str">
        <x:v>SF</x:v>
      </x:c>
      <x:c r="F199" s="108" t="str">
        <x:v>SF</x:v>
      </x:c>
      <x:c r="G199" s="109" t="n">
        <x:v>73.6</x:v>
      </x:c>
      <x:c r="H199" s="109" t="n">
        <x:f>'Weekly Points'!W199</x:f>
        <x:v>4.329411764705882</x:v>
      </x:c>
      <x:c r="I199" s="109" t="n">
        <x:f>'Weekly Points'!X199</x:f>
        <x:v>2.7</x:v>
      </x:c>
      <x:c r="J199" s="109" t="n">
        <x:f>'Weekly Points'!Y199</x:f>
        <x:v>0</x:v>
      </x:c>
      <x:c r="K199" s="109" t="n">
        <x:f>'Weekly Points'!Z199</x:f>
        <x:v>5.363686693692771</x:v>
      </x:c>
      <x:c r="L199" s="173" t="n">
        <x:f>'Weekly Points'!AA199</x:f>
        <x:v>1.2388950243583847</x:v>
      </x:c>
      <x:c r="M199" s="173" t="n">
        <x:f>'Weekly Points'!AB199</x:f>
        <x:v>0.29411764705882354</x:v>
      </x:c>
      <x:c r="N199" s="109" t="n">
        <x:f>0.5*J199+0.3*I199+0.2*H199</x:f>
        <x:v>1.6758823529411764</x:v>
      </x:c>
      <x:c r="O199" s="175" t="n">
        <x:v>12</x:v>
      </x:c>
      <x:c r="P199" s="175" t="n">
        <x:v>14</x:v>
      </x:c>
      <x:c r="Q199" s="175" t="n">
        <x:v>0</x:v>
      </x:c>
      <x:c r="R199" s="175" t="n">
        <x:v>53</x:v>
      </x:c>
      <x:c r="S199" s="175" t="n">
        <x:v>0</x:v>
      </x:c>
      <x:c r="T199" s="175" t="n">
        <x:v>0</x:v>
      </x:c>
      <x:c r="U199" s="175" t="n">
        <x:v>0</x:v>
      </x:c>
      <x:c r="V199" s="175" t="n">
        <x:f>SUM(S199:U199)</x:f>
        <x:v>0</x:v>
      </x:c>
      <x:c r="W199" s="108" t="str">
        <x:v>https://fantasy.espn.com/football/leaders?leagueId=555583&amp;lineupSlot=4&amp;scoringPeriodId=0&amp;statSplit=lastSeason</x:v>
      </x:c>
    </x:row>
    <x:row r="200">
      <x:c r="A200" s="108" t="str">
        <x:v>WR</x:v>
      </x:c>
      <x:c r="B200" s="175" t="n">
        <x:f>1+COUNTIFS($A$4:$A$356,A200,$J$4:$J$356,"&gt;"&amp;J200)</x:f>
        <x:v>82</x:v>
      </x:c>
      <x:c r="C200" s="175" t="n">
        <x:v>44</x:v>
      </x:c>
      <x:c r="D200" s="108" t="str">
        <x:v>Rashee Rice</x:v>
      </x:c>
      <x:c r="E200" s="108" t="str">
        <x:v>KC</x:v>
      </x:c>
      <x:c r="F200" s="108" t="str">
        <x:v>KC</x:v>
      </x:c>
      <x:c r="G200" s="109" t="n">
        <x:v>122.6</x:v>
      </x:c>
      <x:c r="H200" s="109" t="n">
        <x:f>'Weekly Points'!W200</x:f>
        <x:v>7.211764705882352</x:v>
      </x:c>
      <x:c r="I200" s="109" t="n">
        <x:f>'Weekly Points'!X200</x:f>
        <x:v>0</x:v>
      </x:c>
      <x:c r="J200" s="109" t="n">
        <x:f>'Weekly Points'!Y200</x:f>
        <x:v>0</x:v>
      </x:c>
      <x:c r="K200" s="109" t="n">
        <x:f>'Weekly Points'!Z200</x:f>
        <x:v>8.98730361663485</x:v>
      </x:c>
      <x:c r="L200" s="173" t="n">
        <x:f>'Weekly Points'!AA200</x:f>
        <x:v>1.2462003383588294</x:v>
      </x:c>
      <x:c r="M200" s="173" t="n">
        <x:f>'Weekly Points'!AB200</x:f>
        <x:v>0.5294117647058824</x:v>
      </x:c>
      <x:c r="N200" s="109" t="n">
        <x:f>0.5*J200+0.3*I200+0.2*H200</x:f>
        <x:v>1.4423529411764706</x:v>
      </x:c>
      <x:c r="O200" s="175" t="n">
        <x:v>8</x:v>
      </x:c>
      <x:c r="P200" s="175" t="n">
        <x:v>10</x:v>
      </x:c>
      <x:c r="Q200" s="175" t="n">
        <x:v>5</x:v>
      </x:c>
      <x:c r="R200" s="175" t="n">
        <x:v>78</x:v>
      </x:c>
      <x:c r="S200" s="175" t="n">
        <x:v>1</x:v>
      </x:c>
      <x:c r="T200" s="175" t="n">
        <x:v>5</x:v>
      </x:c>
      <x:c r="U200" s="175" t="n">
        <x:v>0</x:v>
      </x:c>
      <x:c r="V200" s="175" t="n">
        <x:f>SUM(S200:U200)</x:f>
        <x:v>6</x:v>
      </x:c>
      <x:c r="W200" s="108" t="str">
        <x:v>https://fantasy.espn.com/football/leaders?leagueId=555583&amp;lineupSlot=4&amp;scoringPeriodId=0&amp;statSplit=lastSeason</x:v>
      </x:c>
    </x:row>
    <x:row r="201">
      <x:c r="A201" s="108" t="str">
        <x:v>WR</x:v>
      </x:c>
      <x:c r="B201" s="175" t="n">
        <x:f>1+COUNTIFS($A$4:$A$356,A201,$J$4:$J$356,"&gt;"&amp;J201)</x:f>
        <x:v>82</x:v>
      </x:c>
      <x:c r="C201" s="175" t="n">
        <x:v>107</x:v>
      </x:c>
      <x:c r="D201" s="108" t="str">
        <x:v>Cedric Tillman</x:v>
      </x:c>
      <x:c r="E201" s="108" t="str">
        <x:v>CLE</x:v>
      </x:c>
      <x:c r="F201" s="108" t="str">
        <x:v>CLE</x:v>
      </x:c>
      <x:c r="G201" s="109" t="n">
        <x:v>49.5</x:v>
      </x:c>
      <x:c r="H201" s="109" t="n">
        <x:f>'Weekly Points'!W201</x:f>
        <x:v>2.911764705882353</x:v>
      </x:c>
      <x:c r="I201" s="109" t="n">
        <x:f>'Weekly Points'!X201</x:f>
        <x:v>1.3</x:v>
      </x:c>
      <x:c r="J201" s="109" t="n">
        <x:f>'Weekly Points'!Y201</x:f>
        <x:v>0</x:v>
      </x:c>
      <x:c r="K201" s="109" t="n">
        <x:f>'Weekly Points'!Z201</x:f>
        <x:v>3.725726514692636</x:v>
      </x:c>
      <x:c r="L201" s="173" t="n">
        <x:f>'Weekly Points'!AA201</x:f>
        <x:v>1.2795424393893902</x:v>
      </x:c>
      <x:c r="M201" s="173" t="n">
        <x:f>'Weekly Points'!AB201</x:f>
        <x:v>0.5294117647058824</x:v>
      </x:c>
      <x:c r="N201" s="109" t="n">
        <x:f>0.5*J201+0.3*I201+0.2*H201</x:f>
        <x:v>0.9723529411764706</x:v>
      </x:c>
      <x:c r="O201" s="175" t="n">
        <x:v>11</x:v>
      </x:c>
      <x:c r="P201" s="175" t="n">
        <x:v>9</x:v>
      </x:c>
      <x:c r="Q201" s="175" t="n">
        <x:v>0</x:v>
      </x:c>
      <x:c r="R201" s="175" t="n">
        <x:v>39</x:v>
      </x:c>
      <x:c r="S201" s="175" t="n">
        <x:v>0</x:v>
      </x:c>
      <x:c r="T201" s="175" t="n">
        <x:v>2</x:v>
      </x:c>
      <x:c r="U201" s="175" t="n">
        <x:v>0</x:v>
      </x:c>
      <x:c r="V201" s="175" t="n">
        <x:f>SUM(S201:U201)</x:f>
        <x:v>2</x:v>
      </x:c>
      <x:c r="W201" s="108" t="str">
        <x:v>https://fantasy.espn.com/football/leaders?leagueId=555583&amp;lineupSlot=4&amp;scoringPeriodId=0&amp;statSplit=lastSeason</x:v>
      </x:c>
    </x:row>
    <x:row r="202">
      <x:c r="A202" s="108" t="str">
        <x:v>WR</x:v>
      </x:c>
      <x:c r="B202" s="175" t="n">
        <x:f>1+COUNTIFS($A$4:$A$356,A202,$J$4:$J$356,"&gt;"&amp;J202)</x:f>
        <x:v>82</x:v>
      </x:c>
      <x:c r="C202" s="175" t="n">
        <x:v>81</x:v>
      </x:c>
      <x:c r="D202" s="108" t="str">
        <x:v>Ricky Pearsall</x:v>
      </x:c>
      <x:c r="E202" s="108" t="str">
        <x:v>SF</x:v>
      </x:c>
      <x:c r="F202" s="108" t="str">
        <x:v>SF</x:v>
      </x:c>
      <x:c r="G202" s="109" t="n">
        <x:v>70.6</x:v>
      </x:c>
      <x:c r="H202" s="109" t="n">
        <x:f>'Weekly Points'!W202</x:f>
        <x:v>4.152941176470588</x:v>
      </x:c>
      <x:c r="I202" s="109" t="n">
        <x:f>'Weekly Points'!X202</x:f>
        <x:v>0.5</x:v>
      </x:c>
      <x:c r="J202" s="109" t="n">
        <x:f>'Weekly Points'!Y202</x:f>
        <x:v>0</x:v>
      </x:c>
      <x:c r="K202" s="109" t="n">
        <x:f>'Weekly Points'!Z202</x:f>
        <x:v>5.431619588067722</x:v>
      </x:c>
      <x:c r="L202" s="173" t="n">
        <x:f>'Weekly Points'!AA202</x:f>
        <x:v>1.3078970679483186</x:v>
      </x:c>
      <x:c r="M202" s="173" t="n">
        <x:f>'Weekly Points'!AB202</x:f>
        <x:v>0.5882352941176471</x:v>
      </x:c>
      <x:c r="N202" s="109" t="n">
        <x:f>0.5*J202+0.3*I202+0.2*H202</x:f>
        <x:v>0.9805882352941176</x:v>
      </x:c>
      <x:c r="O202" s="175" t="n">
        <x:v>9</x:v>
      </x:c>
      <x:c r="P202" s="175" t="n">
        <x:v>14</x:v>
      </x:c>
      <x:c r="Q202" s="175" t="n">
        <x:v>2</x:v>
      </x:c>
      <x:c r="R202" s="175" t="n">
        <x:v>53</x:v>
      </x:c>
      <x:c r="S202" s="175" t="n">
        <x:v>0</x:v>
      </x:c>
      <x:c r="T202" s="175" t="n">
        <x:v>0</x:v>
      </x:c>
      <x:c r="U202" s="175" t="n">
        <x:v>0</x:v>
      </x:c>
      <x:c r="V202" s="175" t="n">
        <x:f>SUM(S202:U202)</x:f>
        <x:v>0</x:v>
      </x:c>
      <x:c r="W202" s="108" t="str">
        <x:v>https://fantasy.espn.com/football/leaders?leagueId=555583&amp;lineupSlot=4&amp;scoringPeriodId=0&amp;statSplit=lastSeason</x:v>
      </x:c>
    </x:row>
    <x:row r="203">
      <x:c r="A203" s="108" t="str">
        <x:v>WR</x:v>
      </x:c>
      <x:c r="B203" s="175" t="n">
        <x:f>1+COUNTIFS($A$4:$A$356,A203,$J$4:$J$356,"&gt;"&amp;J203)</x:f>
        <x:v>82</x:v>
      </x:c>
      <x:c r="C203" s="175" t="n">
        <x:v>83</x:v>
      </x:c>
      <x:c r="D203" s="108" t="str">
        <x:v>Mike Evans</x:v>
      </x:c>
      <x:c r="E203" s="108" t="str">
        <x:v>TB</x:v>
      </x:c>
      <x:c r="F203" s="108" t="str">
        <x:v>TB</x:v>
      </x:c>
      <x:c r="G203" s="109" t="n">
        <x:v>69.8</x:v>
      </x:c>
      <x:c r="H203" s="109" t="n">
        <x:f>'Weekly Points'!W203</x:f>
        <x:v>4.105882352941177</x:v>
      </x:c>
      <x:c r="I203" s="109" t="n">
        <x:f>'Weekly Points'!X203</x:f>
        <x:v>0</x:v>
      </x:c>
      <x:c r="J203" s="109" t="n">
        <x:f>'Weekly Points'!Y203</x:f>
        <x:v>0</x:v>
      </x:c>
      <x:c r="K203" s="109" t="n">
        <x:f>'Weekly Points'!Z203</x:f>
        <x:v>5.386199204310226</x:v>
      </x:c>
      <x:c r="L203" s="173" t="n">
        <x:f>'Weekly Points'!AA203</x:f>
        <x:v>1.311825021107075</x:v>
      </x:c>
      <x:c r="M203" s="173" t="n">
        <x:f>'Weekly Points'!AB203</x:f>
        <x:v>0.5882352941176471</x:v>
      </x:c>
      <x:c r="N203" s="109" t="n">
        <x:f>0.5*J203+0.3*I203+0.2*H203</x:f>
        <x:v>0.8211764705882354</x:v>
      </x:c>
      <x:c r="O203" s="175" t="n">
        <x:v>7</x:v>
      </x:c>
      <x:c r="P203" s="175" t="n">
        <x:v>9</x:v>
      </x:c>
      <x:c r="Q203" s="175" t="n">
        <x:v>0</x:v>
      </x:c>
      <x:c r="R203" s="175" t="n">
        <x:v>61</x:v>
      </x:c>
      <x:c r="S203" s="175" t="n">
        <x:v>0</x:v>
      </x:c>
      <x:c r="T203" s="175" t="n">
        <x:v>3</x:v>
      </x:c>
      <x:c r="U203" s="175" t="n">
        <x:v>0</x:v>
      </x:c>
      <x:c r="V203" s="175" t="n">
        <x:f>SUM(S203:U203)</x:f>
        <x:v>3</x:v>
      </x:c>
      <x:c r="W203" s="108" t="str">
        <x:v>https://fantasy.espn.com/football/leaders?leagueId=555583&amp;lineupSlot=4&amp;scoringPeriodId=0&amp;statSplit=lastSeason</x:v>
      </x:c>
    </x:row>
    <x:row r="204">
      <x:c r="A204" s="108" t="str">
        <x:v>WR</x:v>
      </x:c>
      <x:c r="B204" s="175" t="n">
        <x:f>1+COUNTIFS($A$4:$A$356,A204,$J$4:$J$356,"&gt;"&amp;J204)</x:f>
        <x:v>82</x:v>
      </x:c>
      <x:c r="C204" s="175" t="n">
        <x:v>80</x:v>
      </x:c>
      <x:c r="D204" s="108" t="str">
        <x:v>Luke McCaffrey</x:v>
      </x:c>
      <x:c r="E204" s="108" t="str">
        <x:v>WSH</x:v>
      </x:c>
      <x:c r="F204" s="108" t="str">
        <x:v>WSH</x:v>
      </x:c>
      <x:c r="G204" s="109" t="n">
        <x:v>70.87</x:v>
      </x:c>
      <x:c r="H204" s="109" t="n">
        <x:f>'Weekly Points'!W204</x:f>
        <x:v>4.168823529411764</x:v>
      </x:c>
      <x:c r="I204" s="109" t="n">
        <x:f>'Weekly Points'!X204</x:f>
        <x:v>0.57</x:v>
      </x:c>
      <x:c r="J204" s="109" t="n">
        <x:f>'Weekly Points'!Y204</x:f>
        <x:v>0</x:v>
      </x:c>
      <x:c r="K204" s="109" t="n">
        <x:f>'Weekly Points'!Z204</x:f>
        <x:v>5.577103277585788</x:v>
      </x:c>
      <x:c r="L204" s="173" t="n">
        <x:f>'Weekly Points'!AA204</x:f>
        <x:v>1.3378122720327137</x:v>
      </x:c>
      <x:c r="M204" s="173" t="n">
        <x:f>'Weekly Points'!AB204</x:f>
        <x:v>0.5882352941176471</x:v>
      </x:c>
      <x:c r="N204" s="109" t="n">
        <x:f>0.5*J204+0.3*I204+0.2*H204</x:f>
        <x:v>1.0047647058823528</x:v>
      </x:c>
      <x:c r="O204" s="175" t="n">
        <x:v>9</x:v>
      </x:c>
      <x:c r="P204" s="175" t="n">
        <x:v>12</x:v>
      </x:c>
      <x:c r="Q204" s="175" t="n">
        <x:v>0</x:v>
      </x:c>
      <x:c r="R204" s="175" t="n">
        <x:v>15</x:v>
      </x:c>
      <x:c r="S204" s="175" t="n">
        <x:v>0</x:v>
      </x:c>
      <x:c r="T204" s="175" t="n">
        <x:v>3</x:v>
      </x:c>
      <x:c r="U204" s="175" t="n">
        <x:v>0</x:v>
      </x:c>
      <x:c r="V204" s="175" t="n">
        <x:f>SUM(S204:U204)</x:f>
        <x:v>3</x:v>
      </x:c>
      <x:c r="W204" s="108" t="str">
        <x:v>https://fantasy.espn.com/football/leaders?leagueId=555583&amp;lineupSlot=4&amp;scoringPeriodId=0&amp;statSplit=lastSeason</x:v>
      </x:c>
    </x:row>
    <x:row r="205">
      <x:c r="A205" s="108" t="str">
        <x:v>WR</x:v>
      </x:c>
      <x:c r="B205" s="175" t="n">
        <x:f>1+COUNTIFS($A$4:$A$356,A205,$J$4:$J$356,"&gt;"&amp;J205)</x:f>
        <x:v>82</x:v>
      </x:c>
      <x:c r="C205" s="175" t="n">
        <x:v>77</x:v>
      </x:c>
      <x:c r="D205" s="108" t="str">
        <x:v>Adonai Mitchell</x:v>
      </x:c>
      <x:c r="E205" s="108" t="str">
        <x:v>NYJ/IND</x:v>
      </x:c>
      <x:c r="F205" s="108" t="str">
        <x:v>NYJ</x:v>
      </x:c>
      <x:c r="G205" s="109" t="n">
        <x:v>73.4</x:v>
      </x:c>
      <x:c r="H205" s="109" t="n">
        <x:f>'Weekly Points'!W205</x:f>
        <x:v>4.2294117647058815</x:v>
      </x:c>
      <x:c r="I205" s="109" t="n">
        <x:f>'Weekly Points'!X205</x:f>
        <x:v>2.9</x:v>
      </x:c>
      <x:c r="J205" s="109" t="n">
        <x:f>'Weekly Points'!Y205</x:f>
        <x:v>0</x:v>
      </x:c>
      <x:c r="K205" s="109" t="n">
        <x:f>'Weekly Points'!Z205</x:f>
        <x:v>5.858303780395056</x:v>
      </x:c>
      <x:c r="L205" s="173" t="n">
        <x:f>'Weekly Points'!AA205</x:f>
        <x:v>1.3851344126107925</x:v>
      </x:c>
      <x:c r="M205" s="173" t="n">
        <x:f>'Weekly Points'!AB205</x:f>
        <x:v>0.47058823529411764</x:v>
      </x:c>
      <x:c r="N205" s="109" t="n">
        <x:f>0.5*J205+0.3*I205+0.2*H205</x:f>
        <x:v>1.7158823529411764</x:v>
      </x:c>
      <x:c r="O205" s="175" t="n">
        <x:v>11</x:v>
      </x:c>
      <x:c r="P205" s="175" t="n">
        <x:v>11</x:v>
      </x:c>
      <x:c r="Q205" s="175" t="n">
        <x:v>1</x:v>
      </x:c>
      <x:c r="R205" s="175" t="n">
        <x:v>74</x:v>
      </x:c>
      <x:c r="S205" s="175" t="n">
        <x:v>0</x:v>
      </x:c>
      <x:c r="T205" s="175" t="n">
        <x:v>2</x:v>
      </x:c>
      <x:c r="U205" s="175" t="n">
        <x:v>0</x:v>
      </x:c>
      <x:c r="V205" s="175" t="n">
        <x:f>SUM(S205:U205)</x:f>
        <x:v>2</x:v>
      </x:c>
      <x:c r="W205" s="108" t="str">
        <x:v>https://fantasy.espn.com/football/leaders?leagueId=555583&amp;lineupSlot=4&amp;scoringPeriodId=0&amp;statSplit=lastSeason</x:v>
      </x:c>
    </x:row>
    <x:row r="206">
      <x:c r="A206" s="108" t="str">
        <x:v>WR</x:v>
      </x:c>
      <x:c r="B206" s="175" t="n">
        <x:f>1+COUNTIFS($A$4:$A$356,A206,$J$4:$J$356,"&gt;"&amp;J206)</x:f>
        <x:v>82</x:v>
      </x:c>
      <x:c r="C206" s="175" t="n">
        <x:v>86</x:v>
      </x:c>
      <x:c r="D206" s="108" t="str">
        <x:v>Chris Godwin Jr.</x:v>
      </x:c>
      <x:c r="E206" s="108" t="str">
        <x:v>TB</x:v>
      </x:c>
      <x:c r="F206" s="108" t="str">
        <x:v>TB</x:v>
      </x:c>
      <x:c r="G206" s="109" t="n">
        <x:v>66.5</x:v>
      </x:c>
      <x:c r="H206" s="109" t="n">
        <x:f>'Weekly Points'!W206</x:f>
        <x:v>3.911764705882353</x:v>
      </x:c>
      <x:c r="I206" s="109" t="n">
        <x:f>'Weekly Points'!X206</x:f>
        <x:v>1.3</x:v>
      </x:c>
      <x:c r="J206" s="109" t="n">
        <x:f>'Weekly Points'!Y206</x:f>
        <x:v>0</x:v>
      </x:c>
      <x:c r="K206" s="109" t="n">
        <x:f>'Weekly Points'!Z206</x:f>
        <x:v>5.507308764450166</x:v>
      </x:c>
      <x:c r="L206" s="173" t="n">
        <x:f>'Weekly Points'!AA206</x:f>
        <x:v>1.4078834435436516</x:v>
      </x:c>
      <x:c r="M206" s="173" t="n">
        <x:f>'Weekly Points'!AB206</x:f>
        <x:v>0.5882352941176471</x:v>
      </x:c>
      <x:c r="N206" s="109" t="n">
        <x:f>0.5*J206+0.3*I206+0.2*H206</x:f>
        <x:v>1.1723529411764706</x:v>
      </x:c>
      <x:c r="O206" s="175" t="n">
        <x:v>9</x:v>
      </x:c>
      <x:c r="P206" s="175" t="n">
        <x:v>9</x:v>
      </x:c>
      <x:c r="Q206" s="175" t="n">
        <x:v>0</x:v>
      </x:c>
      <x:c r="R206" s="175" t="n">
        <x:v>51</x:v>
      </x:c>
      <x:c r="S206" s="175" t="n">
        <x:v>0</x:v>
      </x:c>
      <x:c r="T206" s="175" t="n">
        <x:v>2</x:v>
      </x:c>
      <x:c r="U206" s="175" t="n">
        <x:v>0</x:v>
      </x:c>
      <x:c r="V206" s="175" t="n">
        <x:f>SUM(S206:U206)</x:f>
        <x:v>2</x:v>
      </x:c>
      <x:c r="W206" s="108" t="str">
        <x:v>https://fantasy.espn.com/football/leaders?leagueId=555583&amp;lineupSlot=4&amp;scoringPeriodId=0&amp;statSplit=lastSeason</x:v>
      </x:c>
    </x:row>
    <x:row r="207">
      <x:c r="A207" s="108" t="str">
        <x:v>WR</x:v>
      </x:c>
      <x:c r="B207" s="175" t="n">
        <x:f>1+COUNTIFS($A$4:$A$356,A207,$J$4:$J$356,"&gt;"&amp;J207)</x:f>
        <x:v>82</x:v>
      </x:c>
      <x:c r="C207" s="175" t="n">
        <x:v>112</x:v>
      </x:c>
      <x:c r="D207" s="108" t="str">
        <x:v>Rashod Bateman</x:v>
      </x:c>
      <x:c r="E207" s="108" t="str">
        <x:v>BAL</x:v>
      </x:c>
      <x:c r="F207" s="108" t="str">
        <x:v>BAL</x:v>
      </x:c>
      <x:c r="G207" s="109" t="n">
        <x:v>45.9</x:v>
      </x:c>
      <x:c r="H207" s="109" t="n">
        <x:f>'Weekly Points'!W207</x:f>
        <x:v>2.7</x:v>
      </x:c>
      <x:c r="I207" s="109" t="n">
        <x:f>'Weekly Points'!X207</x:f>
        <x:v>1.3</x:v>
      </x:c>
      <x:c r="J207" s="109" t="n">
        <x:f>'Weekly Points'!Y207</x:f>
        <x:v>0</x:v>
      </x:c>
      <x:c r="K207" s="109" t="n">
        <x:f>'Weekly Points'!Z207</x:f>
        <x:v>3.8051049301447346</x:v>
      </x:c>
      <x:c r="L207" s="173" t="n">
        <x:f>'Weekly Points'!AA207</x:f>
        <x:v>1.4092981222758276</x:v>
      </x:c>
      <x:c r="M207" s="173" t="n">
        <x:f>'Weekly Points'!AB207</x:f>
        <x:v>0.5294117647058824</x:v>
      </x:c>
      <x:c r="N207" s="109" t="n">
        <x:f>0.5*J207+0.3*I207+0.2*H207</x:f>
        <x:v>0.93</x:v>
      </x:c>
      <x:c r="O207" s="175" t="n">
        <x:v>10</x:v>
      </x:c>
      <x:c r="P207" s="175" t="n">
        <x:v>7</x:v>
      </x:c>
      <x:c r="Q207" s="175" t="n">
        <x:v>0</x:v>
      </x:c>
      <x:c r="R207" s="175" t="n">
        <x:v>38</x:v>
      </x:c>
      <x:c r="S207" s="175" t="n">
        <x:v>0</x:v>
      </x:c>
      <x:c r="T207" s="175" t="n">
        <x:v>2</x:v>
      </x:c>
      <x:c r="U207" s="175" t="n">
        <x:v>0</x:v>
      </x:c>
      <x:c r="V207" s="175" t="n">
        <x:f>SUM(S207:U207)</x:f>
        <x:v>2</x:v>
      </x:c>
      <x:c r="W207" s="108" t="str">
        <x:v>https://fantasy.espn.com/football/leaders?leagueId=555583&amp;lineupSlot=4&amp;scoringPeriodId=0&amp;statSplit=lastSeason</x:v>
      </x:c>
    </x:row>
    <x:row r="208">
      <x:c r="A208" s="108" t="str">
        <x:v>WR</x:v>
      </x:c>
      <x:c r="B208" s="175" t="n">
        <x:f>1+COUNTIFS($A$4:$A$356,A208,$J$4:$J$356,"&gt;"&amp;J208)</x:f>
        <x:v>82</x:v>
      </x:c>
      <x:c r="C208" s="175" t="n">
        <x:v>117</x:v>
      </x:c>
      <x:c r="D208" s="108" t="str">
        <x:v>Christian Kirk</x:v>
      </x:c>
      <x:c r="E208" s="108" t="str">
        <x:v>HOU</x:v>
      </x:c>
      <x:c r="F208" s="108" t="str">
        <x:v>HOU</x:v>
      </x:c>
      <x:c r="G208" s="109" t="n">
        <x:v>43.9</x:v>
      </x:c>
      <x:c r="H208" s="109" t="n">
        <x:f>'Weekly Points'!W208</x:f>
        <x:v>2.582352941176471</x:v>
      </x:c>
      <x:c r="I208" s="109" t="n">
        <x:f>'Weekly Points'!X208</x:f>
        <x:v>1.1</x:v>
      </x:c>
      <x:c r="J208" s="109" t="n">
        <x:f>'Weekly Points'!Y208</x:f>
        <x:v>0</x:v>
      </x:c>
      <x:c r="K208" s="109" t="n">
        <x:f>'Weekly Points'!Z208</x:f>
        <x:v>3.687536288015689</x:v>
      </x:c>
      <x:c r="L208" s="173" t="n">
        <x:f>'Weekly Points'!AA208</x:f>
        <x:v>1.4279753279331822</x:v>
      </x:c>
      <x:c r="M208" s="173" t="n">
        <x:f>'Weekly Points'!AB208</x:f>
        <x:v>0.6470588235294118</x:v>
      </x:c>
      <x:c r="N208" s="109" t="n">
        <x:f>0.5*J208+0.3*I208+0.2*H208</x:f>
        <x:v>0.8464705882352943</x:v>
      </x:c>
      <x:c r="O208" s="175" t="n">
        <x:v>11</x:v>
      </x:c>
      <x:c r="P208" s="175" t="n">
        <x:v>6</x:v>
      </x:c>
      <x:c r="Q208" s="175" t="n">
        <x:v>0</x:v>
      </x:c>
      <x:c r="R208" s="175" t="n">
        <x:v>52</x:v>
      </x:c>
      <x:c r="S208" s="175" t="n">
        <x:v>0</x:v>
      </x:c>
      <x:c r="T208" s="175" t="n">
        <x:v>1</x:v>
      </x:c>
      <x:c r="U208" s="175" t="n">
        <x:v>0</x:v>
      </x:c>
      <x:c r="V208" s="175" t="n">
        <x:f>SUM(S208:U208)</x:f>
        <x:v>1</x:v>
      </x:c>
      <x:c r="W208" s="108" t="str">
        <x:v>https://fantasy.espn.com/football/leaders?leagueId=555583&amp;lineupSlot=4&amp;scoringPeriodId=0&amp;statSplit=lastSeason</x:v>
      </x:c>
    </x:row>
    <x:row r="209">
      <x:c r="A209" s="108" t="str">
        <x:v>WR</x:v>
      </x:c>
      <x:c r="B209" s="175" t="n">
        <x:f>1+COUNTIFS($A$4:$A$356,A209,$J$4:$J$356,"&gt;"&amp;J209)</x:f>
        <x:v>82</x:v>
      </x:c>
      <x:c r="C209" s="175" t="n">
        <x:v>122</x:v>
      </x:c>
      <x:c r="D209" s="108" t="str">
        <x:v>Jalen Tolbert</x:v>
      </x:c>
      <x:c r="E209" s="108" t="str">
        <x:v>DAL</x:v>
      </x:c>
      <x:c r="F209" s="108" t="str">
        <x:v>DAL</x:v>
      </x:c>
      <x:c r="G209" s="109" t="n">
        <x:v>40.45</x:v>
      </x:c>
      <x:c r="H209" s="109" t="n">
        <x:f>'Weekly Points'!W209</x:f>
        <x:v>2.3794117647058823</x:v>
      </x:c>
      <x:c r="I209" s="109" t="n">
        <x:f>'Weekly Points'!X209</x:f>
        <x:v>0</x:v>
      </x:c>
      <x:c r="J209" s="109" t="n">
        <x:f>'Weekly Points'!Y209</x:f>
        <x:v>0</x:v>
      </x:c>
      <x:c r="K209" s="109" t="n">
        <x:f>'Weekly Points'!Z209</x:f>
        <x:v>3.4377257711325147</x:v>
      </x:c>
      <x:c r="L209" s="173" t="n">
        <x:f>'Weekly Points'!AA209</x:f>
        <x:v>1.444779681316508</x:v>
      </x:c>
      <x:c r="M209" s="173" t="n">
        <x:f>'Weekly Points'!AB209</x:f>
        <x:v>0.5882352941176471</x:v>
      </x:c>
      <x:c r="N209" s="109" t="n">
        <x:f>0.5*J209+0.3*I209+0.2*H209</x:f>
        <x:v>0.4758823529411765</x:v>
      </x:c>
      <x:c r="O209" s="175" t="n">
        <x:v>8</x:v>
      </x:c>
      <x:c r="P209" s="175" t="n">
        <x:v>10</x:v>
      </x:c>
      <x:c r="Q209" s="175" t="n">
        <x:v>0</x:v>
      </x:c>
      <x:c r="R209" s="175" t="n">
        <x:v>34</x:v>
      </x:c>
      <x:c r="S209" s="175" t="n">
        <x:v>0</x:v>
      </x:c>
      <x:c r="T209" s="175" t="n">
        <x:v>1</x:v>
      </x:c>
      <x:c r="U209" s="175" t="n">
        <x:v>0</x:v>
      </x:c>
      <x:c r="V209" s="175" t="n">
        <x:f>SUM(S209:U209)</x:f>
        <x:v>1</x:v>
      </x:c>
      <x:c r="W209" s="108" t="str">
        <x:v>https://fantasy.espn.com/football/leaders?leagueId=555583&amp;lineupSlot=4&amp;scoringPeriodId=0&amp;statSplit=lastSeason</x:v>
      </x:c>
    </x:row>
    <x:row r="210">
      <x:c r="A210" s="108" t="str">
        <x:v>WR</x:v>
      </x:c>
      <x:c r="B210" s="175" t="n">
        <x:f>1+COUNTIFS($A$4:$A$356,A210,$J$4:$J$356,"&gt;"&amp;J210)</x:f>
        <x:v>82</x:v>
      </x:c>
      <x:c r="C210" s="175" t="n">
        <x:v>124</x:v>
      </x:c>
      <x:c r="D210" s="108" t="str">
        <x:v>David Sills V</x:v>
      </x:c>
      <x:c r="E210" s="108" t="str">
        <x:v>ATL</x:v>
      </x:c>
      <x:c r="F210" s="108" t="str">
        <x:v>ATL</x:v>
      </x:c>
      <x:c r="G210" s="109" t="n">
        <x:v>40.1</x:v>
      </x:c>
      <x:c r="H210" s="109" t="n">
        <x:f>'Weekly Points'!W210</x:f>
        <x:v>2.3588235294117648</x:v>
      </x:c>
      <x:c r="I210" s="109" t="n">
        <x:f>'Weekly Points'!X210</x:f>
        <x:v>0</x:v>
      </x:c>
      <x:c r="J210" s="109" t="n">
        <x:f>'Weekly Points'!Y210</x:f>
        <x:v>0</x:v>
      </x:c>
      <x:c r="K210" s="109" t="n">
        <x:f>'Weekly Points'!Z210</x:f>
        <x:v>3.4990853970597735</x:v>
      </x:c>
      <x:c r="L210" s="173" t="n">
        <x:f>'Weekly Points'!AA210</x:f>
        <x:v>1.4834027867834452</x:v>
      </x:c>
      <x:c r="M210" s="173" t="n">
        <x:f>'Weekly Points'!AB210</x:f>
        <x:v>0.5294117647058824</x:v>
      </x:c>
      <x:c r="N210" s="109" t="n">
        <x:f>0.5*J210+0.3*I210+0.2*H210</x:f>
        <x:v>0.471764705882353</x:v>
      </x:c>
      <x:c r="O210" s="175" t="n">
        <x:v>8</x:v>
      </x:c>
      <x:c r="P210" s="175" t="n">
        <x:v>5</x:v>
      </x:c>
      <x:c r="Q210" s="175" t="n">
        <x:v>0</x:v>
      </x:c>
      <x:c r="R210" s="175" t="n">
        <x:v>36</x:v>
      </x:c>
      <x:c r="S210" s="175" t="n">
        <x:v>0</x:v>
      </x:c>
      <x:c r="T210" s="175" t="n">
        <x:v>2</x:v>
      </x:c>
      <x:c r="U210" s="175" t="n">
        <x:v>0</x:v>
      </x:c>
      <x:c r="V210" s="175" t="n">
        <x:f>SUM(S210:U210)</x:f>
        <x:v>2</x:v>
      </x:c>
      <x:c r="W210" s="108" t="str">
        <x:v>https://fantasy.espn.com/football/leaders?leagueId=555583&amp;lineupSlot=4&amp;scoringPeriodId=0&amp;statSplit=lastSeason</x:v>
      </x:c>
    </x:row>
    <x:row r="211">
      <x:c r="A211" s="108" t="str">
        <x:v>WR</x:v>
      </x:c>
      <x:c r="B211" s="175" t="n">
        <x:f>1+COUNTIFS($A$4:$A$356,A211,$J$4:$J$356,"&gt;"&amp;J211)</x:f>
        <x:v>82</x:v>
      </x:c>
      <x:c r="C211" s="175" t="n">
        <x:v>102</x:v>
      </x:c>
      <x:c r="D211" s="108" t="str">
        <x:v>Devaughn Vele</x:v>
      </x:c>
      <x:c r="E211" s="108" t="str">
        <x:v>NO</x:v>
      </x:c>
      <x:c r="F211" s="108" t="str">
        <x:v>NO</x:v>
      </x:c>
      <x:c r="G211" s="109" t="n">
        <x:v>53.8</x:v>
      </x:c>
      <x:c r="H211" s="109" t="n">
        <x:f>'Weekly Points'!W211</x:f>
        <x:v>3.164705882352941</x:v>
      </x:c>
      <x:c r="I211" s="109" t="n">
        <x:f>'Weekly Points'!X211</x:f>
        <x:v>1.5</x:v>
      </x:c>
      <x:c r="J211" s="109" t="n">
        <x:f>'Weekly Points'!Y211</x:f>
        <x:v>0</x:v>
      </x:c>
      <x:c r="K211" s="109" t="n">
        <x:f>'Weekly Points'!Z211</x:f>
        <x:v>4.904372739945277</x:v>
      </x:c>
      <x:c r="L211" s="173" t="n">
        <x:f>'Weekly Points'!AA211</x:f>
        <x:v>1.5497088583470207</x:v>
      </x:c>
      <x:c r="M211" s="173" t="n">
        <x:f>'Weekly Points'!AB211</x:f>
        <x:v>0.5294117647058824</x:v>
      </x:c>
      <x:c r="N211" s="109" t="n">
        <x:f>0.5*J211+0.3*I211+0.2*H211</x:f>
        <x:v>1.0829411764705883</x:v>
      </x:c>
      <x:c r="O211" s="175" t="n">
        <x:v>9</x:v>
      </x:c>
      <x:c r="P211" s="175" t="n">
        <x:v>11</x:v>
      </x:c>
      <x:c r="Q211" s="175" t="n">
        <x:v>0</x:v>
      </x:c>
      <x:c r="R211" s="175" t="n">
        <x:v>39</x:v>
      </x:c>
      <x:c r="S211" s="175" t="n">
        <x:v>0</x:v>
      </x:c>
      <x:c r="T211" s="175" t="n">
        <x:v>2</x:v>
      </x:c>
      <x:c r="U211" s="175" t="n">
        <x:v>0</x:v>
      </x:c>
      <x:c r="V211" s="175" t="n">
        <x:f>SUM(S211:U211)</x:f>
        <x:v>2</x:v>
      </x:c>
      <x:c r="W211" s="108" t="str">
        <x:v>https://fantasy.espn.com/football/leaders?leagueId=555583&amp;lineupSlot=4&amp;scoringPeriodId=0&amp;statSplit=lastSeason</x:v>
      </x:c>
    </x:row>
    <x:row r="212">
      <x:c r="A212" s="108" t="str">
        <x:v>WR</x:v>
      </x:c>
      <x:c r="B212" s="175" t="n">
        <x:f>1+COUNTIFS($A$4:$A$356,A212,$J$4:$J$356,"&gt;"&amp;J212)</x:f>
        <x:v>82</x:v>
      </x:c>
      <x:c r="C212" s="175" t="n">
        <x:v>100</x:v>
      </x:c>
      <x:c r="D212" s="108" t="str">
        <x:v>Kyle Williams</x:v>
      </x:c>
      <x:c r="E212" s="108" t="str">
        <x:v>NE</x:v>
      </x:c>
      <x:c r="F212" s="108" t="str">
        <x:v>NE</x:v>
      </x:c>
      <x:c r="G212" s="109" t="n">
        <x:v>54.9</x:v>
      </x:c>
      <x:c r="H212" s="109" t="n">
        <x:f>'Weekly Points'!W212</x:f>
        <x:v>3.229411764705882</x:v>
      </x:c>
      <x:c r="I212" s="109" t="n">
        <x:f>'Weekly Points'!X212</x:f>
        <x:v>0.5</x:v>
      </x:c>
      <x:c r="J212" s="109" t="n">
        <x:f>'Weekly Points'!Y212</x:f>
        <x:v>0</x:v>
      </x:c>
      <x:c r="K212" s="109" t="n">
        <x:f>'Weekly Points'!Z212</x:f>
        <x:v>5.02433076677673</x:v>
      </x:c>
      <x:c r="L212" s="173" t="n">
        <x:f>'Weekly Points'!AA212</x:f>
        <x:v>1.5558036982733046</x:v>
      </x:c>
      <x:c r="M212" s="173" t="n">
        <x:f>'Weekly Points'!AB212</x:f>
        <x:v>0.5882352941176471</x:v>
      </x:c>
      <x:c r="N212" s="109" t="n">
        <x:f>0.5*J212+0.3*I212+0.2*H212</x:f>
        <x:v>0.7958823529411765</x:v>
      </x:c>
      <x:c r="O212" s="175" t="n">
        <x:v>10</x:v>
      </x:c>
      <x:c r="P212" s="175" t="n">
        <x:v>14</x:v>
      </x:c>
      <x:c r="Q212" s="175" t="n">
        <x:v>2</x:v>
      </x:c>
      <x:c r="R212" s="175" t="n">
        <x:v>21</x:v>
      </x:c>
      <x:c r="S212" s="175" t="n">
        <x:v>0</x:v>
      </x:c>
      <x:c r="T212" s="175" t="n">
        <x:v>3</x:v>
      </x:c>
      <x:c r="U212" s="175" t="n">
        <x:v>0</x:v>
      </x:c>
      <x:c r="V212" s="175" t="n">
        <x:f>SUM(S212:U212)</x:f>
        <x:v>3</x:v>
      </x:c>
      <x:c r="W212" s="108" t="str">
        <x:v>https://fantasy.espn.com/football/leaders?leagueId=555583&amp;lineupSlot=4&amp;scoringPeriodId=0&amp;statSplit=lastSeason</x:v>
      </x:c>
    </x:row>
    <x:row r="213">
      <x:c r="A213" s="108" t="str">
        <x:v>WR</x:v>
      </x:c>
      <x:c r="B213" s="175" t="n">
        <x:f>1+COUNTIFS($A$4:$A$356,A213,$J$4:$J$356,"&gt;"&amp;J213)</x:f>
        <x:v>82</x:v>
      </x:c>
      <x:c r="C213" s="175" t="n">
        <x:v>70</x:v>
      </x:c>
      <x:c r="D213" s="108" t="str">
        <x:v>Garrett Wilson</x:v>
      </x:c>
      <x:c r="E213" s="108" t="str">
        <x:v>NYJ</x:v>
      </x:c>
      <x:c r="F213" s="108" t="str">
        <x:v>NYJ</x:v>
      </x:c>
      <x:c r="G213" s="109" t="n">
        <x:v>81</x:v>
      </x:c>
      <x:c r="H213" s="109" t="n">
        <x:f>'Weekly Points'!W213</x:f>
        <x:v>4.76470588235294</x:v>
      </x:c>
      <x:c r="I213" s="109" t="n">
        <x:f>'Weekly Points'!X213</x:f>
        <x:v>0</x:v>
      </x:c>
      <x:c r="J213" s="109" t="n">
        <x:f>'Weekly Points'!Y213</x:f>
        <x:v>0</x:v>
      </x:c>
      <x:c r="K213" s="109" t="n">
        <x:f>'Weekly Points'!Z213</x:f>
        <x:v>7.501210974900345</x:v>
      </x:c>
      <x:c r="L213" s="173" t="n">
        <x:f>'Weekly Points'!AA213</x:f>
        <x:v>1.5743282293000727</x:v>
      </x:c>
      <x:c r="M213" s="173" t="n">
        <x:f>'Weekly Points'!AB213</x:f>
        <x:v>0.6470588235294118</x:v>
      </x:c>
      <x:c r="N213" s="109" t="n">
        <x:f>0.5*J213+0.3*I213+0.2*H213</x:f>
        <x:v>0.9529411764705881</x:v>
      </x:c>
      <x:c r="O213" s="175" t="n">
        <x:v>6</x:v>
      </x:c>
      <x:c r="P213" s="175" t="n">
        <x:v>9</x:v>
      </x:c>
      <x:c r="Q213" s="175" t="n">
        <x:v>0</x:v>
      </x:c>
      <x:c r="R213" s="175" t="n">
        <x:v>59</x:v>
      </x:c>
      <x:c r="S213" s="175" t="n">
        <x:v>0</x:v>
      </x:c>
      <x:c r="T213" s="175" t="n">
        <x:v>4</x:v>
      </x:c>
      <x:c r="U213" s="175" t="n">
        <x:v>0</x:v>
      </x:c>
      <x:c r="V213" s="175" t="n">
        <x:f>SUM(S213:U213)</x:f>
        <x:v>4</x:v>
      </x:c>
      <x:c r="W213" s="108" t="str">
        <x:v>https://fantasy.espn.com/football/leaders?leagueId=555583&amp;lineupSlot=4&amp;scoringPeriodId=0&amp;statSplit=lastSeason</x:v>
      </x:c>
    </x:row>
    <x:row r="214">
      <x:c r="A214" s="108" t="str">
        <x:v>WR</x:v>
      </x:c>
      <x:c r="B214" s="175" t="n">
        <x:f>1+COUNTIFS($A$4:$A$356,A214,$J$4:$J$356,"&gt;"&amp;J214)</x:f>
        <x:v>82</x:v>
      </x:c>
      <x:c r="C214" s="175" t="n">
        <x:v>118</x:v>
      </x:c>
      <x:c r="D214" s="108" t="str">
        <x:v>Dyami Brown</x:v>
      </x:c>
      <x:c r="E214" s="108" t="str">
        <x:v>JAX</x:v>
      </x:c>
      <x:c r="F214" s="108" t="str">
        <x:v>JAX</x:v>
      </x:c>
      <x:c r="G214" s="109" t="n">
        <x:v>42.88</x:v>
      </x:c>
      <x:c r="H214" s="109" t="n">
        <x:f>'Weekly Points'!W214</x:f>
        <x:v>2.5223529411764702</x:v>
      </x:c>
      <x:c r="I214" s="109" t="n">
        <x:f>'Weekly Points'!X214</x:f>
        <x:v>0</x:v>
      </x:c>
      <x:c r="J214" s="109" t="n">
        <x:f>'Weekly Points'!Y214</x:f>
        <x:v>0</x:v>
      </x:c>
      <x:c r="K214" s="109" t="n">
        <x:f>'Weekly Points'!Z214</x:f>
        <x:v>4.128665258483545</x:v>
      </x:c>
      <x:c r="L214" s="173" t="n">
        <x:f>'Weekly Points'!AA214</x:f>
        <x:v>1.6368309093801368</x:v>
      </x:c>
      <x:c r="M214" s="173" t="n">
        <x:f>'Weekly Points'!AB214</x:f>
        <x:v>0.5294117647058824</x:v>
      </x:c>
      <x:c r="N214" s="109" t="n">
        <x:f>0.5*J214+0.3*I214+0.2*H214</x:f>
        <x:v>0.5044705882352941</x:v>
      </x:c>
      <x:c r="O214" s="175" t="n">
        <x:v>9</x:v>
      </x:c>
      <x:c r="P214" s="175" t="n">
        <x:v>8</x:v>
      </x:c>
      <x:c r="Q214" s="175" t="n">
        <x:v>6</x:v>
      </x:c>
      <x:c r="R214" s="175" t="n">
        <x:v>37</x:v>
      </x:c>
      <x:c r="S214" s="175" t="n">
        <x:v>0</x:v>
      </x:c>
      <x:c r="T214" s="175" t="n">
        <x:v>1</x:v>
      </x:c>
      <x:c r="U214" s="175" t="n">
        <x:v>0</x:v>
      </x:c>
      <x:c r="V214" s="175" t="n">
        <x:f>SUM(S214:U214)</x:f>
        <x:v>1</x:v>
      </x:c>
      <x:c r="W214" s="108" t="str">
        <x:v>https://fantasy.espn.com/football/leaders?leagueId=555583&amp;lineupSlot=4&amp;scoringPeriodId=0&amp;statSplit=lastSeason</x:v>
      </x:c>
    </x:row>
    <x:row r="215">
      <x:c r="A215" s="108" t="str">
        <x:v>WR</x:v>
      </x:c>
      <x:c r="B215" s="175" t="n">
        <x:f>1+COUNTIFS($A$4:$A$356,A215,$J$4:$J$356,"&gt;"&amp;J215)</x:f>
        <x:v>82</x:v>
      </x:c>
      <x:c r="C215" s="175" t="n">
        <x:v>125</x:v>
      </x:c>
      <x:c r="D215" s="108" t="str">
        <x:v>Jayden Reed</x:v>
      </x:c>
      <x:c r="E215" s="108" t="str">
        <x:v>GB</x:v>
      </x:c>
      <x:c r="F215" s="108" t="str">
        <x:v>GB</x:v>
      </x:c>
      <x:c r="G215" s="109" t="n">
        <x:v>40.05</x:v>
      </x:c>
      <x:c r="H215" s="109" t="n">
        <x:f>'Weekly Points'!W215</x:f>
        <x:v>2.3558823529411765</x:v>
      </x:c>
      <x:c r="I215" s="109" t="n">
        <x:f>'Weekly Points'!X215</x:f>
        <x:v>0</x:v>
      </x:c>
      <x:c r="J215" s="109" t="n">
        <x:f>'Weekly Points'!Y215</x:f>
        <x:v>0</x:v>
      </x:c>
      <x:c r="K215" s="109" t="n">
        <x:f>'Weekly Points'!Z215</x:f>
        <x:v>3.9243539128394107</x:v>
      </x:c>
      <x:c r="L215" s="173" t="n">
        <x:f>'Weekly Points'!AA215</x:f>
        <x:v>1.6657682027033702</x:v>
      </x:c>
      <x:c r="M215" s="173" t="n">
        <x:f>'Weekly Points'!AB215</x:f>
        <x:v>0.7058823529411765</x:v>
      </x:c>
      <x:c r="N215" s="109" t="n">
        <x:f>0.5*J215+0.3*I215+0.2*H215</x:f>
        <x:v>0.4711764705882353</x:v>
      </x:c>
      <x:c r="O215" s="175" t="n">
        <x:v>5</x:v>
      </x:c>
      <x:c r="P215" s="175" t="n">
        <x:v>5</x:v>
      </x:c>
      <x:c r="Q215" s="175" t="n">
        <x:v>3</x:v>
      </x:c>
      <x:c r="R215" s="175" t="n">
        <x:v>22</x:v>
      </x:c>
      <x:c r="S215" s="175" t="n">
        <x:v>0</x:v>
      </x:c>
      <x:c r="T215" s="175" t="n">
        <x:v>1</x:v>
      </x:c>
      <x:c r="U215" s="175" t="n">
        <x:v>0</x:v>
      </x:c>
      <x:c r="V215" s="175" t="n">
        <x:f>SUM(S215:U215)</x:f>
        <x:v>1</x:v>
      </x:c>
      <x:c r="W215" s="108" t="str">
        <x:v>https://fantasy.espn.com/football/leaders?leagueId=555583&amp;lineupSlot=4&amp;scoringPeriodId=0&amp;statSplit=lastSeason</x:v>
      </x:c>
    </x:row>
    <x:row r="216">
      <x:c r="A216" s="108" t="str">
        <x:v>WR</x:v>
      </x:c>
      <x:c r="B216" s="175" t="n">
        <x:f>1+COUNTIFS($A$4:$A$356,A216,$J$4:$J$356,"&gt;"&amp;J216)</x:f>
        <x:v>82</x:v>
      </x:c>
      <x:c r="C216" s="175" t="n">
        <x:v>82</x:v>
      </x:c>
      <x:c r="D216" s="108" t="str">
        <x:v>Tory Horton</x:v>
      </x:c>
      <x:c r="E216" s="108" t="str">
        <x:v>SEA</x:v>
      </x:c>
      <x:c r="F216" s="108" t="str">
        <x:v>SEA</x:v>
      </x:c>
      <x:c r="G216" s="109" t="n">
        <x:v>70.5</x:v>
      </x:c>
      <x:c r="H216" s="109" t="n">
        <x:f>'Weekly Points'!W216</x:f>
        <x:v>4.147058823529412</x:v>
      </x:c>
      <x:c r="I216" s="109" t="n">
        <x:f>'Weekly Points'!X216</x:f>
        <x:v>0</x:v>
      </x:c>
      <x:c r="J216" s="109" t="n">
        <x:f>'Weekly Points'!Y216</x:f>
        <x:v>0</x:v>
      </x:c>
      <x:c r="K216" s="109" t="n">
        <x:f>'Weekly Points'!Z216</x:f>
        <x:v>7.051605378089763</x:v>
      </x:c>
      <x:c r="L216" s="173" t="n">
        <x:f>'Weekly Points'!AA216</x:f>
        <x:v>1.7003871124471768</x:v>
      </x:c>
      <x:c r="M216" s="173" t="n">
        <x:f>'Weekly Points'!AB216</x:f>
        <x:v>0.7058823529411765</x:v>
      </x:c>
      <x:c r="N216" s="109" t="n">
        <x:f>0.5*J216+0.3*I216+0.2*H216</x:f>
        <x:v>0.8294117647058825</x:v>
      </x:c>
      <x:c r="O216" s="175" t="n">
        <x:v>8</x:v>
      </x:c>
      <x:c r="P216" s="175" t="n">
        <x:v>8</x:v>
      </x:c>
      <x:c r="Q216" s="175" t="n">
        <x:v>0</x:v>
      </x:c>
      <x:c r="R216" s="175" t="n">
        <x:v>22</x:v>
      </x:c>
      <x:c r="S216" s="175" t="n">
        <x:v>0</x:v>
      </x:c>
      <x:c r="T216" s="175" t="n">
        <x:v>5</x:v>
      </x:c>
      <x:c r="U216" s="175" t="n">
        <x:v>0</x:v>
      </x:c>
      <x:c r="V216" s="175" t="n">
        <x:f>SUM(S216:U216)</x:f>
        <x:v>5</x:v>
      </x:c>
      <x:c r="W216" s="108" t="str">
        <x:v>https://fantasy.espn.com/football/leaders?leagueId=555583&amp;lineupSlot=4&amp;scoringPeriodId=0&amp;statSplit=lastSeason</x:v>
      </x:c>
    </x:row>
    <x:row r="217">
      <x:c r="A217" s="108" t="str">
        <x:v>WR</x:v>
      </x:c>
      <x:c r="B217" s="175" t="n">
        <x:f>1+COUNTIFS($A$4:$A$356,A217,$J$4:$J$356,"&gt;"&amp;J217)</x:f>
        <x:v>82</x:v>
      </x:c>
      <x:c r="C217" s="175" t="n">
        <x:v>108</x:v>
      </x:c>
      <x:c r="D217" s="108" t="str">
        <x:v>Travis Hunter</x:v>
      </x:c>
      <x:c r="E217" s="108" t="str">
        <x:v>JAX</x:v>
      </x:c>
      <x:c r="F217" s="108" t="str">
        <x:v>JAX</x:v>
      </x:c>
      <x:c r="G217" s="109" t="n">
        <x:v>49.3</x:v>
      </x:c>
      <x:c r="H217" s="109" t="n">
        <x:f>'Weekly Points'!W217</x:f>
        <x:v>2.9000000000000004</x:v>
      </x:c>
      <x:c r="I217" s="109" t="n">
        <x:f>'Weekly Points'!X217</x:f>
        <x:v>0</x:v>
      </x:c>
      <x:c r="J217" s="109" t="n">
        <x:f>'Weekly Points'!Y217</x:f>
        <x:v>0</x:v>
      </x:c>
      <x:c r="K217" s="109" t="n">
        <x:f>'Weekly Points'!Z217</x:f>
        <x:v>4.987513821298852</x:v>
      </x:c>
      <x:c r="L217" s="173" t="n">
        <x:f>'Weekly Points'!AA217</x:f>
        <x:v>1.7198323521720176</x:v>
      </x:c>
      <x:c r="M217" s="173" t="n">
        <x:f>'Weekly Points'!AB217</x:f>
        <x:v>0.5882352941176471</x:v>
      </x:c>
      <x:c r="N217" s="109" t="n">
        <x:f>0.5*J217+0.3*I217+0.2*H217</x:f>
        <x:v>0.5800000000000001</x:v>
      </x:c>
      <x:c r="O217" s="175" t="n">
        <x:v>7</x:v>
      </x:c>
      <x:c r="P217" s="175" t="n">
        <x:v>8</x:v>
      </x:c>
      <x:c r="Q217" s="175" t="n">
        <x:v>1</x:v>
      </x:c>
      <x:c r="R217" s="175" t="n">
        <x:v>45</x:v>
      </x:c>
      <x:c r="S217" s="175" t="n">
        <x:v>0</x:v>
      </x:c>
      <x:c r="T217" s="175" t="n">
        <x:v>1</x:v>
      </x:c>
      <x:c r="U217" s="175" t="n">
        <x:v>0</x:v>
      </x:c>
      <x:c r="V217" s="175" t="n">
        <x:f>SUM(S217:U217)</x:f>
        <x:v>1</x:v>
      </x:c>
      <x:c r="W217" s="108" t="str">
        <x:v>https://fantasy.espn.com/football/leaders?leagueId=555583&amp;lineupSlot=4&amp;scoringPeriodId=0&amp;statSplit=lastSeason</x:v>
      </x:c>
    </x:row>
    <x:row r="218">
      <x:c r="A218" s="108" t="str">
        <x:v>WR</x:v>
      </x:c>
      <x:c r="B218" s="175" t="n">
        <x:f>1+COUNTIFS($A$4:$A$356,A218,$J$4:$J$356,"&gt;"&amp;J218)</x:f>
        <x:v>82</x:v>
      </x:c>
      <x:c r="C218" s="175" t="n">
        <x:v>115</x:v>
      </x:c>
      <x:c r="D218" s="108" t="str">
        <x:v>Tim Patrick</x:v>
      </x:c>
      <x:c r="E218" s="108" t="str">
        <x:v>JAX</x:v>
      </x:c>
      <x:c r="F218" s="108" t="str">
        <x:v>JAX</x:v>
      </x:c>
      <x:c r="G218" s="109" t="n">
        <x:v>44.2</x:v>
      </x:c>
      <x:c r="H218" s="109" t="n">
        <x:f>'Weekly Points'!W218</x:f>
        <x:v>2.6</x:v>
      </x:c>
      <x:c r="I218" s="109" t="n">
        <x:f>'Weekly Points'!X218</x:f>
        <x:v>0.4</x:v>
      </x:c>
      <x:c r="J218" s="109" t="n">
        <x:f>'Weekly Points'!Y218</x:f>
        <x:v>0</x:v>
      </x:c>
      <x:c r="K218" s="109" t="n">
        <x:f>'Weekly Points'!Z218</x:f>
        <x:v>4.482777500350319</x:v>
      </x:c>
      <x:c r="L218" s="173" t="n">
        <x:f>'Weekly Points'!AA218</x:f>
        <x:v>1.7241451924424303</x:v>
      </x:c>
      <x:c r="M218" s="173" t="n">
        <x:f>'Weekly Points'!AB218</x:f>
        <x:v>0.5882352941176471</x:v>
      </x:c>
      <x:c r="N218" s="109" t="n">
        <x:f>0.5*J218+0.3*I218+0.2*H218</x:f>
        <x:v>0.64</x:v>
      </x:c>
      <x:c r="O218" s="175" t="n">
        <x:v>9</x:v>
      </x:c>
      <x:c r="P218" s="175" t="n">
        <x:v>8</x:v>
      </x:c>
      <x:c r="Q218" s="175" t="n">
        <x:v>0</x:v>
      </x:c>
      <x:c r="R218" s="175" t="n">
        <x:v>24</x:v>
      </x:c>
      <x:c r="S218" s="175" t="n">
        <x:v>0</x:v>
      </x:c>
      <x:c r="T218" s="175" t="n">
        <x:v>3</x:v>
      </x:c>
      <x:c r="U218" s="175" t="n">
        <x:v>0</x:v>
      </x:c>
      <x:c r="V218" s="175" t="n">
        <x:f>SUM(S218:U218)</x:f>
        <x:v>3</x:v>
      </x:c>
      <x:c r="W218" s="108" t="str">
        <x:v>https://fantasy.espn.com/football/leaders?leagueId=555583&amp;lineupSlot=4&amp;scoringPeriodId=0&amp;statSplit=lastSeason</x:v>
      </x:c>
    </x:row>
    <x:row r="219">
      <x:c r="A219" s="108" t="str">
        <x:v>WR</x:v>
      </x:c>
      <x:c r="B219" s="175" t="n">
        <x:f>1+COUNTIFS($A$4:$A$356,A219,$J$4:$J$356,"&gt;"&amp;J219)</x:f>
        <x:v>82</x:v>
      </x:c>
      <x:c r="C219" s="175" t="n">
        <x:v>116</x:v>
      </x:c>
      <x:c r="D219" s="108" t="str">
        <x:v>Tyreek Hill</x:v>
      </x:c>
      <x:c r="E219" s="108" t="str">
        <x:v>MIA</x:v>
      </x:c>
      <x:c r="F219" s="108" t="str">
        <x:v>FA</x:v>
      </x:c>
      <x:c r="G219" s="109" t="n">
        <x:v>43.95</x:v>
      </x:c>
      <x:c r="H219" s="109" t="n">
        <x:f>'Weekly Points'!W219</x:f>
        <x:v>2.585294117647059</x:v>
      </x:c>
      <x:c r="I219" s="109" t="n">
        <x:f>'Weekly Points'!X219</x:f>
        <x:v>0</x:v>
      </x:c>
      <x:c r="J219" s="109" t="n">
        <x:f>'Weekly Points'!Y219</x:f>
        <x:v>0</x:v>
      </x:c>
      <x:c r="K219" s="109" t="n">
        <x:f>'Weekly Points'!Z219</x:f>
        <x:v>4.950037572818849</x:v>
      </x:c>
      <x:c r="L219" s="173" t="n">
        <x:f>'Weekly Points'!AA219</x:f>
        <x:v>1.9146903012041054</x:v>
      </x:c>
      <x:c r="M219" s="173" t="n">
        <x:f>'Weekly Points'!AB219</x:f>
        <x:v>0.7647058823529411</x:v>
      </x:c>
      <x:c r="N219" s="109" t="n">
        <x:f>0.5*J219+0.3*I219+0.2*H219</x:f>
        <x:v>0.5170588235294118</x:v>
      </x:c>
      <x:c r="O219" s="175" t="n">
        <x:v>4</x:v>
      </x:c>
      <x:c r="P219" s="175" t="n">
        <x:v>12</x:v>
      </x:c>
      <x:c r="Q219" s="175" t="n">
        <x:v>0</x:v>
      </x:c>
      <x:c r="R219" s="175" t="n">
        <x:v>29</x:v>
      </x:c>
      <x:c r="S219" s="175" t="n">
        <x:v>0</x:v>
      </x:c>
      <x:c r="T219" s="175" t="n">
        <x:v>1</x:v>
      </x:c>
      <x:c r="U219" s="175" t="n">
        <x:v>0</x:v>
      </x:c>
      <x:c r="V219" s="175" t="n">
        <x:f>SUM(S219:U219)</x:f>
        <x:v>1</x:v>
      </x:c>
      <x:c r="W219" s="108" t="str">
        <x:v>https://fantasy.espn.com/football/leaders?leagueId=555583&amp;lineupSlot=4&amp;scoringPeriodId=0&amp;statSplit=lastSeason</x:v>
      </x:c>
    </x:row>
    <x:row r="220">
      <x:c r="A220" s="108" t="str">
        <x:v>WR</x:v>
      </x:c>
      <x:c r="B220" s="175" t="n">
        <x:f>1+COUNTIFS($A$4:$A$356,A220,$J$4:$J$356,"&gt;"&amp;J220)</x:f>
        <x:v>82</x:v>
      </x:c>
      <x:c r="C220" s="175" t="n">
        <x:v>105</x:v>
      </x:c>
      <x:c r="D220" s="108" t="str">
        <x:v>Malik Nabers</x:v>
      </x:c>
      <x:c r="E220" s="108" t="str">
        <x:v>NYG</x:v>
      </x:c>
      <x:c r="F220" s="108" t="str">
        <x:v>NYG</x:v>
      </x:c>
      <x:c r="G220" s="109" t="n">
        <x:v>50.1</x:v>
      </x:c>
      <x:c r="H220" s="109" t="n">
        <x:f>'Weekly Points'!W220</x:f>
        <x:v>2.947058823529412</x:v>
      </x:c>
      <x:c r="I220" s="109" t="n">
        <x:f>'Weekly Points'!X220</x:f>
        <x:v>0</x:v>
      </x:c>
      <x:c r="J220" s="109" t="n">
        <x:f>'Weekly Points'!Y220</x:f>
        <x:v>0</x:v>
      </x:c>
      <x:c r="K220" s="109" t="n">
        <x:f>'Weekly Points'!Z220</x:f>
        <x:v>8.394123830328734</x:v>
      </x:c>
      <x:c r="L220" s="173" t="n">
        <x:f>'Weekly Points'!AA220</x:f>
        <x:v>2.848305491329111</x:v>
      </x:c>
      <x:c r="M220" s="173" t="n">
        <x:f>'Weekly Points'!AB220</x:f>
        <x:v>0.7647058823529411</x:v>
      </x:c>
      <x:c r="N220" s="109" t="n">
        <x:f>0.5*J220+0.3*I220+0.2*H220</x:f>
        <x:v>0.5894117647058824</x:v>
      </x:c>
      <x:c r="O220" s="175" t="n">
        <x:v>4</x:v>
      </x:c>
      <x:c r="P220" s="175" t="n">
        <x:v>14</x:v>
      </x:c>
      <x:c r="Q220" s="175" t="n">
        <x:v>0</x:v>
      </x:c>
      <x:c r="R220" s="175" t="n">
        <x:v>35</x:v>
      </x:c>
      <x:c r="S220" s="175" t="n">
        <x:v>0</x:v>
      </x:c>
      <x:c r="T220" s="175" t="n">
        <x:v>2</x:v>
      </x:c>
      <x:c r="U220" s="175" t="n">
        <x:v>0</x:v>
      </x:c>
      <x:c r="V220" s="175" t="n">
        <x:f>SUM(S220:U220)</x:f>
        <x:v>2</x:v>
      </x:c>
      <x:c r="W220" s="108" t="str">
        <x:v>https://fantasy.espn.com/football/leaders?leagueId=555583&amp;lineupSlot=4&amp;scoringPeriodId=0&amp;statSplit=lastSeason</x:v>
      </x:c>
    </x:row>
    <x:row r="221">
      <x:c r="A221" s="108" t="str">
        <x:v>TE</x:v>
      </x:c>
      <x:c r="B221" s="175" t="n">
        <x:f>1+COUNTIFS($A$4:$A$356,A221,$J$4:$J$356,"&gt;"&amp;J221)</x:f>
        <x:v>1</x:v>
      </x:c>
      <x:c r="C221" s="175" t="n">
        <x:v>1</x:v>
      </x:c>
      <x:c r="D221" s="108" t="str">
        <x:v>Trey McBride</x:v>
      </x:c>
      <x:c r="E221" s="108" t="str">
        <x:v>ARI</x:v>
      </x:c>
      <x:c r="F221" s="108" t="str">
        <x:v>ARI</x:v>
      </x:c>
      <x:c r="G221" s="109" t="n">
        <x:v>252.9</x:v>
      </x:c>
      <x:c r="H221" s="109" t="n">
        <x:f>'Weekly Points'!W221</x:f>
        <x:v>14.876470588235295</x:v>
      </x:c>
      <x:c r="I221" s="109" t="n">
        <x:f>'Weekly Points'!X221</x:f>
        <x:v>12.8</x:v>
      </x:c>
      <x:c r="J221" s="109" t="n">
        <x:f>'Weekly Points'!Y221</x:f>
        <x:v>9.1</x:v>
      </x:c>
      <x:c r="K221" s="109" t="n">
        <x:f>'Weekly Points'!Z221</x:f>
        <x:v>7.112005542557616</x:v>
      </x:c>
      <x:c r="L221" s="173" t="n">
        <x:f>'Weekly Points'!AA221</x:f>
        <x:v>0.4780707561228923</x:v>
      </x:c>
      <x:c r="M221" s="173" t="n">
        <x:f>'Weekly Points'!AB221</x:f>
        <x:v>0.11764705882352941</x:v>
      </x:c>
      <x:c r="N221" s="109" t="n">
        <x:f>0.5*J221+0.3*I221+0.2*H221</x:f>
        <x:v>11.36529411764706</x:v>
      </x:c>
      <x:c r="O221" s="175" t="n">
        <x:v>17</x:v>
      </x:c>
      <x:c r="P221" s="175" t="n">
        <x:v>8</x:v>
      </x:c>
      <x:c r="Q221" s="175" t="n">
        <x:v>0</x:v>
      </x:c>
      <x:c r="R221" s="175" t="n">
        <x:v>169</x:v>
      </x:c>
      <x:c r="S221" s="175" t="n">
        <x:v>0</x:v>
      </x:c>
      <x:c r="T221" s="175" t="n">
        <x:v>11</x:v>
      </x:c>
      <x:c r="U221" s="175" t="n">
        <x:v>0</x:v>
      </x:c>
      <x:c r="V221" s="175" t="n">
        <x:f>SUM(S221:U221)</x:f>
        <x:v>11</x:v>
      </x:c>
      <x:c r="W221" s="108" t="str">
        <x:v>https://fantasy.espn.com/football/leaders?leagueId=555583&amp;lineupSlot=6&amp;scoringPeriodId=0&amp;statSplit=lastSeason</x:v>
      </x:c>
    </x:row>
    <x:row r="222">
      <x:c r="A222" s="108" t="str">
        <x:v>TE</x:v>
      </x:c>
      <x:c r="B222" s="175" t="n">
        <x:f>1+COUNTIFS($A$4:$A$356,A222,$J$4:$J$356,"&gt;"&amp;J222)</x:f>
        <x:v>2</x:v>
      </x:c>
      <x:c r="C222" s="175" t="n">
        <x:v>4</x:v>
      </x:c>
      <x:c r="D222" s="108" t="str">
        <x:v>Travis Kelce</x:v>
      </x:c>
      <x:c r="E222" s="108" t="str">
        <x:v>KC</x:v>
      </x:c>
      <x:c r="F222" s="108" t="str">
        <x:v>KC</x:v>
      </x:c>
      <x:c r="G222" s="109" t="n">
        <x:v>154.7</x:v>
      </x:c>
      <x:c r="H222" s="109" t="n">
        <x:f>'Weekly Points'!W222</x:f>
        <x:v>9.1</x:v>
      </x:c>
      <x:c r="I222" s="109" t="n">
        <x:f>'Weekly Points'!X222</x:f>
        <x:v>8.1</x:v>
      </x:c>
      <x:c r="J222" s="109" t="n">
        <x:f>'Weekly Points'!Y222</x:f>
        <x:v>6.1</x:v>
      </x:c>
      <x:c r="K222" s="109" t="n">
        <x:f>'Weekly Points'!Z222</x:f>
        <x:v>5.399782130681157</x:v>
      </x:c>
      <x:c r="L222" s="173" t="n">
        <x:f>'Weekly Points'!AA222</x:f>
        <x:v>0.593382651723204</x:v>
      </x:c>
      <x:c r="M222" s="173" t="n">
        <x:f>'Weekly Points'!AB222</x:f>
        <x:v>0.17647058823529413</x:v>
      </x:c>
      <x:c r="N222" s="109" t="n">
        <x:f>0.5*J222+0.3*I222+0.2*H222</x:f>
        <x:v>7.3</x:v>
      </x:c>
      <x:c r="O222" s="175" t="n">
        <x:v>17</x:v>
      </x:c>
      <x:c r="P222" s="175" t="n">
        <x:v>10</x:v>
      </x:c>
      <x:c r="Q222" s="175" t="n">
        <x:v>1</x:v>
      </x:c>
      <x:c r="R222" s="175" t="n">
        <x:v>108</x:v>
      </x:c>
      <x:c r="S222" s="175" t="n">
        <x:v>0</x:v>
      </x:c>
      <x:c r="T222" s="175" t="n">
        <x:v>5</x:v>
      </x:c>
      <x:c r="U222" s="175" t="n">
        <x:v>0</x:v>
      </x:c>
      <x:c r="V222" s="175" t="n">
        <x:f>SUM(S222:U222)</x:f>
        <x:v>5</x:v>
      </x:c>
      <x:c r="W222" s="108" t="str">
        <x:v>https://fantasy.espn.com/football/leaders?leagueId=555583&amp;lineupSlot=6&amp;scoringPeriodId=0&amp;statSplit=lastSeason</x:v>
      </x:c>
    </x:row>
    <x:row r="223">
      <x:c r="A223" s="108" t="str">
        <x:v>TE</x:v>
      </x:c>
      <x:c r="B223" s="175" t="n">
        <x:f>1+COUNTIFS($A$4:$A$356,A223,$J$4:$J$356,"&gt;"&amp;J223)</x:f>
        <x:v>3</x:v>
      </x:c>
      <x:c r="C223" s="175" t="n">
        <x:v>10</x:v>
      </x:c>
      <x:c r="D223" s="108" t="str">
        <x:v>Juwan Johnson</x:v>
      </x:c>
      <x:c r="E223" s="108" t="str">
        <x:v>NO</x:v>
      </x:c>
      <x:c r="F223" s="108" t="str">
        <x:v>NO</x:v>
      </x:c>
      <x:c r="G223" s="109" t="n">
        <x:v>141.4</x:v>
      </x:c>
      <x:c r="H223" s="109" t="n">
        <x:f>'Weekly Points'!W223</x:f>
        <x:v>8.31764705882353</x:v>
      </x:c>
      <x:c r="I223" s="109" t="n">
        <x:f>'Weekly Points'!X223</x:f>
        <x:v>7.8</x:v>
      </x:c>
      <x:c r="J223" s="109" t="n">
        <x:f>'Weekly Points'!Y223</x:f>
        <x:v>5.6</x:v>
      </x:c>
      <x:c r="K223" s="109" t="n">
        <x:f>'Weekly Points'!Z223</x:f>
        <x:v>4.160208605363246</x:v>
      </x:c>
      <x:c r="L223" s="173" t="n">
        <x:f>'Weekly Points'!AA223</x:f>
        <x:v>0.5001665225684241</x:v>
      </x:c>
      <x:c r="M223" s="173" t="n">
        <x:f>'Weekly Points'!AB223</x:f>
        <x:v>0.11764705882352941</x:v>
      </x:c>
      <x:c r="N223" s="109" t="n">
        <x:f>0.5*J223+0.3*I223+0.2*H223</x:f>
        <x:v>6.803529411764706</x:v>
      </x:c>
      <x:c r="O223" s="175" t="n">
        <x:v>17</x:v>
      </x:c>
      <x:c r="P223" s="175" t="n">
        <x:v>11</x:v>
      </x:c>
      <x:c r="Q223" s="175" t="n">
        <x:v>0</x:v>
      </x:c>
      <x:c r="R223" s="175" t="n">
        <x:v>102</x:v>
      </x:c>
      <x:c r="S223" s="175" t="n">
        <x:v>0</x:v>
      </x:c>
      <x:c r="T223" s="175" t="n">
        <x:v>3</x:v>
      </x:c>
      <x:c r="U223" s="175" t="n">
        <x:v>0</x:v>
      </x:c>
      <x:c r="V223" s="175" t="n">
        <x:f>SUM(S223:U223)</x:f>
        <x:v>3</x:v>
      </x:c>
      <x:c r="W223" s="108" t="str">
        <x:v>https://fantasy.espn.com/football/leaders?leagueId=555583&amp;lineupSlot=6&amp;scoringPeriodId=0&amp;statSplit=lastSeason</x:v>
      </x:c>
    </x:row>
    <x:row r="224">
      <x:c r="A224" s="108" t="str">
        <x:v>TE</x:v>
      </x:c>
      <x:c r="B224" s="175" t="n">
        <x:f>1+COUNTIFS($A$4:$A$356,A224,$J$4:$J$356,"&gt;"&amp;J224)</x:f>
        <x:v>3</x:v>
      </x:c>
      <x:c r="C224" s="175" t="n">
        <x:v>5</x:v>
      </x:c>
      <x:c r="D224" s="108" t="str">
        <x:v>Harold Fannin Jr.</x:v>
      </x:c>
      <x:c r="E224" s="108" t="str">
        <x:v>CLE</x:v>
      </x:c>
      <x:c r="F224" s="108" t="str">
        <x:v>CLE</x:v>
      </x:c>
      <x:c r="G224" s="109" t="n">
        <x:v>150.4</x:v>
      </x:c>
      <x:c r="H224" s="109" t="n">
        <x:f>'Weekly Points'!W224</x:f>
        <x:v>8.847058823529412</x:v>
      </x:c>
      <x:c r="I224" s="109" t="n">
        <x:f>'Weekly Points'!X224</x:f>
        <x:v>8.5</x:v>
      </x:c>
      <x:c r="J224" s="109" t="n">
        <x:f>'Weekly Points'!Y224</x:f>
        <x:v>5.6</x:v>
      </x:c>
      <x:c r="K224" s="109" t="n">
        <x:f>'Weekly Points'!Z224</x:f>
        <x:v>5.25750082062692</x:v>
      </x:c>
      <x:c r="L224" s="173" t="n">
        <x:f>'Weekly Points'!AA224</x:f>
        <x:v>0.5942653853102235</x:v>
      </x:c>
      <x:c r="M224" s="173" t="n">
        <x:f>'Weekly Points'!AB224</x:f>
        <x:v>0.23529411764705882</x:v>
      </x:c>
      <x:c r="N224" s="109" t="n">
        <x:f>0.5*J224+0.3*I224+0.2*H224</x:f>
        <x:v>7.119411764705882</x:v>
      </x:c>
      <x:c r="O224" s="175" t="n">
        <x:v>16</x:v>
      </x:c>
      <x:c r="P224" s="175" t="n">
        <x:v>9</x:v>
      </x:c>
      <x:c r="Q224" s="175" t="n">
        <x:v>7</x:v>
      </x:c>
      <x:c r="R224" s="175" t="n">
        <x:v>107</x:v>
      </x:c>
      <x:c r="S224" s="175" t="n">
        <x:v>1</x:v>
      </x:c>
      <x:c r="T224" s="175" t="n">
        <x:v>6</x:v>
      </x:c>
      <x:c r="U224" s="175" t="n">
        <x:v>0</x:v>
      </x:c>
      <x:c r="V224" s="175" t="n">
        <x:f>SUM(S224:U224)</x:f>
        <x:v>7</x:v>
      </x:c>
      <x:c r="W224" s="108" t="str">
        <x:v>https://fantasy.espn.com/football/leaders?leagueId=555583&amp;lineupSlot=6&amp;scoringPeriodId=0&amp;statSplit=lastSeason</x:v>
      </x:c>
    </x:row>
    <x:row r="225">
      <x:c r="A225" s="108" t="str">
        <x:v>TE</x:v>
      </x:c>
      <x:c r="B225" s="175" t="n">
        <x:f>1+COUNTIFS($A$4:$A$356,A225,$J$4:$J$356,"&gt;"&amp;J225)</x:f>
        <x:v>5</x:v>
      </x:c>
      <x:c r="C225" s="175" t="n">
        <x:v>7</x:v>
      </x:c>
      <x:c r="D225" s="108" t="str">
        <x:v>Hunter Henry</x:v>
      </x:c>
      <x:c r="E225" s="108" t="str">
        <x:v>NE</x:v>
      </x:c>
      <x:c r="F225" s="108" t="str">
        <x:v>NE</x:v>
      </x:c>
      <x:c r="G225" s="109" t="n">
        <x:v>148.8</x:v>
      </x:c>
      <x:c r="H225" s="109" t="n">
        <x:f>'Weekly Points'!W225</x:f>
        <x:v>8.75294117647059</x:v>
      </x:c>
      <x:c r="I225" s="109" t="n">
        <x:f>'Weekly Points'!X225</x:f>
        <x:v>7.2</x:v>
      </x:c>
      <x:c r="J225" s="109" t="n">
        <x:f>'Weekly Points'!Y225</x:f>
        <x:v>5.3</x:v>
      </x:c>
      <x:c r="K225" s="109" t="n">
        <x:f>'Weekly Points'!Z225</x:f>
        <x:v>6.1798646136949165</x:v>
      </x:c>
      <x:c r="L225" s="173" t="n">
        <x:f>'Weekly Points'!AA225</x:f>
        <x:v>0.70603291957536</x:v>
      </x:c>
      <x:c r="M225" s="173" t="n">
        <x:f>'Weekly Points'!AB225</x:f>
        <x:v>0.23529411764705882</x:v>
      </x:c>
      <x:c r="N225" s="109" t="n">
        <x:f>0.5*J225+0.3*I225+0.2*H225</x:f>
        <x:v>6.5605882352941185</x:v>
      </x:c>
      <x:c r="O225" s="175" t="n">
        <x:v>17</x:v>
      </x:c>
      <x:c r="P225" s="175" t="n">
        <x:v>14</x:v>
      </x:c>
      <x:c r="Q225" s="175" t="n">
        <x:v>0</x:v>
      </x:c>
      <x:c r="R225" s="175" t="n">
        <x:v>87</x:v>
      </x:c>
      <x:c r="S225" s="175" t="n">
        <x:v>0</x:v>
      </x:c>
      <x:c r="T225" s="175" t="n">
        <x:v>7</x:v>
      </x:c>
      <x:c r="U225" s="175" t="n">
        <x:v>0</x:v>
      </x:c>
      <x:c r="V225" s="175" t="n">
        <x:f>SUM(S225:U225)</x:f>
        <x:v>7</x:v>
      </x:c>
      <x:c r="W225" s="108" t="str">
        <x:v>https://fantasy.espn.com/football/leaders?leagueId=555583&amp;lineupSlot=6&amp;scoringPeriodId=0&amp;statSplit=lastSeason</x:v>
      </x:c>
    </x:row>
    <x:row r="226">
      <x:c r="A226" s="108" t="str">
        <x:v>TE</x:v>
      </x:c>
      <x:c r="B226" s="175" t="n">
        <x:f>1+COUNTIFS($A$4:$A$356,A226,$J$4:$J$356,"&gt;"&amp;J226)</x:f>
        <x:v>6</x:v>
      </x:c>
      <x:c r="C226" s="175" t="n">
        <x:v>6</x:v>
      </x:c>
      <x:c r="D226" s="108" t="str">
        <x:v>Tyler Warren</x:v>
      </x:c>
      <x:c r="E226" s="108" t="str">
        <x:v>IND</x:v>
      </x:c>
      <x:c r="F226" s="108" t="str">
        <x:v>IND</x:v>
      </x:c>
      <x:c r="G226" s="109" t="n">
        <x:v>150</x:v>
      </x:c>
      <x:c r="H226" s="109" t="n">
        <x:f>'Weekly Points'!W226</x:f>
        <x:v>8.823529411764708</x:v>
      </x:c>
      <x:c r="I226" s="109" t="n">
        <x:f>'Weekly Points'!X226</x:f>
        <x:v>7.3</x:v>
      </x:c>
      <x:c r="J226" s="109" t="n">
        <x:f>'Weekly Points'!Y226</x:f>
        <x:v>5.1</x:v>
      </x:c>
      <x:c r="K226" s="109" t="n">
        <x:f>'Weekly Points'!Z226</x:f>
        <x:v>4.267046011106473</x:v>
      </x:c>
      <x:c r="L226" s="173" t="n">
        <x:f>'Weekly Points'!AA226</x:f>
        <x:v>0.48359854792540014</x:v>
      </x:c>
      <x:c r="M226" s="173" t="n">
        <x:f>'Weekly Points'!AB226</x:f>
        <x:v>0.11764705882352941</x:v>
      </x:c>
      <x:c r="N226" s="109" t="n">
        <x:f>0.5*J226+0.3*I226+0.2*H226</x:f>
        <x:v>6.504705882352942</x:v>
      </x:c>
      <x:c r="O226" s="175" t="n">
        <x:v>17</x:v>
      </x:c>
      <x:c r="P226" s="175" t="n">
        <x:v>11</x:v>
      </x:c>
      <x:c r="Q226" s="175" t="n">
        <x:v>6</x:v>
      </x:c>
      <x:c r="R226" s="175" t="n">
        <x:v>112</x:v>
      </x:c>
      <x:c r="S226" s="175" t="n">
        <x:v>1</x:v>
      </x:c>
      <x:c r="T226" s="175" t="n">
        <x:v>4</x:v>
      </x:c>
      <x:c r="U226" s="175" t="n">
        <x:v>0</x:v>
      </x:c>
      <x:c r="V226" s="175" t="n">
        <x:f>SUM(S226:U226)</x:f>
        <x:v>5</x:v>
      </x:c>
      <x:c r="W226" s="108" t="str">
        <x:v>https://fantasy.espn.com/football/leaders?leagueId=555583&amp;lineupSlot=6&amp;scoringPeriodId=0&amp;statSplit=lastSeason</x:v>
      </x:c>
    </x:row>
    <x:row r="227">
      <x:c r="A227" s="108" t="str">
        <x:v>TE</x:v>
      </x:c>
      <x:c r="B227" s="175" t="n">
        <x:f>1+COUNTIFS($A$4:$A$356,A227,$J$4:$J$356,"&gt;"&amp;J227)</x:f>
        <x:v>7</x:v>
      </x:c>
      <x:c r="C227" s="175" t="n">
        <x:v>8</x:v>
      </x:c>
      <x:c r="D227" s="108" t="str">
        <x:v>Jake Ferguson</x:v>
      </x:c>
      <x:c r="E227" s="108" t="str">
        <x:v>DAL</x:v>
      </x:c>
      <x:c r="F227" s="108" t="str">
        <x:v>DAL</x:v>
      </x:c>
      <x:c r="G227" s="109" t="n">
        <x:v>146.6</x:v>
      </x:c>
      <x:c r="H227" s="109" t="n">
        <x:f>'Weekly Points'!W227</x:f>
        <x:v>8.623529411764704</x:v>
      </x:c>
      <x:c r="I227" s="109" t="n">
        <x:f>'Weekly Points'!X227</x:f>
        <x:v>8.1</x:v>
      </x:c>
      <x:c r="J227" s="109" t="n">
        <x:f>'Weekly Points'!Y227</x:f>
        <x:v>4.8</x:v>
      </x:c>
      <x:c r="K227" s="109" t="n">
        <x:f>'Weekly Points'!Z227</x:f>
        <x:v>5.6551412747490435</x:v>
      </x:c>
      <x:c r="L227" s="173" t="n">
        <x:f>'Weekly Points'!AA227</x:f>
        <x:v>0.6557803661032316</x:v>
      </x:c>
      <x:c r="M227" s="173" t="n">
        <x:f>'Weekly Points'!AB227</x:f>
        <x:v>0.23529411764705882</x:v>
      </x:c>
      <x:c r="N227" s="109" t="n">
        <x:f>0.5*J227+0.3*I227+0.2*H227</x:f>
        <x:v>6.554705882352941</x:v>
      </x:c>
      <x:c r="O227" s="175" t="n">
        <x:v>16</x:v>
      </x:c>
      <x:c r="P227" s="175" t="n">
        <x:v>10</x:v>
      </x:c>
      <x:c r="Q227" s="175" t="n">
        <x:v>1</x:v>
      </x:c>
      <x:c r="R227" s="175" t="n">
        <x:v>102</x:v>
      </x:c>
      <x:c r="S227" s="175" t="n">
        <x:v>0</x:v>
      </x:c>
      <x:c r="T227" s="175" t="n">
        <x:v>8</x:v>
      </x:c>
      <x:c r="U227" s="175" t="n">
        <x:v>0</x:v>
      </x:c>
      <x:c r="V227" s="175" t="n">
        <x:f>SUM(S227:U227)</x:f>
        <x:v>8</x:v>
      </x:c>
      <x:c r="W227" s="108" t="str">
        <x:v>https://fantasy.espn.com/football/leaders?leagueId=555583&amp;lineupSlot=6&amp;scoringPeriodId=0&amp;statSplit=lastSeason</x:v>
      </x:c>
    </x:row>
    <x:row r="228">
      <x:c r="A228" s="108" t="str">
        <x:v>TE</x:v>
      </x:c>
      <x:c r="B228" s="175" t="n">
        <x:f>1+COUNTIFS($A$4:$A$356,A228,$J$4:$J$356,"&gt;"&amp;J228)</x:f>
        <x:v>7</x:v>
      </x:c>
      <x:c r="C228" s="175" t="n">
        <x:v>2</x:v>
      </x:c>
      <x:c r="D228" s="108" t="str">
        <x:v>Kyle Pitts Sr.</x:v>
      </x:c>
      <x:c r="E228" s="108" t="str">
        <x:v>ATL</x:v>
      </x:c>
      <x:c r="F228" s="108" t="str">
        <x:v>ATL</x:v>
      </x:c>
      <x:c r="G228" s="109" t="n">
        <x:v>166.8</x:v>
      </x:c>
      <x:c r="H228" s="109" t="n">
        <x:f>'Weekly Points'!W228</x:f>
        <x:v>9.811764705882354</x:v>
      </x:c>
      <x:c r="I228" s="109" t="n">
        <x:f>'Weekly Points'!X228</x:f>
        <x:v>8.8</x:v>
      </x:c>
      <x:c r="J228" s="109" t="n">
        <x:f>'Weekly Points'!Y228</x:f>
        <x:v>4.8</x:v>
      </x:c>
      <x:c r="K228" s="109" t="n">
        <x:f>'Weekly Points'!Z228</x:f>
        <x:v>8.579310431150539</x:v>
      </x:c>
      <x:c r="L228" s="173" t="n">
        <x:f>'Weekly Points'!AA228</x:f>
        <x:v>0.8743901518558702</x:v>
      </x:c>
      <x:c r="M228" s="173" t="n">
        <x:f>'Weekly Points'!AB228</x:f>
        <x:v>0.29411764705882354</x:v>
      </x:c>
      <x:c r="N228" s="109" t="n">
        <x:f>0.5*J228+0.3*I228+0.2*H228</x:f>
        <x:v>7.002352941176471</x:v>
      </x:c>
      <x:c r="O228" s="175" t="n">
        <x:v>17</x:v>
      </x:c>
      <x:c r="P228" s="175" t="n">
        <x:v>5</x:v>
      </x:c>
      <x:c r="Q228" s="175" t="n">
        <x:v>0</x:v>
      </x:c>
      <x:c r="R228" s="175" t="n">
        <x:v>118</x:v>
      </x:c>
      <x:c r="S228" s="175" t="n">
        <x:v>0</x:v>
      </x:c>
      <x:c r="T228" s="175" t="n">
        <x:v>5</x:v>
      </x:c>
      <x:c r="U228" s="175" t="n">
        <x:v>0</x:v>
      </x:c>
      <x:c r="V228" s="175" t="n">
        <x:f>SUM(S228:U228)</x:f>
        <x:v>5</x:v>
      </x:c>
      <x:c r="W228" s="108" t="str">
        <x:v>https://fantasy.espn.com/football/leaders?leagueId=555583&amp;lineupSlot=6&amp;scoringPeriodId=0&amp;statSplit=lastSeason</x:v>
      </x:c>
    </x:row>
    <x:row r="229">
      <x:c r="A229" s="108" t="str">
        <x:v>TE</x:v>
      </x:c>
      <x:c r="B229" s="175" t="n">
        <x:f>1+COUNTIFS($A$4:$A$356,A229,$J$4:$J$356,"&gt;"&amp;J229)</x:f>
        <x:v>9</x:v>
      </x:c>
      <x:c r="C229" s="175" t="n">
        <x:v>12</x:v>
      </x:c>
      <x:c r="D229" s="108" t="str">
        <x:v>Dalton Schultz</x:v>
      </x:c>
      <x:c r="E229" s="108" t="str">
        <x:v>HOU</x:v>
      </x:c>
      <x:c r="F229" s="108" t="str">
        <x:v>HOU</x:v>
      </x:c>
      <x:c r="G229" s="109" t="n">
        <x:v>136.2</x:v>
      </x:c>
      <x:c r="H229" s="109" t="n">
        <x:f>'Weekly Points'!W229</x:f>
        <x:v>8.011764705882355</x:v>
      </x:c>
      <x:c r="I229" s="109" t="n">
        <x:f>'Weekly Points'!X229</x:f>
        <x:v>8.1</x:v>
      </x:c>
      <x:c r="J229" s="109" t="n">
        <x:f>'Weekly Points'!Y229</x:f>
        <x:v>4.3</x:v>
      </x:c>
      <x:c r="K229" s="109" t="n">
        <x:f>'Weekly Points'!Z229</x:f>
        <x:v>4.5396141780787</x:v>
      </x:c>
      <x:c r="L229" s="173" t="n">
        <x:f>'Weekly Points'!AA229</x:f>
        <x:v>0.5666185097455056</x:v>
      </x:c>
      <x:c r="M229" s="173" t="n">
        <x:f>'Weekly Points'!AB229</x:f>
        <x:v>0.23529411764705882</x:v>
      </x:c>
      <x:c r="N229" s="109" t="n">
        <x:f>0.5*J229+0.3*I229+0.2*H229</x:f>
        <x:v>6.182352941176471</x:v>
      </x:c>
      <x:c r="O229" s="175" t="n">
        <x:v>17</x:v>
      </x:c>
      <x:c r="P229" s="175" t="n">
        <x:v>6</x:v>
      </x:c>
      <x:c r="Q229" s="175" t="n">
        <x:v>0</x:v>
      </x:c>
      <x:c r="R229" s="175" t="n">
        <x:v>106</x:v>
      </x:c>
      <x:c r="S229" s="175" t="n">
        <x:v>0</x:v>
      </x:c>
      <x:c r="T229" s="175" t="n">
        <x:v>3</x:v>
      </x:c>
      <x:c r="U229" s="175" t="n">
        <x:v>0</x:v>
      </x:c>
      <x:c r="V229" s="175" t="n">
        <x:f>SUM(S229:U229)</x:f>
        <x:v>3</x:v>
      </x:c>
      <x:c r="W229" s="108" t="str">
        <x:v>https://fantasy.espn.com/football/leaders?leagueId=555583&amp;lineupSlot=6&amp;scoringPeriodId=0&amp;statSplit=lastSeason</x:v>
      </x:c>
    </x:row>
    <x:row r="230">
      <x:c r="A230" s="108" t="str">
        <x:v>TE</x:v>
      </x:c>
      <x:c r="B230" s="175" t="n">
        <x:f>1+COUNTIFS($A$4:$A$356,A230,$J$4:$J$356,"&gt;"&amp;J230)</x:f>
        <x:v>10</x:v>
      </x:c>
      <x:c r="C230" s="175" t="n">
        <x:v>11</x:v>
      </x:c>
      <x:c r="D230" s="108" t="str">
        <x:v>Colston Loveland</x:v>
      </x:c>
      <x:c r="E230" s="108" t="str">
        <x:v>CHI</x:v>
      </x:c>
      <x:c r="F230" s="108" t="str">
        <x:v>CHI</x:v>
      </x:c>
      <x:c r="G230" s="109" t="n">
        <x:v>138.1</x:v>
      </x:c>
      <x:c r="H230" s="109" t="n">
        <x:f>'Weekly Points'!W230</x:f>
        <x:v>8.123529411764705</x:v>
      </x:c>
      <x:c r="I230" s="109" t="n">
        <x:f>'Weekly Points'!X230</x:f>
        <x:v>5.3</x:v>
      </x:c>
      <x:c r="J230" s="109" t="n">
        <x:f>'Weekly Points'!Y230</x:f>
        <x:v>3.6</x:v>
      </x:c>
      <x:c r="K230" s="109" t="n">
        <x:f>'Weekly Points'!Z230</x:f>
        <x:v>7.637872310113959</x:v>
      </x:c>
      <x:c r="L230" s="173" t="n">
        <x:f>'Weekly Points'!AA230</x:f>
        <x:v>0.9402159976244555</x:v>
      </x:c>
      <x:c r="M230" s="173" t="n">
        <x:f>'Weekly Points'!AB230</x:f>
        <x:v>0.35294117647058826</x:v>
      </x:c>
      <x:c r="N230" s="109" t="n">
        <x:f>0.5*J230+0.3*I230+0.2*H230</x:f>
        <x:v>5.014705882352941</x:v>
      </x:c>
      <x:c r="O230" s="175" t="n">
        <x:v>15</x:v>
      </x:c>
      <x:c r="P230" s="175" t="n">
        <x:v>5</x:v>
      </x:c>
      <x:c r="Q230" s="175" t="n">
        <x:v>1</x:v>
      </x:c>
      <x:c r="R230" s="175" t="n">
        <x:v>82</x:v>
      </x:c>
      <x:c r="S230" s="175" t="n">
        <x:v>0</x:v>
      </x:c>
      <x:c r="T230" s="175" t="n">
        <x:v>6</x:v>
      </x:c>
      <x:c r="U230" s="175" t="n">
        <x:v>0</x:v>
      </x:c>
      <x:c r="V230" s="175" t="n">
        <x:f>SUM(S230:U230)</x:f>
        <x:v>6</x:v>
      </x:c>
      <x:c r="W230" s="108" t="str">
        <x:v>https://fantasy.espn.com/football/leaders?leagueId=555583&amp;lineupSlot=6&amp;scoringPeriodId=0&amp;statSplit=lastSeason</x:v>
      </x:c>
    </x:row>
    <x:row r="231">
      <x:c r="A231" s="108" t="str">
        <x:v>TE</x:v>
      </x:c>
      <x:c r="B231" s="175" t="n">
        <x:f>1+COUNTIFS($A$4:$A$356,A231,$J$4:$J$356,"&gt;"&amp;J231)</x:f>
        <x:v>11</x:v>
      </x:c>
      <x:c r="C231" s="175" t="n">
        <x:v>3</x:v>
      </x:c>
      <x:c r="D231" s="108" t="str">
        <x:v>Dallas Goedert</x:v>
      </x:c>
      <x:c r="E231" s="108" t="str">
        <x:v>PHI</x:v>
      </x:c>
      <x:c r="F231" s="108" t="str">
        <x:v>PHI</x:v>
      </x:c>
      <x:c r="G231" s="109" t="n">
        <x:v>155.1</x:v>
      </x:c>
      <x:c r="H231" s="109" t="n">
        <x:f>'Weekly Points'!W231</x:f>
        <x:v>9.123529411764707</x:v>
      </x:c>
      <x:c r="I231" s="109" t="n">
        <x:f>'Weekly Points'!X231</x:f>
        <x:v>8.3</x:v>
      </x:c>
      <x:c r="J231" s="109" t="n">
        <x:f>'Weekly Points'!Y231</x:f>
        <x:v>3.4</x:v>
      </x:c>
      <x:c r="K231" s="109" t="n">
        <x:f>'Weekly Points'!Z231</x:f>
        <x:v>6.705706912049722</x:v>
      </x:c>
      <x:c r="L231" s="173" t="n">
        <x:f>'Weekly Points'!AA231</x:f>
        <x:v>0.7349904416817876</x:v>
      </x:c>
      <x:c r="M231" s="173" t="n">
        <x:f>'Weekly Points'!AB231</x:f>
        <x:v>0.35294117647058826</x:v>
      </x:c>
      <x:c r="N231" s="109" t="n">
        <x:f>0.5*J231+0.3*I231+0.2*H231</x:f>
        <x:v>6.014705882352942</x:v>
      </x:c>
      <x:c r="O231" s="175" t="n">
        <x:v>15</x:v>
      </x:c>
      <x:c r="P231" s="175" t="n">
        <x:v>9</x:v>
      </x:c>
      <x:c r="Q231" s="175" t="n">
        <x:v>0</x:v>
      </x:c>
      <x:c r="R231" s="175" t="n">
        <x:v>82</x:v>
      </x:c>
      <x:c r="S231" s="175" t="n">
        <x:v>0</x:v>
      </x:c>
      <x:c r="T231" s="175" t="n">
        <x:v>11</x:v>
      </x:c>
      <x:c r="U231" s="175" t="n">
        <x:v>0</x:v>
      </x:c>
      <x:c r="V231" s="175" t="n">
        <x:f>SUM(S231:U231)</x:f>
        <x:v>11</x:v>
      </x:c>
      <x:c r="W231" s="108" t="str">
        <x:v>https://fantasy.espn.com/football/leaders?leagueId=555583&amp;lineupSlot=6&amp;scoringPeriodId=0&amp;statSplit=lastSeason</x:v>
      </x:c>
    </x:row>
    <x:row r="232">
      <x:c r="A232" s="108" t="str">
        <x:v>TE</x:v>
      </x:c>
      <x:c r="B232" s="175" t="n">
        <x:f>1+COUNTIFS($A$4:$A$356,A232,$J$4:$J$356,"&gt;"&amp;J232)</x:f>
        <x:v>12</x:v>
      </x:c>
      <x:c r="C232" s="175" t="n">
        <x:v>22</x:v>
      </x:c>
      <x:c r="D232" s="108" t="str">
        <x:v>Chig Okonkwo</x:v>
      </x:c>
      <x:c r="E232" s="108" t="str">
        <x:v>TEN</x:v>
      </x:c>
      <x:c r="F232" s="108" t="str">
        <x:v>TEN</x:v>
      </x:c>
      <x:c r="G232" s="109" t="n">
        <x:v>98</x:v>
      </x:c>
      <x:c r="H232" s="109" t="n">
        <x:f>'Weekly Points'!W232</x:f>
        <x:v>5.764705882352941</x:v>
      </x:c>
      <x:c r="I232" s="109" t="n">
        <x:f>'Weekly Points'!X232</x:f>
        <x:v>5.5</x:v>
      </x:c>
      <x:c r="J232" s="109" t="n">
        <x:f>'Weekly Points'!Y232</x:f>
        <x:v>3</x:v>
      </x:c>
      <x:c r="K232" s="109" t="n">
        <x:f>'Weekly Points'!Z232</x:f>
        <x:v>3.9818619907644726</x:v>
      </x:c>
      <x:c r="L232" s="173" t="n">
        <x:f>'Weekly Points'!AA232</x:f>
        <x:v>0.6907311616632248</x:v>
      </x:c>
      <x:c r="M232" s="173" t="n">
        <x:f>'Weekly Points'!AB232</x:f>
        <x:v>0.23529411764705882</x:v>
      </x:c>
      <x:c r="N232" s="109" t="n">
        <x:f>0.5*J232+0.3*I232+0.2*H232</x:f>
        <x:v>4.302941176470588</x:v>
      </x:c>
      <x:c r="O232" s="175" t="n">
        <x:v>16</x:v>
      </x:c>
      <x:c r="P232" s="175" t="n">
        <x:v>10</x:v>
      </x:c>
      <x:c r="Q232" s="175" t="n">
        <x:v>0</x:v>
      </x:c>
      <x:c r="R232" s="175" t="n">
        <x:v>79</x:v>
      </x:c>
      <x:c r="S232" s="175" t="n">
        <x:v>0</x:v>
      </x:c>
      <x:c r="T232" s="175" t="n">
        <x:v>2</x:v>
      </x:c>
      <x:c r="U232" s="175" t="n">
        <x:v>0</x:v>
      </x:c>
      <x:c r="V232" s="175" t="n">
        <x:f>SUM(S232:U232)</x:f>
        <x:v>2</x:v>
      </x:c>
      <x:c r="W232" s="108" t="str">
        <x:v>https://fantasy.espn.com/football/leaders?leagueId=555583&amp;lineupSlot=6&amp;scoringPeriodId=0&amp;statSplit=lastSeason</x:v>
      </x:c>
    </x:row>
    <x:row r="233">
      <x:c r="A233" s="108" t="str">
        <x:v>TE</x:v>
      </x:c>
      <x:c r="B233" s="175" t="n">
        <x:f>1+COUNTIFS($A$4:$A$356,A233,$J$4:$J$356,"&gt;"&amp;J233)</x:f>
        <x:v>13</x:v>
      </x:c>
      <x:c r="C233" s="175" t="n">
        <x:v>14</x:v>
      </x:c>
      <x:c r="D233" s="108" t="str">
        <x:v>AJ Barner</x:v>
      </x:c>
      <x:c r="E233" s="108" t="str">
        <x:v>SEA</x:v>
      </x:c>
      <x:c r="F233" s="108" t="str">
        <x:v>SEA</x:v>
      </x:c>
      <x:c r="G233" s="109" t="n">
        <x:v>120.3</x:v>
      </x:c>
      <x:c r="H233" s="109" t="n">
        <x:f>'Weekly Points'!W233</x:f>
        <x:v>7.076470588235294</x:v>
      </x:c>
      <x:c r="I233" s="109" t="n">
        <x:f>'Weekly Points'!X233</x:f>
        <x:v>5.7</x:v>
      </x:c>
      <x:c r="J233" s="109" t="n">
        <x:f>'Weekly Points'!Y233</x:f>
        <x:v>2.8</x:v>
      </x:c>
      <x:c r="K233" s="109" t="n">
        <x:f>'Weekly Points'!Z233</x:f>
        <x:v>5.372208376205287</x:v>
      </x:c>
      <x:c r="L233" s="173" t="n">
        <x:f>'Weekly Points'!AA233</x:f>
        <x:v>0.7591649409433906</x:v>
      </x:c>
      <x:c r="M233" s="173" t="n">
        <x:f>'Weekly Points'!AB233</x:f>
        <x:v>0.35294117647058826</x:v>
      </x:c>
      <x:c r="N233" s="109" t="n">
        <x:f>0.5*J233+0.3*I233+0.2*H233</x:f>
        <x:v>4.525294117647059</x:v>
      </x:c>
      <x:c r="O233" s="175" t="n">
        <x:v>17</x:v>
      </x:c>
      <x:c r="P233" s="175" t="n">
        <x:v>8</x:v>
      </x:c>
      <x:c r="Q233" s="175" t="n">
        <x:v>10</x:v>
      </x:c>
      <x:c r="R233" s="175" t="n">
        <x:v>68</x:v>
      </x:c>
      <x:c r="S233" s="175" t="n">
        <x:v>1</x:v>
      </x:c>
      <x:c r="T233" s="175" t="n">
        <x:v>6</x:v>
      </x:c>
      <x:c r="U233" s="175" t="n">
        <x:v>0</x:v>
      </x:c>
      <x:c r="V233" s="175" t="n">
        <x:f>SUM(S233:U233)</x:f>
        <x:v>7</x:v>
      </x:c>
      <x:c r="W233" s="108" t="str">
        <x:v>https://fantasy.espn.com/football/leaders?leagueId=555583&amp;lineupSlot=6&amp;scoringPeriodId=0&amp;statSplit=lastSeason</x:v>
      </x:c>
    </x:row>
    <x:row r="234">
      <x:c r="A234" s="108" t="str">
        <x:v>TE</x:v>
      </x:c>
      <x:c r="B234" s="175" t="n">
        <x:f>1+COUNTIFS($A$4:$A$356,A234,$J$4:$J$356,"&gt;"&amp;J234)</x:f>
        <x:v>14</x:v>
      </x:c>
      <x:c r="C234" s="175" t="n">
        <x:v>28</x:v>
      </x:c>
      <x:c r="D234" s="108" t="str">
        <x:v>Dawson Knox</x:v>
      </x:c>
      <x:c r="E234" s="108" t="str">
        <x:v>BUF</x:v>
      </x:c>
      <x:c r="F234" s="108" t="str">
        <x:v>BUF</x:v>
      </x:c>
      <x:c r="G234" s="109" t="n">
        <x:v>85.7</x:v>
      </x:c>
      <x:c r="H234" s="109" t="n">
        <x:f>'Weekly Points'!W234</x:f>
        <x:v>5.041176470588235</x:v>
      </x:c>
      <x:c r="I234" s="109" t="n">
        <x:f>'Weekly Points'!X234</x:f>
        <x:v>3.2</x:v>
      </x:c>
      <x:c r="J234" s="109" t="n">
        <x:f>'Weekly Points'!Y234</x:f>
        <x:v>2.5</x:v>
      </x:c>
      <x:c r="K234" s="109" t="n">
        <x:f>'Weekly Points'!Z234</x:f>
        <x:v>4.622459088805618</x:v>
      </x:c>
      <x:c r="L234" s="173" t="n">
        <x:f>'Weekly Points'!AA234</x:f>
        <x:v>0.9169405427035648</x:v>
      </x:c>
      <x:c r="M234" s="173" t="n">
        <x:f>'Weekly Points'!AB234</x:f>
        <x:v>0.29411764705882354</x:v>
      </x:c>
      <x:c r="N234" s="109" t="n">
        <x:f>0.5*J234+0.3*I234+0.2*H234</x:f>
        <x:v>3.218235294117647</x:v>
      </x:c>
      <x:c r="O234" s="175" t="n">
        <x:v>15</x:v>
      </x:c>
      <x:c r="P234" s="175" t="n">
        <x:v>7</x:v>
      </x:c>
      <x:c r="Q234" s="175" t="n">
        <x:v>0</x:v>
      </x:c>
      <x:c r="R234" s="175" t="n">
        <x:v>49</x:v>
      </x:c>
      <x:c r="S234" s="175" t="n">
        <x:v>0</x:v>
      </x:c>
      <x:c r="T234" s="175" t="n">
        <x:v>4</x:v>
      </x:c>
      <x:c r="U234" s="175" t="n">
        <x:v>0</x:v>
      </x:c>
      <x:c r="V234" s="175" t="n">
        <x:f>SUM(S234:U234)</x:f>
        <x:v>4</x:v>
      </x:c>
      <x:c r="W234" s="108" t="str">
        <x:v>https://fantasy.espn.com/football/leaders?leagueId=555583&amp;lineupSlot=6&amp;scoringPeriodId=0&amp;statSplit=lastSeason</x:v>
      </x:c>
    </x:row>
    <x:row r="235">
      <x:c r="A235" s="108" t="str">
        <x:v>TE</x:v>
      </x:c>
      <x:c r="B235" s="175" t="n">
        <x:f>1+COUNTIFS($A$4:$A$356,A235,$J$4:$J$356,"&gt;"&amp;J235)</x:f>
        <x:v>15</x:v>
      </x:c>
      <x:c r="C235" s="175" t="n">
        <x:v>25</x:v>
      </x:c>
      <x:c r="D235" s="108" t="str">
        <x:v>Cade Otton</x:v>
      </x:c>
      <x:c r="E235" s="108" t="str">
        <x:v>TB</x:v>
      </x:c>
      <x:c r="F235" s="108" t="str">
        <x:v>TB</x:v>
      </x:c>
      <x:c r="G235" s="109" t="n">
        <x:v>92.7</x:v>
      </x:c>
      <x:c r="H235" s="109" t="n">
        <x:f>'Weekly Points'!W235</x:f>
        <x:v>5.4529411764705875</x:v>
      </x:c>
      <x:c r="I235" s="109" t="n">
        <x:f>'Weekly Points'!X235</x:f>
        <x:v>4</x:v>
      </x:c>
      <x:c r="J235" s="109" t="n">
        <x:f>'Weekly Points'!Y235</x:f>
        <x:v>2.4</x:v>
      </x:c>
      <x:c r="K235" s="109" t="n">
        <x:f>'Weekly Points'!Z235</x:f>
        <x:v>4.91876570445913</x:v>
      </x:c>
      <x:c r="L235" s="173" t="n">
        <x:f>'Weekly Points'!AA235</x:f>
        <x:v>0.9020390180777261</x:v>
      </x:c>
      <x:c r="M235" s="173" t="n">
        <x:f>'Weekly Points'!AB235</x:f>
        <x:v>0.35294117647058826</x:v>
      </x:c>
      <x:c r="N235" s="109" t="n">
        <x:f>0.5*J235+0.3*I235+0.2*H235</x:f>
        <x:v>3.4905882352941173</x:v>
      </x:c>
      <x:c r="O235" s="175" t="n">
        <x:v>14</x:v>
      </x:c>
      <x:c r="P235" s="175" t="n">
        <x:v>9</x:v>
      </x:c>
      <x:c r="Q235" s="175" t="n">
        <x:v>0</x:v>
      </x:c>
      <x:c r="R235" s="175" t="n">
        <x:v>81</x:v>
      </x:c>
      <x:c r="S235" s="175" t="n">
        <x:v>0</x:v>
      </x:c>
      <x:c r="T235" s="175" t="n">
        <x:v>1</x:v>
      </x:c>
      <x:c r="U235" s="175" t="n">
        <x:v>0</x:v>
      </x:c>
      <x:c r="V235" s="175" t="n">
        <x:f>SUM(S235:U235)</x:f>
        <x:v>1</x:v>
      </x:c>
      <x:c r="W235" s="108" t="str">
        <x:v>https://fantasy.espn.com/football/leaders?leagueId=555583&amp;lineupSlot=6&amp;scoringPeriodId=0&amp;statSplit=lastSeason</x:v>
      </x:c>
    </x:row>
    <x:row r="236">
      <x:c r="A236" s="108" t="str">
        <x:v>TE</x:v>
      </x:c>
      <x:c r="B236" s="175" t="n">
        <x:f>1+COUNTIFS($A$4:$A$356,A236,$J$4:$J$356,"&gt;"&amp;J236)</x:f>
        <x:v>15</x:v>
      </x:c>
      <x:c r="C236" s="175" t="n">
        <x:v>18</x:v>
      </x:c>
      <x:c r="D236" s="108" t="str">
        <x:v>Mark Andrews</x:v>
      </x:c>
      <x:c r="E236" s="108" t="str">
        <x:v>BAL</x:v>
      </x:c>
      <x:c r="F236" s="108" t="str">
        <x:v>BAL</x:v>
      </x:c>
      <x:c r="G236" s="109" t="n">
        <x:v>106.5</x:v>
      </x:c>
      <x:c r="H236" s="109" t="n">
        <x:f>'Weekly Points'!W236</x:f>
        <x:v>6.264705882352942</x:v>
      </x:c>
      <x:c r="I236" s="109" t="n">
        <x:f>'Weekly Points'!X236</x:f>
        <x:v>4.4</x:v>
      </x:c>
      <x:c r="J236" s="109" t="n">
        <x:f>'Weekly Points'!Y236</x:f>
        <x:v>2.4</x:v>
      </x:c>
      <x:c r="K236" s="109" t="n">
        <x:f>'Weekly Points'!Z236</x:f>
        <x:v>6.088846232489909</x:v>
      </x:c>
      <x:c r="L236" s="173" t="n">
        <x:f>'Weekly Points'!AA236</x:f>
        <x:v>0.9719285065946333</x:v>
      </x:c>
      <x:c r="M236" s="173" t="n">
        <x:f>'Weekly Points'!AB236</x:f>
        <x:v>0.35294117647058826</x:v>
      </x:c>
      <x:c r="N236" s="109" t="n">
        <x:f>0.5*J236+0.3*I236+0.2*H236</x:f>
        <x:v>3.7729411764705887</x:v>
      </x:c>
      <x:c r="O236" s="175" t="n">
        <x:v>17</x:v>
      </x:c>
      <x:c r="P236" s="175" t="n">
        <x:v>7</x:v>
      </x:c>
      <x:c r="Q236" s="175" t="n">
        <x:v>10</x:v>
      </x:c>
      <x:c r="R236" s="175" t="n">
        <x:v>70</x:v>
      </x:c>
      <x:c r="S236" s="175" t="n">
        <x:v>1</x:v>
      </x:c>
      <x:c r="T236" s="175" t="n">
        <x:v>5</x:v>
      </x:c>
      <x:c r="U236" s="175" t="n">
        <x:v>0</x:v>
      </x:c>
      <x:c r="V236" s="175" t="n">
        <x:f>SUM(S236:U236)</x:f>
        <x:v>6</x:v>
      </x:c>
      <x:c r="W236" s="108" t="str">
        <x:v>https://fantasy.espn.com/football/leaders?leagueId=555583&amp;lineupSlot=6&amp;scoringPeriodId=0&amp;statSplit=lastSeason</x:v>
      </x:c>
    </x:row>
    <x:row r="237">
      <x:c r="A237" s="108" t="str">
        <x:v>TE</x:v>
      </x:c>
      <x:c r="B237" s="175" t="n">
        <x:f>1+COUNTIFS($A$4:$A$356,A237,$J$4:$J$356,"&gt;"&amp;J237)</x:f>
        <x:v>17</x:v>
      </x:c>
      <x:c r="C237" s="175" t="n">
        <x:v>33</x:v>
      </x:c>
      <x:c r="D237" s="108" t="str">
        <x:v>Gunnar Helm</x:v>
      </x:c>
      <x:c r="E237" s="108" t="str">
        <x:v>TEN</x:v>
      </x:c>
      <x:c r="F237" s="108" t="str">
        <x:v>TEN</x:v>
      </x:c>
      <x:c r="G237" s="109" t="n">
        <x:v>69.7</x:v>
      </x:c>
      <x:c r="H237" s="109" t="n">
        <x:f>'Weekly Points'!W237</x:f>
        <x:v>4.1000000000000005</x:v>
      </x:c>
      <x:c r="I237" s="109" t="n">
        <x:f>'Weekly Points'!X237</x:f>
        <x:v>2.5</x:v>
      </x:c>
      <x:c r="J237" s="109" t="n">
        <x:f>'Weekly Points'!Y237</x:f>
        <x:v>1.9</x:v>
      </x:c>
      <x:c r="K237" s="109" t="n">
        <x:f>'Weekly Points'!Z237</x:f>
        <x:v>3.3415389198603056</x:v>
      </x:c>
      <x:c r="L237" s="173" t="n">
        <x:f>'Weekly Points'!AA237</x:f>
        <x:v>0.8150094926488549</x:v>
      </x:c>
      <x:c r="M237" s="173" t="n">
        <x:f>'Weekly Points'!AB237</x:f>
        <x:v>0.4117647058823529</x:v>
      </x:c>
      <x:c r="N237" s="109" t="n">
        <x:f>0.5*J237+0.3*I237+0.2*H237</x:f>
        <x:v>2.52</x:v>
      </x:c>
      <x:c r="O237" s="175" t="n">
        <x:v>16</x:v>
      </x:c>
      <x:c r="P237" s="175" t="n">
        <x:v>10</x:v>
      </x:c>
      <x:c r="Q237" s="175" t="n">
        <x:v>0</x:v>
      </x:c>
      <x:c r="R237" s="175" t="n">
        <x:v>55</x:v>
      </x:c>
      <x:c r="S237" s="175" t="n">
        <x:v>0</x:v>
      </x:c>
      <x:c r="T237" s="175" t="n">
        <x:v>2</x:v>
      </x:c>
      <x:c r="U237" s="175" t="n">
        <x:v>0</x:v>
      </x:c>
      <x:c r="V237" s="175" t="n">
        <x:f>SUM(S237:U237)</x:f>
        <x:v>2</x:v>
      </x:c>
      <x:c r="W237" s="108" t="str">
        <x:v>https://fantasy.espn.com/football/leaders?leagueId=555583&amp;lineupSlot=6&amp;scoringPeriodId=0&amp;statSplit=lastSeason</x:v>
      </x:c>
    </x:row>
    <x:row r="238">
      <x:c r="A238" s="108" t="str">
        <x:v>TE</x:v>
      </x:c>
      <x:c r="B238" s="175" t="n">
        <x:f>1+COUNTIFS($A$4:$A$356,A238,$J$4:$J$356,"&gt;"&amp;J238)</x:f>
        <x:v>17</x:v>
      </x:c>
      <x:c r="C238" s="175" t="n">
        <x:v>17</x:v>
      </x:c>
      <x:c r="D238" s="108" t="str">
        <x:v>Oronde Gadsden</x:v>
      </x:c>
      <x:c r="E238" s="108" t="str">
        <x:v>LAC</x:v>
      </x:c>
      <x:c r="F238" s="108" t="str">
        <x:v>LAC</x:v>
      </x:c>
      <x:c r="G238" s="109" t="n">
        <x:v>106.9</x:v>
      </x:c>
      <x:c r="H238" s="109" t="n">
        <x:f>'Weekly Points'!W238</x:f>
        <x:v>6.288235294117647</x:v>
      </x:c>
      <x:c r="I238" s="109" t="n">
        <x:f>'Weekly Points'!X238</x:f>
        <x:v>3.3</x:v>
      </x:c>
      <x:c r="J238" s="109" t="n">
        <x:f>'Weekly Points'!Y238</x:f>
        <x:v>1.9</x:v>
      </x:c>
      <x:c r="K238" s="109" t="n">
        <x:f>'Weekly Points'!Z238</x:f>
        <x:v>6.485992359370549</x:v>
      </x:c>
      <x:c r="L238" s="173" t="n">
        <x:f>'Weekly Points'!AA238</x:f>
        <x:v>1.0314487381599564</x:v>
      </x:c>
      <x:c r="M238" s="173" t="n">
        <x:f>'Weekly Points'!AB238</x:f>
        <x:v>0.4117647058823529</x:v>
      </x:c>
      <x:c r="N238" s="109" t="n">
        <x:f>0.5*J238+0.3*I238+0.2*H238</x:f>
        <x:v>3.1976470588235295</x:v>
      </x:c>
      <x:c r="O238" s="175" t="n">
        <x:v>15</x:v>
      </x:c>
      <x:c r="P238" s="175" t="n">
        <x:v>12</x:v>
      </x:c>
      <x:c r="Q238" s="175" t="n">
        <x:v>0</x:v>
      </x:c>
      <x:c r="R238" s="175" t="n">
        <x:v>69</x:v>
      </x:c>
      <x:c r="S238" s="175" t="n">
        <x:v>0</x:v>
      </x:c>
      <x:c r="T238" s="175" t="n">
        <x:v>3</x:v>
      </x:c>
      <x:c r="U238" s="175" t="n">
        <x:v>0</x:v>
      </x:c>
      <x:c r="V238" s="175" t="n">
        <x:f>SUM(S238:U238)</x:f>
        <x:v>3</x:v>
      </x:c>
      <x:c r="W238" s="108" t="str">
        <x:v>https://fantasy.espn.com/football/leaders?leagueId=555583&amp;lineupSlot=6&amp;scoringPeriodId=0&amp;statSplit=lastSeason</x:v>
      </x:c>
    </x:row>
    <x:row r="239">
      <x:c r="A239" s="108" t="str">
        <x:v>TE</x:v>
      </x:c>
      <x:c r="B239" s="175" t="n">
        <x:f>1+COUNTIFS($A$4:$A$356,A239,$J$4:$J$356,"&gt;"&amp;J239)</x:f>
        <x:v>17</x:v>
      </x:c>
      <x:c r="C239" s="175" t="n">
        <x:v>23</x:v>
      </x:c>
      <x:c r="D239" s="108" t="str">
        <x:v>Pat Freiermuth</x:v>
      </x:c>
      <x:c r="E239" s="108" t="str">
        <x:v>PIT</x:v>
      </x:c>
      <x:c r="F239" s="108" t="str">
        <x:v>PIT</x:v>
      </x:c>
      <x:c r="G239" s="109" t="n">
        <x:v>95.1</x:v>
      </x:c>
      <x:c r="H239" s="109" t="n">
        <x:f>'Weekly Points'!W239</x:f>
        <x:v>5.594117647058823</x:v>
      </x:c>
      <x:c r="I239" s="109" t="n">
        <x:f>'Weekly Points'!X239</x:f>
        <x:v>4.3</x:v>
      </x:c>
      <x:c r="J239" s="109" t="n">
        <x:f>'Weekly Points'!Y239</x:f>
        <x:v>1.9</x:v>
      </x:c>
      <x:c r="K239" s="109" t="n">
        <x:f>'Weekly Points'!Z239</x:f>
        <x:v>6.241367741150719</x:v>
      </x:c>
      <x:c r="L239" s="173" t="n">
        <x:f>'Weekly Points'!AA239</x:f>
        <x:v>1.1157019095642715</x:v>
      </x:c>
      <x:c r="M239" s="173" t="n">
        <x:f>'Weekly Points'!AB239</x:f>
        <x:v>0.35294117647058826</x:v>
      </x:c>
      <x:c r="N239" s="109" t="n">
        <x:f>0.5*J239+0.3*I239+0.2*H239</x:f>
        <x:v>3.3588235294117643</x:v>
      </x:c>
      <x:c r="O239" s="175" t="n">
        <x:v>15</x:v>
      </x:c>
      <x:c r="P239" s="175" t="n">
        <x:v>5</x:v>
      </x:c>
      <x:c r="Q239" s="175" t="n">
        <x:v>0</x:v>
      </x:c>
      <x:c r="R239" s="175" t="n">
        <x:v>54</x:v>
      </x:c>
      <x:c r="S239" s="175" t="n">
        <x:v>0</x:v>
      </x:c>
      <x:c r="T239" s="175" t="n">
        <x:v>4</x:v>
      </x:c>
      <x:c r="U239" s="175" t="n">
        <x:v>0</x:v>
      </x:c>
      <x:c r="V239" s="175" t="n">
        <x:f>SUM(S239:U239)</x:f>
        <x:v>4</x:v>
      </x:c>
      <x:c r="W239" s="108" t="str">
        <x:v>https://fantasy.espn.com/football/leaders?leagueId=555583&amp;lineupSlot=6&amp;scoringPeriodId=0&amp;statSplit=lastSeason</x:v>
      </x:c>
    </x:row>
    <x:row r="240">
      <x:c r="A240" s="108" t="str">
        <x:v>TE</x:v>
      </x:c>
      <x:c r="B240" s="175" t="n">
        <x:f>1+COUNTIFS($A$4:$A$356,A240,$J$4:$J$356,"&gt;"&amp;J240)</x:f>
        <x:v>20</x:v>
      </x:c>
      <x:c r="C240" s="175" t="n">
        <x:v>29</x:v>
      </x:c>
      <x:c r="D240" s="108" t="str">
        <x:v>Evan Engram</x:v>
      </x:c>
      <x:c r="E240" s="108" t="str">
        <x:v>DEN</x:v>
      </x:c>
      <x:c r="F240" s="108" t="str">
        <x:v>DEN</x:v>
      </x:c>
      <x:c r="G240" s="109" t="n">
        <x:v>77.8</x:v>
      </x:c>
      <x:c r="H240" s="109" t="n">
        <x:f>'Weekly Points'!W240</x:f>
        <x:v>4.576470588235294</x:v>
      </x:c>
      <x:c r="I240" s="109" t="n">
        <x:f>'Weekly Points'!X240</x:f>
        <x:v>4.6</x:v>
      </x:c>
      <x:c r="J240" s="109" t="n">
        <x:f>'Weekly Points'!Y240</x:f>
        <x:v>1.8</x:v>
      </x:c>
      <x:c r="K240" s="109" t="n">
        <x:f>'Weekly Points'!Z240</x:f>
        <x:v>3.202486058520365</x:v>
      </x:c>
      <x:c r="L240" s="173" t="n">
        <x:f>'Weekly Points'!AA240</x:f>
        <x:v>0.6997720179286145</x:v>
      </x:c>
      <x:c r="M240" s="173" t="n">
        <x:f>'Weekly Points'!AB240</x:f>
        <x:v>0.35294117647058826</x:v>
      </x:c>
      <x:c r="N240" s="109" t="n">
        <x:f>0.5*J240+0.3*I240+0.2*H240</x:f>
        <x:v>3.195294117647059</x:v>
      </x:c>
      <x:c r="O240" s="175" t="n">
        <x:v>15</x:v>
      </x:c>
      <x:c r="P240" s="175" t="n">
        <x:v>12</x:v>
      </x:c>
      <x:c r="Q240" s="175" t="n">
        <x:v>1</x:v>
      </x:c>
      <x:c r="R240" s="175" t="n">
        <x:v>76</x:v>
      </x:c>
      <x:c r="S240" s="175" t="n">
        <x:v>0</x:v>
      </x:c>
      <x:c r="T240" s="175" t="n">
        <x:v>1</x:v>
      </x:c>
      <x:c r="U240" s="175" t="n">
        <x:v>0</x:v>
      </x:c>
      <x:c r="V240" s="175" t="n">
        <x:f>SUM(S240:U240)</x:f>
        <x:v>1</x:v>
      </x:c>
      <x:c r="W240" s="108" t="str">
        <x:v>https://fantasy.espn.com/football/leaders?leagueId=555583&amp;lineupSlot=6&amp;scoringPeriodId=0&amp;statSplit=lastSeason</x:v>
      </x:c>
    </x:row>
    <x:row r="241">
      <x:c r="A241" s="108" t="str">
        <x:v>TE</x:v>
      </x:c>
      <x:c r="B241" s="175" t="n">
        <x:f>1+COUNTIFS($A$4:$A$356,A241,$J$4:$J$356,"&gt;"&amp;J241)</x:f>
        <x:v>20</x:v>
      </x:c>
      <x:c r="C241" s="175" t="n">
        <x:v>27</x:v>
      </x:c>
      <x:c r="D241" s="108" t="str">
        <x:v>T.J. Hockenson</x:v>
      </x:c>
      <x:c r="E241" s="108" t="str">
        <x:v>MIN</x:v>
      </x:c>
      <x:c r="F241" s="108" t="str">
        <x:v>MIN</x:v>
      </x:c>
      <x:c r="G241" s="109" t="n">
        <x:v>87.3</x:v>
      </x:c>
      <x:c r="H241" s="109" t="n">
        <x:f>'Weekly Points'!W241</x:f>
        <x:v>5.135294117647058</x:v>
      </x:c>
      <x:c r="I241" s="109" t="n">
        <x:f>'Weekly Points'!X241</x:f>
        <x:v>5.4</x:v>
      </x:c>
      <x:c r="J241" s="109" t="n">
        <x:f>'Weekly Points'!Y241</x:f>
        <x:v>1.8</x:v>
      </x:c>
      <x:c r="K241" s="109" t="n">
        <x:f>'Weekly Points'!Z241</x:f>
        <x:v>3.634465925078075</x:v>
      </x:c>
      <x:c r="L241" s="173" t="n">
        <x:f>'Weekly Points'!AA241</x:f>
        <x:v>0.7077425054562118</x:v>
      </x:c>
      <x:c r="M241" s="173" t="n">
        <x:f>'Weekly Points'!AB241</x:f>
        <x:v>0.29411764705882354</x:v>
      </x:c>
      <x:c r="N241" s="109" t="n">
        <x:f>0.5*J241+0.3*I241+0.2*H241</x:f>
        <x:v>3.5470588235294116</x:v>
      </x:c>
      <x:c r="O241" s="175" t="n">
        <x:v>15</x:v>
      </x:c>
      <x:c r="P241" s="175" t="n">
        <x:v>6</x:v>
      </x:c>
      <x:c r="Q241" s="175" t="n">
        <x:v>1</x:v>
      </x:c>
      <x:c r="R241" s="175" t="n">
        <x:v>66</x:v>
      </x:c>
      <x:c r="S241" s="175" t="n">
        <x:v>0</x:v>
      </x:c>
      <x:c r="T241" s="175" t="n">
        <x:v>3</x:v>
      </x:c>
      <x:c r="U241" s="175" t="n">
        <x:v>0</x:v>
      </x:c>
      <x:c r="V241" s="175" t="n">
        <x:f>SUM(S241:U241)</x:f>
        <x:v>3</x:v>
      </x:c>
      <x:c r="W241" s="108" t="str">
        <x:v>https://fantasy.espn.com/football/leaders?leagueId=555583&amp;lineupSlot=6&amp;scoringPeriodId=0&amp;statSplit=lastSeason</x:v>
      </x:c>
    </x:row>
    <x:row r="242">
      <x:c r="A242" s="108" t="str">
        <x:v>TE</x:v>
      </x:c>
      <x:c r="B242" s="175" t="n">
        <x:f>1+COUNTIFS($A$4:$A$356,A242,$J$4:$J$356,"&gt;"&amp;J242)</x:f>
        <x:v>22</x:v>
      </x:c>
      <x:c r="C242" s="175" t="n">
        <x:v>39</x:v>
      </x:c>
      <x:c r="D242" s="108" t="str">
        <x:v>Darnell Washington</x:v>
      </x:c>
      <x:c r="E242" s="108" t="str">
        <x:v>PIT</x:v>
      </x:c>
      <x:c r="F242" s="108" t="str">
        <x:v>PIT</x:v>
      </x:c>
      <x:c r="G242" s="109" t="n">
        <x:v>57.4</x:v>
      </x:c>
      <x:c r="H242" s="109" t="n">
        <x:f>'Weekly Points'!W242</x:f>
        <x:v>3.3764705882352946</x:v>
      </x:c>
      <x:c r="I242" s="109" t="n">
        <x:f>'Weekly Points'!X242</x:f>
        <x:v>3.1</x:v>
      </x:c>
      <x:c r="J242" s="109" t="n">
        <x:f>'Weekly Points'!Y242</x:f>
        <x:v>1.7</x:v>
      </x:c>
      <x:c r="K242" s="109" t="n">
        <x:f>'Weekly Points'!Z242</x:f>
        <x:v>2.746019453203171</x:v>
      </x:c>
      <x:c r="L242" s="173" t="n">
        <x:f>'Weekly Points'!AA242</x:f>
        <x:v>0.8132810227256777</x:v>
      </x:c>
      <x:c r="M242" s="173" t="n">
        <x:f>'Weekly Points'!AB242</x:f>
        <x:v>0.23529411764705882</x:v>
      </x:c>
      <x:c r="N242" s="109" t="n">
        <x:f>0.5*J242+0.3*I242+0.2*H242</x:f>
        <x:v>2.4552941176470586</x:v>
      </x:c>
      <x:c r="O242" s="175" t="n">
        <x:v>13</x:v>
      </x:c>
      <x:c r="P242" s="175" t="n">
        <x:v>5</x:v>
      </x:c>
      <x:c r="Q242" s="175" t="n">
        <x:v>0</x:v>
      </x:c>
      <x:c r="R242" s="175" t="n">
        <x:v>43</x:v>
      </x:c>
      <x:c r="S242" s="175" t="n">
        <x:v>0</x:v>
      </x:c>
      <x:c r="T242" s="175" t="n">
        <x:v>1</x:v>
      </x:c>
      <x:c r="U242" s="175" t="n">
        <x:v>0</x:v>
      </x:c>
      <x:c r="V242" s="175" t="n">
        <x:f>SUM(S242:U242)</x:f>
        <x:v>1</x:v>
      </x:c>
      <x:c r="W242" s="108" t="str">
        <x:v>https://fantasy.espn.com/football/leaders?leagueId=555583&amp;lineupSlot=6&amp;scoringPeriodId=0&amp;statSplit=lastSeason</x:v>
      </x:c>
    </x:row>
    <x:row r="243">
      <x:c r="A243" s="108" t="str">
        <x:v>TE</x:v>
      </x:c>
      <x:c r="B243" s="175" t="n">
        <x:f>1+COUNTIFS($A$4:$A$356,A243,$J$4:$J$356,"&gt;"&amp;J243)</x:f>
        <x:v>23</x:v>
      </x:c>
      <x:c r="C243" s="175" t="n">
        <x:v>36</x:v>
      </x:c>
      <x:c r="D243" s="108" t="str">
        <x:v>Cole Kmet</x:v>
      </x:c>
      <x:c r="E243" s="108" t="str">
        <x:v>CHI</x:v>
      </x:c>
      <x:c r="F243" s="108" t="str">
        <x:v>CHI</x:v>
      </x:c>
      <x:c r="G243" s="109" t="n">
        <x:v>63.7</x:v>
      </x:c>
      <x:c r="H243" s="109" t="n">
        <x:f>'Weekly Points'!W243</x:f>
        <x:v>3.7470588235294118</x:v>
      </x:c>
      <x:c r="I243" s="109" t="n">
        <x:f>'Weekly Points'!X243</x:f>
        <x:v>3.6</x:v>
      </x:c>
      <x:c r="J243" s="109" t="n">
        <x:f>'Weekly Points'!Y243</x:f>
        <x:v>1.5</x:v>
      </x:c>
      <x:c r="K243" s="109" t="n">
        <x:f>'Weekly Points'!Z243</x:f>
        <x:v>2.8580366866823357</x:v>
      </x:c>
      <x:c r="L243" s="173" t="n">
        <x:f>'Weekly Points'!AA243</x:f>
        <x:v>0.7627413449544694</x:v>
      </x:c>
      <x:c r="M243" s="173" t="n">
        <x:f>'Weekly Points'!AB243</x:f>
        <x:v>0.29411764705882354</x:v>
      </x:c>
      <x:c r="N243" s="109" t="n">
        <x:f>0.5*J243+0.3*I243+0.2*H243</x:f>
        <x:v>2.5794117647058825</x:v>
      </x:c>
      <x:c r="O243" s="175" t="n">
        <x:v>16</x:v>
      </x:c>
      <x:c r="P243" s="175" t="n">
        <x:v>5</x:v>
      </x:c>
      <x:c r="Q243" s="175" t="n">
        <x:v>0</x:v>
      </x:c>
      <x:c r="R243" s="175" t="n">
        <x:v>48</x:v>
      </x:c>
      <x:c r="S243" s="175" t="n">
        <x:v>0</x:v>
      </x:c>
      <x:c r="T243" s="175" t="n">
        <x:v>2</x:v>
      </x:c>
      <x:c r="U243" s="175" t="n">
        <x:v>0</x:v>
      </x:c>
      <x:c r="V243" s="175" t="n">
        <x:f>SUM(S243:U243)</x:f>
        <x:v>2</x:v>
      </x:c>
      <x:c r="W243" s="108" t="str">
        <x:v>https://fantasy.espn.com/football/leaders?leagueId=555583&amp;lineupSlot=6&amp;scoringPeriodId=0&amp;statSplit=lastSeason</x:v>
      </x:c>
    </x:row>
    <x:row r="244">
      <x:c r="A244" s="108" t="str">
        <x:v>TE</x:v>
      </x:c>
      <x:c r="B244" s="175" t="n">
        <x:f>1+COUNTIFS($A$4:$A$356,A244,$J$4:$J$356,"&gt;"&amp;J244)</x:f>
        <x:v>23</x:v>
      </x:c>
      <x:c r="C244" s="175" t="n">
        <x:v>16</x:v>
      </x:c>
      <x:c r="D244" s="108" t="str">
        <x:v>Theo Johnson</x:v>
      </x:c>
      <x:c r="E244" s="108" t="str">
        <x:v>NYG</x:v>
      </x:c>
      <x:c r="F244" s="108" t="str">
        <x:v>NYG</x:v>
      </x:c>
      <x:c r="G244" s="109" t="n">
        <x:v>107.3</x:v>
      </x:c>
      <x:c r="H244" s="109" t="n">
        <x:f>'Weekly Points'!W244</x:f>
        <x:v>6.311764705882354</x:v>
      </x:c>
      <x:c r="I244" s="109" t="n">
        <x:f>'Weekly Points'!X244</x:f>
        <x:v>5.1</x:v>
      </x:c>
      <x:c r="J244" s="109" t="n">
        <x:f>'Weekly Points'!Y244</x:f>
        <x:v>1.5</x:v>
      </x:c>
      <x:c r="K244" s="109" t="n">
        <x:f>'Weekly Points'!Z244</x:f>
        <x:v>5.371918526049983</x:v>
      </x:c>
      <x:c r="L244" s="173" t="n">
        <x:f>'Weekly Points'!AA244</x:f>
        <x:v>0.8510961318066141</x:v>
      </x:c>
      <x:c r="M244" s="173" t="n">
        <x:f>'Weekly Points'!AB244</x:f>
        <x:v>0.29411764705882354</x:v>
      </x:c>
      <x:c r="N244" s="109" t="n">
        <x:f>0.5*J244+0.3*I244+0.2*H244</x:f>
        <x:v>3.5423529411764707</x:v>
      </x:c>
      <x:c r="O244" s="175" t="n">
        <x:v>14</x:v>
      </x:c>
      <x:c r="P244" s="175" t="n">
        <x:v>14</x:v>
      </x:c>
      <x:c r="Q244" s="175" t="n">
        <x:v>0</x:v>
      </x:c>
      <x:c r="R244" s="175" t="n">
        <x:v>74</x:v>
      </x:c>
      <x:c r="S244" s="175" t="n">
        <x:v>0</x:v>
      </x:c>
      <x:c r="T244" s="175" t="n">
        <x:v>5</x:v>
      </x:c>
      <x:c r="U244" s="175" t="n">
        <x:v>0</x:v>
      </x:c>
      <x:c r="V244" s="175" t="n">
        <x:f>SUM(S244:U244)</x:f>
        <x:v>5</x:v>
      </x:c>
      <x:c r="W244" s="108" t="str">
        <x:v>https://fantasy.espn.com/football/leaders?leagueId=555583&amp;lineupSlot=6&amp;scoringPeriodId=0&amp;statSplit=lastSeason</x:v>
      </x:c>
    </x:row>
    <x:row r="245">
      <x:c r="A245" s="108" t="str">
        <x:v>TE</x:v>
      </x:c>
      <x:c r="B245" s="175" t="n">
        <x:f>1+COUNTIFS($A$4:$A$356,A245,$J$4:$J$356,"&gt;"&amp;J245)</x:f>
        <x:v>25</x:v>
      </x:c>
      <x:c r="C245" s="175" t="n">
        <x:v>35</x:v>
      </x:c>
      <x:c r="D245" s="108" t="str">
        <x:v>Jonnu Smith</x:v>
      </x:c>
      <x:c r="E245" s="108" t="str">
        <x:v>PIT</x:v>
      </x:c>
      <x:c r="F245" s="108" t="str">
        <x:v>PIT</x:v>
      </x:c>
      <x:c r="G245" s="109" t="n">
        <x:v>65.7</x:v>
      </x:c>
      <x:c r="H245" s="109" t="n">
        <x:f>'Weekly Points'!W245</x:f>
        <x:v>3.864705882352941</x:v>
      </x:c>
      <x:c r="I245" s="109" t="n">
        <x:f>'Weekly Points'!X245</x:f>
        <x:v>3.3</x:v>
      </x:c>
      <x:c r="J245" s="109" t="n">
        <x:f>'Weekly Points'!Y245</x:f>
        <x:v>1.1</x:v>
      </x:c>
      <x:c r="K245" s="109" t="n">
        <x:f>'Weekly Points'!Z245</x:f>
        <x:v>3.234545367903227</x:v>
      </x:c>
      <x:c r="L245" s="173" t="n">
        <x:f>'Weekly Points'!AA245</x:f>
        <x:v>0.8369447679506067</x:v>
      </x:c>
      <x:c r="M245" s="173" t="n">
        <x:f>'Weekly Points'!AB245</x:f>
        <x:v>0.35294117647058826</x:v>
      </x:c>
      <x:c r="N245" s="109" t="n">
        <x:f>0.5*J245+0.3*I245+0.2*H245</x:f>
        <x:v>2.3129411764705883</x:v>
      </x:c>
      <x:c r="O245" s="175" t="n">
        <x:v>15</x:v>
      </x:c>
      <x:c r="P245" s="175" t="n">
        <x:v>5</x:v>
      </x:c>
      <x:c r="Q245" s="175" t="n">
        <x:v>9</x:v>
      </x:c>
      <x:c r="R245" s="175" t="n">
        <x:v>54</x:v>
      </x:c>
      <x:c r="S245" s="175" t="n">
        <x:v>1</x:v>
      </x:c>
      <x:c r="T245" s="175" t="n">
        <x:v>2</x:v>
      </x:c>
      <x:c r="U245" s="175" t="n">
        <x:v>0</x:v>
      </x:c>
      <x:c r="V245" s="175" t="n">
        <x:f>SUM(S245:U245)</x:f>
        <x:v>3</x:v>
      </x:c>
      <x:c r="W245" s="108" t="str">
        <x:v>https://fantasy.espn.com/football/leaders?leagueId=555583&amp;lineupSlot=6&amp;scoringPeriodId=0&amp;statSplit=lastSeason</x:v>
      </x:c>
    </x:row>
    <x:row r="246">
      <x:c r="A246" s="108" t="str">
        <x:v>TE</x:v>
      </x:c>
      <x:c r="B246" s="175" t="n">
        <x:f>1+COUNTIFS($A$4:$A$356,A246,$J$4:$J$356,"&gt;"&amp;J246)</x:f>
        <x:v>26</x:v>
      </x:c>
      <x:c r="C246" s="175" t="n">
        <x:v>34</x:v>
      </x:c>
      <x:c r="D246" s="108" t="str">
        <x:v>Mason Taylor</x:v>
      </x:c>
      <x:c r="E246" s="108" t="str">
        <x:v>NYJ</x:v>
      </x:c>
      <x:c r="F246" s="108" t="str">
        <x:v>NYJ</x:v>
      </x:c>
      <x:c r="G246" s="109" t="n">
        <x:v>66.9</x:v>
      </x:c>
      <x:c r="H246" s="109" t="n">
        <x:f>'Weekly Points'!W246</x:f>
        <x:v>3.935294117647058</x:v>
      </x:c>
      <x:c r="I246" s="109" t="n">
        <x:f>'Weekly Points'!X246</x:f>
        <x:v>3.1</x:v>
      </x:c>
      <x:c r="J246" s="109" t="n">
        <x:f>'Weekly Points'!Y246</x:f>
        <x:v>0.7</x:v>
      </x:c>
      <x:c r="K246" s="109" t="n">
        <x:f>'Weekly Points'!Z246</x:f>
        <x:v>4.080504752005794</x:v>
      </x:c>
      <x:c r="L246" s="173" t="n">
        <x:f>'Weekly Points'!AA246</x:f>
        <x:v>1.0368995632899627</x:v>
      </x:c>
      <x:c r="M246" s="173" t="n">
        <x:f>'Weekly Points'!AB246</x:f>
        <x:v>0.4117647058823529</x:v>
      </x:c>
      <x:c r="N246" s="109" t="n">
        <x:f>0.5*J246+0.3*I246+0.2*H246</x:f>
        <x:v>2.0670588235294116</x:v>
      </x:c>
      <x:c r="O246" s="175" t="n">
        <x:v>13</x:v>
      </x:c>
      <x:c r="P246" s="175" t="n">
        <x:v>9</x:v>
      </x:c>
      <x:c r="Q246" s="175" t="n">
        <x:v>0</x:v>
      </x:c>
      <x:c r="R246" s="175" t="n">
        <x:v>65</x:v>
      </x:c>
      <x:c r="S246" s="175" t="n">
        <x:v>0</x:v>
      </x:c>
      <x:c r="T246" s="175" t="n">
        <x:v>1</x:v>
      </x:c>
      <x:c r="U246" s="175" t="n">
        <x:v>0</x:v>
      </x:c>
      <x:c r="V246" s="175" t="n">
        <x:f>SUM(S246:U246)</x:f>
        <x:v>1</x:v>
      </x:c>
      <x:c r="W246" s="108" t="str">
        <x:v>https://fantasy.espn.com/football/leaders?leagueId=555583&amp;lineupSlot=6&amp;scoringPeriodId=0&amp;statSplit=lastSeason</x:v>
      </x:c>
    </x:row>
    <x:row r="247">
      <x:c r="A247" s="108" t="str">
        <x:v>TE</x:v>
      </x:c>
      <x:c r="B247" s="175" t="n">
        <x:f>1+COUNTIFS($A$4:$A$356,A247,$J$4:$J$356,"&gt;"&amp;J247)</x:f>
        <x:v>27</x:v>
      </x:c>
      <x:c r="C247" s="175" t="n">
        <x:v>24</x:v>
      </x:c>
      <x:c r="D247" s="108" t="str">
        <x:v>Brenton Strange</x:v>
      </x:c>
      <x:c r="E247" s="108" t="str">
        <x:v>JAX</x:v>
      </x:c>
      <x:c r="F247" s="108" t="str">
        <x:v>JAX</x:v>
      </x:c>
      <x:c r="G247" s="109" t="n">
        <x:v>95</x:v>
      </x:c>
      <x:c r="H247" s="109" t="n">
        <x:f>'Weekly Points'!W247</x:f>
        <x:v>5.588235294117648</x:v>
      </x:c>
      <x:c r="I247" s="109" t="n">
        <x:f>'Weekly Points'!X247</x:f>
        <x:v>4.2</x:v>
      </x:c>
      <x:c r="J247" s="109" t="n">
        <x:f>'Weekly Points'!Y247</x:f>
        <x:v>0</x:v>
      </x:c>
      <x:c r="K247" s="109" t="n">
        <x:f>'Weekly Points'!Z247</x:f>
        <x:v>4.8605110301334</x:v>
      </x:c>
      <x:c r="L247" s="173" t="n">
        <x:f>'Weekly Points'!AA247</x:f>
        <x:v>0.8697756580238715</x:v>
      </x:c>
      <x:c r="M247" s="173" t="n">
        <x:f>'Weekly Points'!AB247</x:f>
        <x:v>0.35294117647058826</x:v>
      </x:c>
      <x:c r="N247" s="109" t="n">
        <x:f>0.5*J247+0.3*I247+0.2*H247</x:f>
        <x:v>2.3776470588235297</x:v>
      </x:c>
      <x:c r="O247" s="175" t="n">
        <x:v>12</x:v>
      </x:c>
      <x:c r="P247" s="175" t="n">
        <x:v>8</x:v>
      </x:c>
      <x:c r="Q247" s="175" t="n">
        <x:v>0</x:v>
      </x:c>
      <x:c r="R247" s="175" t="n">
        <x:v>60</x:v>
      </x:c>
      <x:c r="S247" s="175" t="n">
        <x:v>0</x:v>
      </x:c>
      <x:c r="T247" s="175" t="n">
        <x:v>3</x:v>
      </x:c>
      <x:c r="U247" s="175" t="n">
        <x:v>0</x:v>
      </x:c>
      <x:c r="V247" s="175" t="n">
        <x:f>SUM(S247:U247)</x:f>
        <x:v>3</x:v>
      </x:c>
      <x:c r="W247" s="108" t="str">
        <x:v>https://fantasy.espn.com/football/leaders?leagueId=555583&amp;lineupSlot=6&amp;scoringPeriodId=0&amp;statSplit=lastSeason</x:v>
      </x:c>
    </x:row>
    <x:row r="248">
      <x:c r="A248" s="108" t="str">
        <x:v>TE</x:v>
      </x:c>
      <x:c r="B248" s="175" t="n">
        <x:f>1+COUNTIFS($A$4:$A$356,A248,$J$4:$J$356,"&gt;"&amp;J248)</x:f>
        <x:v>27</x:v>
      </x:c>
      <x:c r="C248" s="175" t="n">
        <x:v>21</x:v>
      </x:c>
      <x:c r="D248" s="108" t="str">
        <x:v>Zach Ertz</x:v>
      </x:c>
      <x:c r="E248" s="108" t="str">
        <x:v>WSH</x:v>
      </x:c>
      <x:c r="F248" s="108" t="str">
        <x:v>WSH</x:v>
      </x:c>
      <x:c r="G248" s="109" t="n">
        <x:v>100.9</x:v>
      </x:c>
      <x:c r="H248" s="109" t="n">
        <x:f>'Weekly Points'!W248</x:f>
        <x:v>5.935294117647059</x:v>
      </x:c>
      <x:c r="I248" s="109" t="n">
        <x:f>'Weekly Points'!X248</x:f>
        <x:v>5.3</x:v>
      </x:c>
      <x:c r="J248" s="109" t="n">
        <x:f>'Weekly Points'!Y248</x:f>
        <x:v>0</x:v>
      </x:c>
      <x:c r="K248" s="109" t="n">
        <x:f>'Weekly Points'!Z248</x:f>
        <x:v>5.355144989136268</x:v>
      </x:c>
      <x:c r="L248" s="173" t="n">
        <x:f>'Weekly Points'!AA248</x:f>
        <x:v>0.9022543589228598</x:v>
      </x:c>
      <x:c r="M248" s="173" t="n">
        <x:f>'Weekly Points'!AB248</x:f>
        <x:v>0.35294117647058826</x:v>
      </x:c>
      <x:c r="N248" s="109" t="n">
        <x:f>0.5*J248+0.3*I248+0.2*H248</x:f>
        <x:v>2.777058823529412</x:v>
      </x:c>
      <x:c r="O248" s="175" t="n">
        <x:v>12</x:v>
      </x:c>
      <x:c r="P248" s="175" t="n">
        <x:v>12</x:v>
      </x:c>
      <x:c r="Q248" s="175" t="n">
        <x:v>0</x:v>
      </x:c>
      <x:c r="R248" s="175" t="n">
        <x:v>72</x:v>
      </x:c>
      <x:c r="S248" s="175" t="n">
        <x:v>0</x:v>
      </x:c>
      <x:c r="T248" s="175" t="n">
        <x:v>4</x:v>
      </x:c>
      <x:c r="U248" s="175" t="n">
        <x:v>0</x:v>
      </x:c>
      <x:c r="V248" s="175" t="n">
        <x:f>SUM(S248:U248)</x:f>
        <x:v>4</x:v>
      </x:c>
      <x:c r="W248" s="108" t="str">
        <x:v>https://fantasy.espn.com/football/leaders?leagueId=555583&amp;lineupSlot=6&amp;scoringPeriodId=0&amp;statSplit=lastSeason</x:v>
      </x:c>
    </x:row>
    <x:row r="249">
      <x:c r="A249" s="108" t="str">
        <x:v>TE</x:v>
      </x:c>
      <x:c r="B249" s="175" t="n">
        <x:f>1+COUNTIFS($A$4:$A$356,A249,$J$4:$J$356,"&gt;"&amp;J249)</x:f>
        <x:v>27</x:v>
      </x:c>
      <x:c r="C249" s="175" t="n">
        <x:v>19</x:v>
      </x:c>
      <x:c r="D249" s="108" t="str">
        <x:v>Dalton Kincaid</x:v>
      </x:c>
      <x:c r="E249" s="108" t="str">
        <x:v>BUF</x:v>
      </x:c>
      <x:c r="F249" s="108" t="str">
        <x:v>BUF</x:v>
      </x:c>
      <x:c r="G249" s="109" t="n">
        <x:v>106.1</x:v>
      </x:c>
      <x:c r="H249" s="109" t="n">
        <x:f>'Weekly Points'!W249</x:f>
        <x:v>6.241176470588235</x:v>
      </x:c>
      <x:c r="I249" s="109" t="n">
        <x:f>'Weekly Points'!X249</x:f>
        <x:v>4.9</x:v>
      </x:c>
      <x:c r="J249" s="109" t="n">
        <x:f>'Weekly Points'!Y249</x:f>
        <x:v>0</x:v>
      </x:c>
      <x:c r="K249" s="109" t="n">
        <x:f>'Weekly Points'!Z249</x:f>
        <x:v>6.094265271888996</x:v>
      </x:c>
      <x:c r="L249" s="173" t="n">
        <x:f>'Weekly Points'!AA249</x:f>
        <x:v>0.9764609766457392</x:v>
      </x:c>
      <x:c r="M249" s="173" t="n">
        <x:f>'Weekly Points'!AB249</x:f>
        <x:v>0.4117647058823529</x:v>
      </x:c>
      <x:c r="N249" s="109" t="n">
        <x:f>0.5*J249+0.3*I249+0.2*H249</x:f>
        <x:v>2.718235294117647</x:v>
      </x:c>
      <x:c r="O249" s="175" t="n">
        <x:v>11</x:v>
      </x:c>
      <x:c r="P249" s="175" t="n">
        <x:v>7</x:v>
      </x:c>
      <x:c r="Q249" s="175" t="n">
        <x:v>0</x:v>
      </x:c>
      <x:c r="R249" s="175" t="n">
        <x:v>49</x:v>
      </x:c>
      <x:c r="S249" s="175" t="n">
        <x:v>0</x:v>
      </x:c>
      <x:c r="T249" s="175" t="n">
        <x:v>5</x:v>
      </x:c>
      <x:c r="U249" s="175" t="n">
        <x:v>0</x:v>
      </x:c>
      <x:c r="V249" s="175" t="n">
        <x:f>SUM(S249:U249)</x:f>
        <x:v>5</x:v>
      </x:c>
      <x:c r="W249" s="108" t="str">
        <x:v>https://fantasy.espn.com/football/leaders?leagueId=555583&amp;lineupSlot=6&amp;scoringPeriodId=0&amp;statSplit=lastSeason</x:v>
      </x:c>
    </x:row>
    <x:row r="250">
      <x:c r="A250" s="108" t="str">
        <x:v>TE</x:v>
      </x:c>
      <x:c r="B250" s="175" t="n">
        <x:f>1+COUNTIFS($A$4:$A$356,A250,$J$4:$J$356,"&gt;"&amp;J250)</x:f>
        <x:v>27</x:v>
      </x:c>
      <x:c r="C250" s="175" t="n">
        <x:v>13</x:v>
      </x:c>
      <x:c r="D250" s="108" t="str">
        <x:v>George Kittle</x:v>
      </x:c>
      <x:c r="E250" s="108" t="str">
        <x:v>SF</x:v>
      </x:c>
      <x:c r="F250" s="108" t="str">
        <x:v>SF</x:v>
      </x:c>
      <x:c r="G250" s="109" t="n">
        <x:v>133</x:v>
      </x:c>
      <x:c r="H250" s="109" t="n">
        <x:f>'Weekly Points'!W250</x:f>
        <x:v>7.823529411764706</x:v>
      </x:c>
      <x:c r="I250" s="109" t="n">
        <x:f>'Weekly Points'!X250</x:f>
        <x:v>5.4</x:v>
      </x:c>
      <x:c r="J250" s="109" t="n">
        <x:f>'Weekly Points'!Y250</x:f>
        <x:v>0</x:v>
      </x:c>
      <x:c r="K250" s="109" t="n">
        <x:f>'Weekly Points'!Z250</x:f>
        <x:v>8.00386152478655</x:v>
      </x:c>
      <x:c r="L250" s="173" t="n">
        <x:f>'Weekly Points'!AA250</x:f>
        <x:v>1.0230499693336192</x:v>
      </x:c>
      <x:c r="M250" s="173" t="n">
        <x:f>'Weekly Points'!AB250</x:f>
        <x:v>0.4117647058823529</x:v>
      </x:c>
      <x:c r="N250" s="109" t="n">
        <x:f>0.5*J250+0.3*I250+0.2*H250</x:f>
        <x:v>3.184705882352941</x:v>
      </x:c>
      <x:c r="O250" s="175" t="n">
        <x:v>10</x:v>
      </x:c>
      <x:c r="P250" s="175" t="n">
        <x:v>14</x:v>
      </x:c>
      <x:c r="Q250" s="175" t="n">
        <x:v>1</x:v>
      </x:c>
      <x:c r="R250" s="175" t="n">
        <x:v>69</x:v>
      </x:c>
      <x:c r="S250" s="175" t="n">
        <x:v>0</x:v>
      </x:c>
      <x:c r="T250" s="175" t="n">
        <x:v>7</x:v>
      </x:c>
      <x:c r="U250" s="175" t="n">
        <x:v>0</x:v>
      </x:c>
      <x:c r="V250" s="175" t="n">
        <x:f>SUM(S250:U250)</x:f>
        <x:v>7</x:v>
      </x:c>
      <x:c r="W250" s="108" t="str">
        <x:v>https://fantasy.espn.com/football/leaders?leagueId=555583&amp;lineupSlot=6&amp;scoringPeriodId=0&amp;statSplit=lastSeason</x:v>
      </x:c>
    </x:row>
    <x:row r="251">
      <x:c r="A251" s="108" t="str">
        <x:v>TE</x:v>
      </x:c>
      <x:c r="B251" s="175" t="n">
        <x:f>1+COUNTIFS($A$4:$A$356,A251,$J$4:$J$356,"&gt;"&amp;J251)</x:f>
        <x:v>27</x:v>
      </x:c>
      <x:c r="C251" s="175" t="n">
        <x:v>15</x:v>
      </x:c>
      <x:c r="D251" s="108" t="str">
        <x:v>Colby Parkinson</x:v>
      </x:c>
      <x:c r="E251" s="108" t="str">
        <x:v>LAR</x:v>
      </x:c>
      <x:c r="F251" s="108" t="str">
        <x:v>LAR</x:v>
      </x:c>
      <x:c r="G251" s="109" t="n">
        <x:v>108.3</x:v>
      </x:c>
      <x:c r="H251" s="109" t="n">
        <x:f>'Weekly Points'!W251</x:f>
        <x:v>6.370588235294116</x:v>
      </x:c>
      <x:c r="I251" s="109" t="n">
        <x:f>'Weekly Points'!X251</x:f>
        <x:v>4.7</x:v>
      </x:c>
      <x:c r="J251" s="109" t="n">
        <x:f>'Weekly Points'!Y251</x:f>
        <x:v>0</x:v>
      </x:c>
      <x:c r="K251" s="109" t="n">
        <x:f>'Weekly Points'!Z251</x:f>
        <x:v>6.573455059455805</x:v>
      </x:c>
      <x:c r="L251" s="173" t="n">
        <x:f>'Weekly Points'!AA251</x:f>
        <x:v>1.0318442844944478</x:v>
      </x:c>
      <x:c r="M251" s="173" t="n">
        <x:f>'Weekly Points'!AB251</x:f>
        <x:v>0.47058823529411764</x:v>
      </x:c>
      <x:c r="N251" s="109" t="n">
        <x:f>0.5*J251+0.3*I251+0.2*H251</x:f>
        <x:v>2.684117647058823</x:v>
      </x:c>
      <x:c r="O251" s="175" t="n">
        <x:v>13</x:v>
      </x:c>
      <x:c r="P251" s="175" t="n">
        <x:v>8</x:v>
      </x:c>
      <x:c r="Q251" s="175" t="n">
        <x:v>0</x:v>
      </x:c>
      <x:c r="R251" s="175" t="n">
        <x:v>56</x:v>
      </x:c>
      <x:c r="S251" s="175" t="n">
        <x:v>0</x:v>
      </x:c>
      <x:c r="T251" s="175" t="n">
        <x:v>8</x:v>
      </x:c>
      <x:c r="U251" s="175" t="n">
        <x:v>0</x:v>
      </x:c>
      <x:c r="V251" s="175" t="n">
        <x:f>SUM(S251:U251)</x:f>
        <x:v>8</x:v>
      </x:c>
      <x:c r="W251" s="108" t="str">
        <x:v>https://fantasy.espn.com/football/leaders?leagueId=555583&amp;lineupSlot=6&amp;scoringPeriodId=0&amp;statSplit=lastSeason</x:v>
      </x:c>
    </x:row>
    <x:row r="252">
      <x:c r="A252" s="108" t="str">
        <x:v>TE</x:v>
      </x:c>
      <x:c r="B252" s="175" t="n">
        <x:f>1+COUNTIFS($A$4:$A$356,A252,$J$4:$J$356,"&gt;"&amp;J252)</x:f>
        <x:v>27</x:v>
      </x:c>
      <x:c r="C252" s="175" t="n">
        <x:v>9</x:v>
      </x:c>
      <x:c r="D252" s="108" t="str">
        <x:v>Brock Bowers</x:v>
      </x:c>
      <x:c r="E252" s="108" t="str">
        <x:v>LV</x:v>
      </x:c>
      <x:c r="F252" s="108" t="str">
        <x:v>LV</x:v>
      </x:c>
      <x:c r="G252" s="109" t="n">
        <x:v>144.2</x:v>
      </x:c>
      <x:c r="H252" s="109" t="n">
        <x:f>'Weekly Points'!W252</x:f>
        <x:v>8.482352941176472</x:v>
      </x:c>
      <x:c r="I252" s="109" t="n">
        <x:f>'Weekly Points'!X252</x:f>
        <x:v>7.1</x:v>
      </x:c>
      <x:c r="J252" s="109" t="n">
        <x:f>'Weekly Points'!Y252</x:f>
        <x:v>0</x:v>
      </x:c>
      <x:c r="K252" s="109" t="n">
        <x:f>'Weekly Points'!Z252</x:f>
        <x:v>9.151099920653552</x:v>
      </x:c>
      <x:c r="L252" s="173" t="n">
        <x:f>'Weekly Points'!AA252</x:f>
        <x:v>1.0788397964709455</x:v>
      </x:c>
      <x:c r="M252" s="173" t="n">
        <x:f>'Weekly Points'!AB252</x:f>
        <x:v>0.35294117647058826</x:v>
      </x:c>
      <x:c r="N252" s="109" t="n">
        <x:f>0.5*J252+0.3*I252+0.2*H252</x:f>
        <x:v>3.8264705882352947</x:v>
      </x:c>
      <x:c r="O252" s="175" t="n">
        <x:v>12</x:v>
      </x:c>
      <x:c r="P252" s="175" t="n">
        <x:v>8</x:v>
      </x:c>
      <x:c r="Q252" s="175" t="n">
        <x:v>2</x:v>
      </x:c>
      <x:c r="R252" s="175" t="n">
        <x:v>86</x:v>
      </x:c>
      <x:c r="S252" s="175" t="n">
        <x:v>0</x:v>
      </x:c>
      <x:c r="T252" s="175" t="n">
        <x:v>7</x:v>
      </x:c>
      <x:c r="U252" s="175" t="n">
        <x:v>0</x:v>
      </x:c>
      <x:c r="V252" s="175" t="n">
        <x:f>SUM(S252:U252)</x:f>
        <x:v>7</x:v>
      </x:c>
      <x:c r="W252" s="108" t="str">
        <x:v>https://fantasy.espn.com/football/leaders?leagueId=555583&amp;lineupSlot=6&amp;scoringPeriodId=0&amp;statSplit=lastSeason</x:v>
      </x:c>
    </x:row>
    <x:row r="253">
      <x:c r="A253" s="108" t="str">
        <x:v>TE</x:v>
      </x:c>
      <x:c r="B253" s="175" t="n">
        <x:f>1+COUNTIFS($A$4:$A$356,A253,$J$4:$J$356,"&gt;"&amp;J253)</x:f>
        <x:v>27</x:v>
      </x:c>
      <x:c r="C253" s="175" t="n">
        <x:v>32</x:v>
      </x:c>
      <x:c r="D253" s="108" t="str">
        <x:v>David Njoku</x:v>
      </x:c>
      <x:c r="E253" s="108" t="str">
        <x:v>CLE</x:v>
      </x:c>
      <x:c r="F253" s="108" t="str">
        <x:v>CLE</x:v>
      </x:c>
      <x:c r="G253" s="109" t="n">
        <x:v>69.8</x:v>
      </x:c>
      <x:c r="H253" s="109" t="n">
        <x:f>'Weekly Points'!W253</x:f>
        <x:v>4.105882352941176</x:v>
      </x:c>
      <x:c r="I253" s="109" t="n">
        <x:f>'Weekly Points'!X253</x:f>
        <x:v>2.1</x:v>
      </x:c>
      <x:c r="J253" s="109" t="n">
        <x:f>'Weekly Points'!Y253</x:f>
        <x:v>0</x:v>
      </x:c>
      <x:c r="K253" s="109" t="n">
        <x:f>'Weekly Points'!Z253</x:f>
        <x:v>4.56810819232069</x:v>
      </x:c>
      <x:c r="L253" s="173" t="n">
        <x:f>'Weekly Points'!AA253</x:f>
        <x:v>1.1125764938316867</x:v>
      </x:c>
      <x:c r="M253" s="173" t="n">
        <x:f>'Weekly Points'!AB253</x:f>
        <x:v>0.47058823529411764</x:v>
      </x:c>
      <x:c r="N253" s="109" t="n">
        <x:f>0.5*J253+0.3*I253+0.2*H253</x:f>
        <x:v>1.4511764705882353</x:v>
      </x:c>
      <x:c r="O253" s="175" t="n">
        <x:v>11</x:v>
      </x:c>
      <x:c r="P253" s="175" t="n">
        <x:v>9</x:v>
      </x:c>
      <x:c r="Q253" s="175" t="n">
        <x:v>0</x:v>
      </x:c>
      <x:c r="R253" s="175" t="n">
        <x:v>48</x:v>
      </x:c>
      <x:c r="S253" s="175" t="n">
        <x:v>0</x:v>
      </x:c>
      <x:c r="T253" s="175" t="n">
        <x:v>4</x:v>
      </x:c>
      <x:c r="U253" s="175" t="n">
        <x:v>0</x:v>
      </x:c>
      <x:c r="V253" s="175" t="n">
        <x:f>SUM(S253:U253)</x:f>
        <x:v>4</x:v>
      </x:c>
      <x:c r="W253" s="108" t="str">
        <x:v>https://fantasy.espn.com/football/leaders?leagueId=555583&amp;lineupSlot=6&amp;scoringPeriodId=0&amp;statSplit=lastSeason</x:v>
      </x:c>
    </x:row>
    <x:row r="254">
      <x:c r="A254" s="108" t="str">
        <x:v>TE</x:v>
      </x:c>
      <x:c r="B254" s="175" t="n">
        <x:f>1+COUNTIFS($A$4:$A$356,A254,$J$4:$J$356,"&gt;"&amp;J254)</x:f>
        <x:v>27</x:v>
      </x:c>
      <x:c r="C254" s="175" t="n">
        <x:v>38</x:v>
      </x:c>
      <x:c r="D254" s="108" t="str">
        <x:v>Noah Fant</x:v>
      </x:c>
      <x:c r="E254" s="108" t="str">
        <x:v>CIN</x:v>
      </x:c>
      <x:c r="F254" s="108" t="str">
        <x:v>CIN</x:v>
      </x:c>
      <x:c r="G254" s="109" t="n">
        <x:v>57.8</x:v>
      </x:c>
      <x:c r="H254" s="109" t="n">
        <x:f>'Weekly Points'!W254</x:f>
        <x:v>3.4</x:v>
      </x:c>
      <x:c r="I254" s="109" t="n">
        <x:f>'Weekly Points'!X254</x:f>
        <x:v>2</x:v>
      </x:c>
      <x:c r="J254" s="109" t="n">
        <x:f>'Weekly Points'!Y254</x:f>
        <x:v>0</x:v>
      </x:c>
      <x:c r="K254" s="109" t="n">
        <x:f>'Weekly Points'!Z254</x:f>
        <x:v>3.997057741418717</x:v>
      </x:c>
      <x:c r="L254" s="173" t="n">
        <x:f>'Weekly Points'!AA254</x:f>
        <x:v>1.1756052180643286</x:v>
      </x:c>
      <x:c r="M254" s="173" t="n">
        <x:f>'Weekly Points'!AB254</x:f>
        <x:v>0.47058823529411764</x:v>
      </x:c>
      <x:c r="N254" s="109" t="n">
        <x:f>0.5*J254+0.3*I254+0.2*H254</x:f>
        <x:v>1.28</x:v>
      </x:c>
      <x:c r="O254" s="175" t="n">
        <x:v>12</x:v>
      </x:c>
      <x:c r="P254" s="175" t="n">
        <x:v>10</x:v>
      </x:c>
      <x:c r="Q254" s="175" t="n">
        <x:v>0</x:v>
      </x:c>
      <x:c r="R254" s="175" t="n">
        <x:v>41</x:v>
      </x:c>
      <x:c r="S254" s="175" t="n">
        <x:v>0</x:v>
      </x:c>
      <x:c r="T254" s="175" t="n">
        <x:v>3</x:v>
      </x:c>
      <x:c r="U254" s="175" t="n">
        <x:v>0</x:v>
      </x:c>
      <x:c r="V254" s="175" t="n">
        <x:f>SUM(S254:U254)</x:f>
        <x:v>3</x:v>
      </x:c>
      <x:c r="W254" s="108" t="str">
        <x:v>https://fantasy.espn.com/football/leaders?leagueId=555583&amp;lineupSlot=6&amp;scoringPeriodId=0&amp;statSplit=lastSeason</x:v>
      </x:c>
    </x:row>
    <x:row r="255">
      <x:c r="A255" s="108" t="str">
        <x:v>TE</x:v>
      </x:c>
      <x:c r="B255" s="175" t="n">
        <x:f>1+COUNTIFS($A$4:$A$356,A255,$J$4:$J$356,"&gt;"&amp;J255)</x:f>
        <x:v>27</x:v>
      </x:c>
      <x:c r="C255" s="175" t="n">
        <x:v>31</x:v>
      </x:c>
      <x:c r="D255" s="108" t="str">
        <x:v>Jake Tonges</x:v>
      </x:c>
      <x:c r="E255" s="108" t="str">
        <x:v>SF</x:v>
      </x:c>
      <x:c r="F255" s="108" t="str">
        <x:v>SF</x:v>
      </x:c>
      <x:c r="G255" s="109" t="n">
        <x:v>76.3</x:v>
      </x:c>
      <x:c r="H255" s="109" t="n">
        <x:f>'Weekly Points'!W255</x:f>
        <x:v>4.488235294117648</x:v>
      </x:c>
      <x:c r="I255" s="109" t="n">
        <x:f>'Weekly Points'!X255</x:f>
        <x:v>1.2</x:v>
      </x:c>
      <x:c r="J255" s="109" t="n">
        <x:f>'Weekly Points'!Y255</x:f>
        <x:v>0</x:v>
      </x:c>
      <x:c r="K255" s="109" t="n">
        <x:f>'Weekly Points'!Z255</x:f>
        <x:v>5.423465611466004</x:v>
      </x:c>
      <x:c r="L255" s="173" t="n">
        <x:f>'Weekly Points'!AA255</x:f>
        <x:v>1.208373727325322</x:v>
      </x:c>
      <x:c r="M255" s="173" t="n">
        <x:f>'Weekly Points'!AB255</x:f>
        <x:v>0.5294117647058824</x:v>
      </x:c>
      <x:c r="N255" s="109" t="n">
        <x:f>0.5*J255+0.3*I255+0.2*H255</x:f>
        <x:v>1.2576470588235296</x:v>
      </x:c>
      <x:c r="O255" s="175" t="n">
        <x:v>9</x:v>
      </x:c>
      <x:c r="P255" s="175" t="n">
        <x:v>14</x:v>
      </x:c>
      <x:c r="Q255" s="175" t="n">
        <x:v>0</x:v>
      </x:c>
      <x:c r="R255" s="175" t="n">
        <x:v>46</x:v>
      </x:c>
      <x:c r="S255" s="175" t="n">
        <x:v>0</x:v>
      </x:c>
      <x:c r="T255" s="175" t="n">
        <x:v>5</x:v>
      </x:c>
      <x:c r="U255" s="175" t="n">
        <x:v>0</x:v>
      </x:c>
      <x:c r="V255" s="175" t="n">
        <x:f>SUM(S255:U255)</x:f>
        <x:v>5</x:v>
      </x:c>
      <x:c r="W255" s="108" t="str">
        <x:v>https://fantasy.espn.com/football/leaders?leagueId=555583&amp;lineupSlot=6&amp;scoringPeriodId=0&amp;statSplit=lastSeason</x:v>
      </x:c>
    </x:row>
    <x:row r="256">
      <x:c r="A256" s="108" t="str">
        <x:v>TE</x:v>
      </x:c>
      <x:c r="B256" s="175" t="n">
        <x:f>1+COUNTIFS($A$4:$A$356,A256,$J$4:$J$356,"&gt;"&amp;J256)</x:f>
        <x:v>27</x:v>
      </x:c>
      <x:c r="C256" s="175" t="n">
        <x:v>26</x:v>
      </x:c>
      <x:c r="D256" s="108" t="str">
        <x:v>Sam LaPorta</x:v>
      </x:c>
      <x:c r="E256" s="108" t="str">
        <x:v>DET</x:v>
      </x:c>
      <x:c r="F256" s="108" t="str">
        <x:v>DET</x:v>
      </x:c>
      <x:c r="G256" s="109" t="n">
        <x:v>88.9</x:v>
      </x:c>
      <x:c r="H256" s="109" t="n">
        <x:f>'Weekly Points'!W256</x:f>
        <x:v>5.229411764705882</x:v>
      </x:c>
      <x:c r="I256" s="109" t="n">
        <x:f>'Weekly Points'!X256</x:f>
        <x:v>3</x:v>
      </x:c>
      <x:c r="J256" s="109" t="n">
        <x:f>'Weekly Points'!Y256</x:f>
        <x:v>0</x:v>
      </x:c>
      <x:c r="K256" s="109" t="n">
        <x:f>'Weekly Points'!Z256</x:f>
        <x:v>6.5780172862865856</x:v>
      </x:c>
      <x:c r="L256" s="173" t="n">
        <x:f>'Weekly Points'!AA256</x:f>
        <x:v>1.257888569931068</x:v>
      </x:c>
      <x:c r="M256" s="173" t="n">
        <x:f>'Weekly Points'!AB256</x:f>
        <x:v>0.47058823529411764</x:v>
      </x:c>
      <x:c r="N256" s="109" t="n">
        <x:f>0.5*J256+0.3*I256+0.2*H256</x:f>
        <x:v>1.9458823529411764</x:v>
      </x:c>
      <x:c r="O256" s="175" t="n">
        <x:v>9</x:v>
      </x:c>
      <x:c r="P256" s="175" t="n">
        <x:v>8</x:v>
      </x:c>
      <x:c r="Q256" s="175" t="n">
        <x:v>0</x:v>
      </x:c>
      <x:c r="R256" s="175" t="n">
        <x:v>49</x:v>
      </x:c>
      <x:c r="S256" s="175" t="n">
        <x:v>0</x:v>
      </x:c>
      <x:c r="T256" s="175" t="n">
        <x:v>3</x:v>
      </x:c>
      <x:c r="U256" s="175" t="n">
        <x:v>0</x:v>
      </x:c>
      <x:c r="V256" s="175" t="n">
        <x:f>SUM(S256:U256)</x:f>
        <x:v>3</x:v>
      </x:c>
      <x:c r="W256" s="108" t="str">
        <x:v>https://fantasy.espn.com/football/leaders?leagueId=555583&amp;lineupSlot=6&amp;scoringPeriodId=0&amp;statSplit=lastSeason</x:v>
      </x:c>
    </x:row>
    <x:row r="257">
      <x:c r="A257" s="108" t="str">
        <x:v>TE</x:v>
      </x:c>
      <x:c r="B257" s="175" t="n">
        <x:f>1+COUNTIFS($A$4:$A$356,A257,$J$4:$J$356,"&gt;"&amp;J257)</x:f>
        <x:v>27</x:v>
      </x:c>
      <x:c r="C257" s="175" t="n">
        <x:v>41</x:v>
      </x:c>
      <x:c r="D257" s="108" t="str">
        <x:v>Michael Mayer</x:v>
      </x:c>
      <x:c r="E257" s="108" t="str">
        <x:v>LV</x:v>
      </x:c>
      <x:c r="F257" s="108" t="str">
        <x:v>LV</x:v>
      </x:c>
      <x:c r="G257" s="109" t="n">
        <x:v>55.8</x:v>
      </x:c>
      <x:c r="H257" s="109" t="n">
        <x:f>'Weekly Points'!W257</x:f>
        <x:v>3.2823529411764705</x:v>
      </x:c>
      <x:c r="I257" s="109" t="n">
        <x:f>'Weekly Points'!X257</x:f>
        <x:v>1.9</x:v>
      </x:c>
      <x:c r="J257" s="109" t="n">
        <x:f>'Weekly Points'!Y257</x:f>
        <x:v>0</x:v>
      </x:c>
      <x:c r="K257" s="109" t="n">
        <x:f>'Weekly Points'!Z257</x:f>
        <x:v>4.197651345289291</x:v>
      </x:c>
      <x:c r="L257" s="173" t="n">
        <x:f>'Weekly Points'!AA257</x:f>
        <x:v>1.27885435250749</x:v>
      </x:c>
      <x:c r="M257" s="173" t="n">
        <x:f>'Weekly Points'!AB257</x:f>
        <x:v>0.47058823529411764</x:v>
      </x:c>
      <x:c r="N257" s="109" t="n">
        <x:f>0.5*J257+0.3*I257+0.2*H257</x:f>
        <x:v>1.2264705882352942</x:v>
      </x:c>
      <x:c r="O257" s="175" t="n">
        <x:v>11</x:v>
      </x:c>
      <x:c r="P257" s="175" t="n">
        <x:v>8</x:v>
      </x:c>
      <x:c r="Q257" s="175" t="n">
        <x:v>0</x:v>
      </x:c>
      <x:c r="R257" s="175" t="n">
        <x:v>50</x:v>
      </x:c>
      <x:c r="S257" s="175" t="n">
        <x:v>0</x:v>
      </x:c>
      <x:c r="T257" s="175" t="n">
        <x:v>1</x:v>
      </x:c>
      <x:c r="U257" s="175" t="n">
        <x:v>0</x:v>
      </x:c>
      <x:c r="V257" s="175" t="n">
        <x:f>SUM(S257:U257)</x:f>
        <x:v>1</x:v>
      </x:c>
      <x:c r="W257" s="108" t="str">
        <x:v>https://fantasy.espn.com/football/leaders?leagueId=555583&amp;lineupSlot=6&amp;scoringPeriodId=0&amp;statSplit=lastSeason</x:v>
      </x:c>
    </x:row>
    <x:row r="258">
      <x:c r="A258" s="108" t="str">
        <x:v>TE</x:v>
      </x:c>
      <x:c r="B258" s="175" t="n">
        <x:f>1+COUNTIFS($A$4:$A$356,A258,$J$4:$J$356,"&gt;"&amp;J258)</x:f>
        <x:v>27</x:v>
      </x:c>
      <x:c r="C258" s="175" t="n">
        <x:v>40</x:v>
      </x:c>
      <x:c r="D258" s="108" t="str">
        <x:v>Mike Gesicki</x:v>
      </x:c>
      <x:c r="E258" s="108" t="str">
        <x:v>CIN</x:v>
      </x:c>
      <x:c r="F258" s="108" t="str">
        <x:v>CIN</x:v>
      </x:c>
      <x:c r="G258" s="109" t="n">
        <x:v>56.7</x:v>
      </x:c>
      <x:c r="H258" s="109" t="n">
        <x:f>'Weekly Points'!W258</x:f>
        <x:v>3.3352941176470585</x:v>
      </x:c>
      <x:c r="I258" s="109" t="n">
        <x:f>'Weekly Points'!X258</x:f>
        <x:v>1.9</x:v>
      </x:c>
      <x:c r="J258" s="109" t="n">
        <x:f>'Weekly Points'!Y258</x:f>
        <x:v>0</x:v>
      </x:c>
      <x:c r="K258" s="109" t="n">
        <x:f>'Weekly Points'!Z258</x:f>
        <x:v>4.500319096721736</x:v>
      </x:c>
      <x:c r="L258" s="173" t="n">
        <x:f>'Weekly Points'!AA258</x:f>
        <x:v>1.3493020219447887</x:v>
      </x:c>
      <x:c r="M258" s="173" t="n">
        <x:f>'Weekly Points'!AB258</x:f>
        <x:v>0.47058823529411764</x:v>
      </x:c>
      <x:c r="N258" s="109" t="n">
        <x:f>0.5*J258+0.3*I258+0.2*H258</x:f>
        <x:v>1.2370588235294115</x:v>
      </x:c>
      <x:c r="O258" s="175" t="n">
        <x:v>12</x:v>
      </x:c>
      <x:c r="P258" s="175" t="n">
        <x:v>10</x:v>
      </x:c>
      <x:c r="Q258" s="175" t="n">
        <x:v>0</x:v>
      </x:c>
      <x:c r="R258" s="175" t="n">
        <x:v>42</x:v>
      </x:c>
      <x:c r="S258" s="175" t="n">
        <x:v>0</x:v>
      </x:c>
      <x:c r="T258" s="175" t="n">
        <x:v>2</x:v>
      </x:c>
      <x:c r="U258" s="175" t="n">
        <x:v>0</x:v>
      </x:c>
      <x:c r="V258" s="175" t="n">
        <x:f>SUM(S258:U258)</x:f>
        <x:v>2</x:v>
      </x:c>
      <x:c r="W258" s="108" t="str">
        <x:v>https://fantasy.espn.com/football/leaders?leagueId=555583&amp;lineupSlot=6&amp;scoringPeriodId=0&amp;statSplit=lastSeason</x:v>
      </x:c>
    </x:row>
    <x:row r="259">
      <x:c r="A259" s="108" t="str">
        <x:v>TE</x:v>
      </x:c>
      <x:c r="B259" s="175" t="n">
        <x:f>1+COUNTIFS($A$4:$A$356,A259,$J$4:$J$356,"&gt;"&amp;J259)</x:f>
        <x:v>27</x:v>
      </x:c>
      <x:c r="C259" s="175" t="n">
        <x:v>37</x:v>
      </x:c>
      <x:c r="D259" s="108" t="str">
        <x:v>Tyler Higbee</x:v>
      </x:c>
      <x:c r="E259" s="108" t="str">
        <x:v>LAR</x:v>
      </x:c>
      <x:c r="F259" s="108" t="str">
        <x:v>LAR</x:v>
      </x:c>
      <x:c r="G259" s="109" t="n">
        <x:v>58.6</x:v>
      </x:c>
      <x:c r="H259" s="109" t="n">
        <x:f>'Weekly Points'!W259</x:f>
        <x:v>3.4470588235294115</x:v>
      </x:c>
      <x:c r="I259" s="109" t="n">
        <x:f>'Weekly Points'!X259</x:f>
        <x:v>0</x:v>
      </x:c>
      <x:c r="J259" s="109" t="n">
        <x:f>'Weekly Points'!Y259</x:f>
        <x:v>0</x:v>
      </x:c>
      <x:c r="K259" s="109" t="n">
        <x:f>'Weekly Points'!Z259</x:f>
        <x:v>4.949048351428291</x:v>
      </x:c>
      <x:c r="L259" s="173" t="n">
        <x:f>'Weekly Points'!AA259</x:f>
        <x:v>1.4357307504143508</x:v>
      </x:c>
      <x:c r="M259" s="173" t="n">
        <x:f>'Weekly Points'!AB259</x:f>
        <x:v>0.5294117647058824</x:v>
      </x:c>
      <x:c r="N259" s="109" t="n">
        <x:f>0.5*J259+0.3*I259+0.2*H259</x:f>
        <x:v>0.6894117647058824</x:v>
      </x:c>
      <x:c r="O259" s="175" t="n">
        <x:v>8</x:v>
      </x:c>
      <x:c r="P259" s="175" t="n">
        <x:v>8</x:v>
      </x:c>
      <x:c r="Q259" s="175" t="n">
        <x:v>0</x:v>
      </x:c>
      <x:c r="R259" s="175" t="n">
        <x:v>36</x:v>
      </x:c>
      <x:c r="S259" s="175" t="n">
        <x:v>0</x:v>
      </x:c>
      <x:c r="T259" s="175" t="n">
        <x:v>3</x:v>
      </x:c>
      <x:c r="U259" s="175" t="n">
        <x:v>0</x:v>
      </x:c>
      <x:c r="V259" s="175" t="n">
        <x:f>SUM(S259:U259)</x:f>
        <x:v>3</x:v>
      </x:c>
      <x:c r="W259" s="108" t="str">
        <x:v>https://fantasy.espn.com/football/leaders?leagueId=555583&amp;lineupSlot=6&amp;scoringPeriodId=0&amp;statSplit=lastSeason</x:v>
      </x:c>
    </x:row>
    <x:row r="260">
      <x:c r="A260" s="108" t="str">
        <x:v>TE</x:v>
      </x:c>
      <x:c r="B260" s="175" t="n">
        <x:f>1+COUNTIFS($A$4:$A$356,A260,$J$4:$J$356,"&gt;"&amp;J260)</x:f>
        <x:v>27</x:v>
      </x:c>
      <x:c r="C260" s="175" t="n">
        <x:v>20</x:v>
      </x:c>
      <x:c r="D260" s="108" t="str">
        <x:v>Tucker Kraft</x:v>
      </x:c>
      <x:c r="E260" s="108" t="str">
        <x:v>GB</x:v>
      </x:c>
      <x:c r="F260" s="108" t="str">
        <x:v>GB</x:v>
      </x:c>
      <x:c r="G260" s="109" t="n">
        <x:v>101.2</x:v>
      </x:c>
      <x:c r="H260" s="109" t="n">
        <x:f>'Weekly Points'!W260</x:f>
        <x:v>5.9529411764705875</x:v>
      </x:c>
      <x:c r="I260" s="109" t="n">
        <x:f>'Weekly Points'!X260</x:f>
        <x:v>0</x:v>
      </x:c>
      <x:c r="J260" s="109" t="n">
        <x:f>'Weekly Points'!Y260</x:f>
        <x:v>0</x:v>
      </x:c>
      <x:c r="K260" s="109" t="n">
        <x:f>'Weekly Points'!Z260</x:f>
        <x:v>8.571232161203293</x:v>
      </x:c>
      <x:c r="L260" s="173" t="n">
        <x:f>'Weekly Points'!AA260</x:f>
        <x:v>1.4398314895301976</x:v>
      </x:c>
      <x:c r="M260" s="173" t="n">
        <x:f>'Weekly Points'!AB260</x:f>
        <x:v>0.5294117647058824</x:v>
      </x:c>
      <x:c r="N260" s="109" t="n">
        <x:f>0.5*J260+0.3*I260+0.2*H260</x:f>
        <x:v>1.1905882352941175</x:v>
      </x:c>
      <x:c r="O260" s="175" t="n">
        <x:v>8</x:v>
      </x:c>
      <x:c r="P260" s="175" t="n">
        <x:v>5</x:v>
      </x:c>
      <x:c r="Q260" s="175" t="n">
        <x:v>1</x:v>
      </x:c>
      <x:c r="R260" s="175" t="n">
        <x:v>44</x:v>
      </x:c>
      <x:c r="S260" s="175" t="n">
        <x:v>0</x:v>
      </x:c>
      <x:c r="T260" s="175" t="n">
        <x:v>6</x:v>
      </x:c>
      <x:c r="U260" s="175" t="n">
        <x:v>0</x:v>
      </x:c>
      <x:c r="V260" s="175" t="n">
        <x:f>SUM(S260:U260)</x:f>
        <x:v>6</x:v>
      </x:c>
      <x:c r="W260" s="108" t="str">
        <x:v>https://fantasy.espn.com/football/leaders?leagueId=555583&amp;lineupSlot=6&amp;scoringPeriodId=0&amp;statSplit=lastSeason</x:v>
      </x:c>
    </x:row>
    <x:row r="261">
      <x:c r="A261" s="108" t="str">
        <x:v>TE</x:v>
      </x:c>
      <x:c r="B261" s="175" t="n">
        <x:f>1+COUNTIFS($A$4:$A$356,A261,$J$4:$J$356,"&gt;"&amp;J261)</x:f>
        <x:v>27</x:v>
      </x:c>
      <x:c r="C261" s="175" t="n">
        <x:v>30</x:v>
      </x:c>
      <x:c r="D261" s="108" t="str">
        <x:v>Darren Waller</x:v>
      </x:c>
      <x:c r="E261" s="108" t="str">
        <x:v>MIA</x:v>
      </x:c>
      <x:c r="F261" s="108" t="str">
        <x:v>MIA</x:v>
      </x:c>
      <x:c r="G261" s="109" t="n">
        <x:v>76.7</x:v>
      </x:c>
      <x:c r="H261" s="109" t="n">
        <x:f>'Weekly Points'!W261</x:f>
        <x:v>4.511764705882354</x:v>
      </x:c>
      <x:c r="I261" s="109" t="n">
        <x:f>'Weekly Points'!X261</x:f>
        <x:v>0</x:v>
      </x:c>
      <x:c r="J261" s="109" t="n">
        <x:f>'Weekly Points'!Y261</x:f>
        <x:v>0</x:v>
      </x:c>
      <x:c r="K261" s="109" t="n">
        <x:f>'Weekly Points'!Z261</x:f>
        <x:v>6.88373038000739</x:v>
      </x:c>
      <x:c r="L261" s="173" t="n">
        <x:f>'Weekly Points'!AA261</x:f>
        <x:v>1.5257290281633065</x:v>
      </x:c>
      <x:c r="M261" s="173" t="n">
        <x:f>'Weekly Points'!AB261</x:f>
        <x:v>0.6470588235294118</x:v>
      </x:c>
      <x:c r="N261" s="109" t="n">
        <x:f>0.5*J261+0.3*I261+0.2*H261</x:f>
        <x:v>0.9023529411764708</x:v>
      </x:c>
      <x:c r="O261" s="175" t="n">
        <x:v>8</x:v>
      </x:c>
      <x:c r="P261" s="175" t="n">
        <x:v>12</x:v>
      </x:c>
      <x:c r="Q261" s="175" t="n">
        <x:v>1</x:v>
      </x:c>
      <x:c r="R261" s="175" t="n">
        <x:v>34</x:v>
      </x:c>
      <x:c r="S261" s="175" t="n">
        <x:v>0</x:v>
      </x:c>
      <x:c r="T261" s="175" t="n">
        <x:v>6</x:v>
      </x:c>
      <x:c r="U261" s="175" t="n">
        <x:v>0</x:v>
      </x:c>
      <x:c r="V261" s="175" t="n">
        <x:f>SUM(S261:U261)</x:f>
        <x:v>6</x:v>
      </x:c>
      <x:c r="W261" s="108" t="str">
        <x:v>https://fantasy.espn.com/football/leaders?leagueId=555583&amp;lineupSlot=6&amp;scoringPeriodId=0&amp;statSplit=lastSeason</x:v>
      </x:c>
    </x:row>
    <x:row r="262">
      <x:c r="A262" s="108" t="str">
        <x:v>K</x:v>
      </x:c>
      <x:c r="B262" s="175" t="n">
        <x:f>1+COUNTIFS($A$4:$A$356,A262,$J$4:$J$356,"&gt;"&amp;J262)</x:f>
        <x:v>1</x:v>
      </x:c>
      <x:c r="C262" s="175" t="n">
        <x:v>1</x:v>
      </x:c>
      <x:c r="D262" s="108" t="str">
        <x:v>Jason Myers</x:v>
      </x:c>
      <x:c r="E262" s="108" t="str">
        <x:v>SEA</x:v>
      </x:c>
      <x:c r="F262" s="108" t="str">
        <x:v>SEA</x:v>
      </x:c>
      <x:c r="G262" s="109" t="n">
        <x:v>200</x:v>
      </x:c>
      <x:c r="H262" s="109" t="n">
        <x:f>'Weekly Points'!W262</x:f>
        <x:v>11.764705882352942</x:v>
      </x:c>
      <x:c r="I262" s="109" t="n">
        <x:f>'Weekly Points'!X262</x:f>
        <x:v>10</x:v>
      </x:c>
      <x:c r="J262" s="109" t="n">
        <x:f>'Weekly Points'!Y262</x:f>
        <x:v>8</x:v>
      </x:c>
      <x:c r="K262" s="109" t="n">
        <x:f>'Weekly Points'!Z262</x:f>
        <x:v>5.263966428516963</x:v>
      </x:c>
      <x:c r="L262" s="173" t="n">
        <x:f>'Weekly Points'!AA262</x:f>
        <x:v>0.44743714642394183</x:v>
      </x:c>
      <x:c r="M262" s="173" t="n">
        <x:f>'Weekly Points'!AB262</x:f>
        <x:v>0.11764705882352941</x:v>
      </x:c>
      <x:c r="N262" s="109" t="n">
        <x:f>0.5*J262+0.3*I262+0.2*H262</x:f>
        <x:v>9.352941176470589</x:v>
      </x:c>
      <x:c r="O262" s="175" t="n">
        <x:v>17</x:v>
      </x:c>
      <x:c r="P262" s="175" t="n">
        <x:v>8</x:v>
      </x:c>
      <x:c r="Q262" s="175" t="n">
        <x:v>0</x:v>
      </x:c>
      <x:c r="R262" s="175" t="n">
        <x:v>0</x:v>
      </x:c>
      <x:c r="S262" s="175" t="n">
        <x:v>0</x:v>
      </x:c>
      <x:c r="T262" s="175" t="n">
        <x:v>0</x:v>
      </x:c>
      <x:c r="U262" s="175" t="n">
        <x:v>0</x:v>
      </x:c>
      <x:c r="V262" s="175" t="n">
        <x:f>SUM(S262:U262)</x:f>
        <x:v>0</x:v>
      </x:c>
      <x:c r="W262" s="108" t="str">
        <x:v>https://fantasy.espn.com/football/leaders?leagueId=555583&amp;lineupSlot=17&amp;scoringPeriodId=0&amp;statSplit=lastSeason</x:v>
      </x:c>
    </x:row>
    <x:row r="263">
      <x:c r="A263" s="108" t="str">
        <x:v>K</x:v>
      </x:c>
      <x:c r="B263" s="175" t="n">
        <x:f>1+COUNTIFS($A$4:$A$356,A263,$J$4:$J$356,"&gt;"&amp;J263)</x:f>
        <x:v>1</x:v>
      </x:c>
      <x:c r="C263" s="175" t="n">
        <x:v>6</x:v>
      </x:c>
      <x:c r="D263" s="108" t="str">
        <x:v>Will Reichard</x:v>
      </x:c>
      <x:c r="E263" s="108" t="str">
        <x:v>MIN</x:v>
      </x:c>
      <x:c r="F263" s="108" t="str">
        <x:v>MIN</x:v>
      </x:c>
      <x:c r="G263" s="109" t="n">
        <x:v>159</x:v>
      </x:c>
      <x:c r="H263" s="109" t="n">
        <x:f>'Weekly Points'!W263</x:f>
        <x:v>9.352941176470589</x:v>
      </x:c>
      <x:c r="I263" s="109" t="n">
        <x:f>'Weekly Points'!X263</x:f>
        <x:v>9</x:v>
      </x:c>
      <x:c r="J263" s="109" t="n">
        <x:f>'Weekly Points'!Y263</x:f>
        <x:v>8</x:v>
      </x:c>
      <x:c r="K263" s="109" t="n">
        <x:f>'Weekly Points'!Z263</x:f>
        <x:v>4.337811544608616</x:v>
      </x:c>
      <x:c r="L263" s="173" t="n">
        <x:f>'Weekly Points'!AA263</x:f>
        <x:v>0.46379117143614135</x:v>
      </x:c>
      <x:c r="M263" s="173" t="n">
        <x:f>'Weekly Points'!AB263</x:f>
        <x:v>0.11764705882352941</x:v>
      </x:c>
      <x:c r="N263" s="109" t="n">
        <x:f>0.5*J263+0.3*I263+0.2*H263</x:f>
        <x:v>8.570588235294117</x:v>
      </x:c>
      <x:c r="O263" s="175" t="n">
        <x:v>16</x:v>
      </x:c>
      <x:c r="P263" s="175" t="n">
        <x:v>6</x:v>
      </x:c>
      <x:c r="Q263" s="175" t="n">
        <x:v>0</x:v>
      </x:c>
      <x:c r="R263" s="175" t="n">
        <x:v>0</x:v>
      </x:c>
      <x:c r="S263" s="175" t="n">
        <x:v>0</x:v>
      </x:c>
      <x:c r="T263" s="175" t="n">
        <x:v>0</x:v>
      </x:c>
      <x:c r="U263" s="175" t="n">
        <x:v>0</x:v>
      </x:c>
      <x:c r="V263" s="175" t="n">
        <x:f>SUM(S263:U263)</x:f>
        <x:v>0</x:v>
      </x:c>
      <x:c r="W263" s="108" t="str">
        <x:v>https://fantasy.espn.com/football/leaders?leagueId=555583&amp;lineupSlot=17&amp;scoringPeriodId=0&amp;statSplit=lastSeason</x:v>
      </x:c>
    </x:row>
    <x:row r="264">
      <x:c r="A264" s="108" t="str">
        <x:v>K</x:v>
      </x:c>
      <x:c r="B264" s="175" t="n">
        <x:f>1+COUNTIFS($A$4:$A$356,A264,$J$4:$J$356,"&gt;"&amp;J264)</x:f>
        <x:v>1</x:v>
      </x:c>
      <x:c r="C264" s="175" t="n">
        <x:v>2</x:v>
      </x:c>
      <x:c r="D264" s="108" t="str">
        <x:v>Ka'imi Fairbairn</x:v>
      </x:c>
      <x:c r="E264" s="108" t="str">
        <x:v>HOU</x:v>
      </x:c>
      <x:c r="F264" s="108" t="str">
        <x:v>HOU</x:v>
      </x:c>
      <x:c r="G264" s="109" t="n">
        <x:v>194</x:v>
      </x:c>
      <x:c r="H264" s="109" t="n">
        <x:f>'Weekly Points'!W264</x:f>
        <x:v>11.411764705882353</x:v>
      </x:c>
      <x:c r="I264" s="109" t="n">
        <x:f>'Weekly Points'!X264</x:f>
        <x:v>10</x:v>
      </x:c>
      <x:c r="J264" s="109" t="n">
        <x:f>'Weekly Points'!Y264</x:f>
        <x:v>8</x:v>
      </x:c>
      <x:c r="K264" s="109" t="n">
        <x:f>'Weekly Points'!Z264</x:f>
        <x:v>6.562449538444976</x:v>
      </x:c>
      <x:c r="L264" s="173" t="n">
        <x:f>'Weekly Points'!AA264</x:f>
        <x:v>0.5750600111008484</x:v>
      </x:c>
      <x:c r="M264" s="173" t="n">
        <x:f>'Weekly Points'!AB264</x:f>
        <x:v>0.17647058823529413</x:v>
      </x:c>
      <x:c r="N264" s="109" t="n">
        <x:f>0.5*J264+0.3*I264+0.2*H264</x:f>
        <x:v>9.282352941176471</x:v>
      </x:c>
      <x:c r="O264" s="175" t="n">
        <x:v>15</x:v>
      </x:c>
      <x:c r="P264" s="175" t="n">
        <x:v>6</x:v>
      </x:c>
      <x:c r="Q264" s="175" t="n">
        <x:v>0</x:v>
      </x:c>
      <x:c r="R264" s="175" t="n">
        <x:v>0</x:v>
      </x:c>
      <x:c r="S264" s="175" t="n">
        <x:v>0</x:v>
      </x:c>
      <x:c r="T264" s="175" t="n">
        <x:v>0</x:v>
      </x:c>
      <x:c r="U264" s="175" t="n">
        <x:v>0</x:v>
      </x:c>
      <x:c r="V264" s="175" t="n">
        <x:f>SUM(S264:U264)</x:f>
        <x:v>0</x:v>
      </x:c>
      <x:c r="W264" s="108" t="str">
        <x:v>https://fantasy.espn.com/football/leaders?leagueId=555583&amp;lineupSlot=17&amp;scoringPeriodId=0&amp;statSplit=lastSeason</x:v>
      </x:c>
    </x:row>
    <x:row r="265">
      <x:c r="A265" s="108" t="str">
        <x:v>K</x:v>
      </x:c>
      <x:c r="B265" s="175" t="n">
        <x:f>1+COUNTIFS($A$4:$A$356,A265,$J$4:$J$356,"&gt;"&amp;J265)</x:f>
        <x:v>4</x:v>
      </x:c>
      <x:c r="C265" s="175" t="n">
        <x:v>4</x:v>
      </x:c>
      <x:c r="D265" s="108" t="str">
        <x:v>Cameron Dicker</x:v>
      </x:c>
      <x:c r="E265" s="108" t="str">
        <x:v>LAC</x:v>
      </x:c>
      <x:c r="F265" s="108" t="str">
        <x:v>LAC</x:v>
      </x:c>
      <x:c r="G265" s="109" t="n">
        <x:v>167</x:v>
      </x:c>
      <x:c r="H265" s="109" t="n">
        <x:f>'Weekly Points'!W265</x:f>
        <x:v>9.823529411764707</x:v>
      </x:c>
      <x:c r="I265" s="109" t="n">
        <x:f>'Weekly Points'!X265</x:f>
        <x:v>9</x:v>
      </x:c>
      <x:c r="J265" s="109" t="n">
        <x:f>'Weekly Points'!Y265</x:f>
        <x:v>7</x:v>
      </x:c>
      <x:c r="K265" s="109" t="n">
        <x:f>'Weekly Points'!Z265</x:f>
        <x:v>4.780294036214128</x:v>
      </x:c>
      <x:c r="L265" s="173" t="n">
        <x:f>'Weekly Points'!AA265</x:f>
        <x:v>0.48661675817748606</x:v>
      </x:c>
      <x:c r="M265" s="173" t="n">
        <x:f>'Weekly Points'!AB265</x:f>
        <x:v>0.11764705882352941</x:v>
      </x:c>
      <x:c r="N265" s="109" t="n">
        <x:f>0.5*J265+0.3*I265+0.2*H265</x:f>
        <x:v>8.16470588235294</x:v>
      </x:c>
      <x:c r="O265" s="175" t="n">
        <x:v>17</x:v>
      </x:c>
      <x:c r="P265" s="175" t="n">
        <x:v>12</x:v>
      </x:c>
      <x:c r="Q265" s="175" t="n">
        <x:v>0</x:v>
      </x:c>
      <x:c r="R265" s="175" t="n">
        <x:v>0</x:v>
      </x:c>
      <x:c r="S265" s="175" t="n">
        <x:v>0</x:v>
      </x:c>
      <x:c r="T265" s="175" t="n">
        <x:v>0</x:v>
      </x:c>
      <x:c r="U265" s="175" t="n">
        <x:v>0</x:v>
      </x:c>
      <x:c r="V265" s="175" t="n">
        <x:f>SUM(S265:U265)</x:f>
        <x:v>0</x:v>
      </x:c>
      <x:c r="W265" s="108" t="str">
        <x:v>https://fantasy.espn.com/football/leaders?leagueId=555583&amp;lineupSlot=17&amp;scoringPeriodId=0&amp;statSplit=lastSeason</x:v>
      </x:c>
    </x:row>
    <x:row r="266">
      <x:c r="A266" s="108" t="str">
        <x:v>K</x:v>
      </x:c>
      <x:c r="B266" s="175" t="n">
        <x:f>1+COUNTIFS($A$4:$A$356,A266,$J$4:$J$356,"&gt;"&amp;J266)</x:f>
        <x:v>5</x:v>
      </x:c>
      <x:c r="C266" s="175" t="n">
        <x:v>8</x:v>
      </x:c>
      <x:c r="D266" s="108" t="str">
        <x:v>Jake Bates</x:v>
      </x:c>
      <x:c r="E266" s="108" t="str">
        <x:v>DET</x:v>
      </x:c>
      <x:c r="F266" s="108" t="str">
        <x:v>DET</x:v>
      </x:c>
      <x:c r="G266" s="109" t="n">
        <x:v>148</x:v>
      </x:c>
      <x:c r="H266" s="109" t="n">
        <x:f>'Weekly Points'!W266</x:f>
        <x:v>8.705882352941176</x:v>
      </x:c>
      <x:c r="I266" s="109" t="n">
        <x:f>'Weekly Points'!X266</x:f>
        <x:v>8</x:v>
      </x:c>
      <x:c r="J266" s="109" t="n">
        <x:f>'Weekly Points'!Y266</x:f>
        <x:v>6</x:v>
      </x:c>
      <x:c r="K266" s="109" t="n">
        <x:f>'Weekly Points'!Z266</x:f>
        <x:v>3.5771284224731232</x:v>
      </x:c>
      <x:c r="L266" s="173" t="n">
        <x:f>'Weekly Points'!AA266</x:f>
        <x:v>0.4108863728516426</x:v>
      </x:c>
      <x:c r="M266" s="173" t="n">
        <x:f>'Weekly Points'!AB266</x:f>
        <x:v>0.058823529411764705</x:v>
      </x:c>
      <x:c r="N266" s="109" t="n">
        <x:f>0.5*J266+0.3*I266+0.2*H266</x:f>
        <x:v>7.141176470588236</x:v>
      </x:c>
      <x:c r="O266" s="175" t="n">
        <x:v>17</x:v>
      </x:c>
      <x:c r="P266" s="175" t="n">
        <x:v>8</x:v>
      </x:c>
      <x:c r="Q266" s="175" t="n">
        <x:v>0</x:v>
      </x:c>
      <x:c r="R266" s="175" t="n">
        <x:v>0</x:v>
      </x:c>
      <x:c r="S266" s="175" t="n">
        <x:v>0</x:v>
      </x:c>
      <x:c r="T266" s="175" t="n">
        <x:v>0</x:v>
      </x:c>
      <x:c r="U266" s="175" t="n">
        <x:v>0</x:v>
      </x:c>
      <x:c r="V266" s="175" t="n">
        <x:f>SUM(S266:U266)</x:f>
        <x:v>0</x:v>
      </x:c>
      <x:c r="W266" s="108" t="str">
        <x:v>https://fantasy.espn.com/football/leaders?leagueId=555583&amp;lineupSlot=17&amp;scoringPeriodId=0&amp;statSplit=lastSeason</x:v>
      </x:c>
    </x:row>
    <x:row r="267">
      <x:c r="A267" s="108" t="str">
        <x:v>K</x:v>
      </x:c>
      <x:c r="B267" s="175" t="n">
        <x:f>1+COUNTIFS($A$4:$A$356,A267,$J$4:$J$356,"&gt;"&amp;J267)</x:f>
        <x:v>5</x:v>
      </x:c>
      <x:c r="C267" s="175" t="n">
        <x:v>12</x:v>
      </x:c>
      <x:c r="D267" s="108" t="str">
        <x:v>Tyler Loop</x:v>
      </x:c>
      <x:c r="E267" s="108" t="str">
        <x:v>BAL</x:v>
      </x:c>
      <x:c r="F267" s="108" t="str">
        <x:v>BAL</x:v>
      </x:c>
      <x:c r="G267" s="109" t="n">
        <x:v>140</x:v>
      </x:c>
      <x:c r="H267" s="109" t="n">
        <x:f>'Weekly Points'!W267</x:f>
        <x:v>8.235294117647058</x:v>
      </x:c>
      <x:c r="I267" s="109" t="n">
        <x:f>'Weekly Points'!X267</x:f>
        <x:v>8</x:v>
      </x:c>
      <x:c r="J267" s="109" t="n">
        <x:f>'Weekly Points'!Y267</x:f>
        <x:v>6</x:v>
      </x:c>
      <x:c r="K267" s="109" t="n">
        <x:f>'Weekly Points'!Z267</x:f>
        <x:v>3.6223068984330955</x:v>
      </x:c>
      <x:c r="L267" s="173" t="n">
        <x:f>'Weekly Points'!AA267</x:f>
        <x:v>0.43985155195259024</x:v>
      </x:c>
      <x:c r="M267" s="173" t="n">
        <x:f>'Weekly Points'!AB267</x:f>
        <x:v>0.23529411764705882</x:v>
      </x:c>
      <x:c r="N267" s="109" t="n">
        <x:f>0.5*J267+0.3*I267+0.2*H267</x:f>
        <x:v>7.047058823529412</x:v>
      </x:c>
      <x:c r="O267" s="175" t="n">
        <x:v>17</x:v>
      </x:c>
      <x:c r="P267" s="175" t="n">
        <x:v>7</x:v>
      </x:c>
      <x:c r="Q267" s="175" t="n">
        <x:v>0</x:v>
      </x:c>
      <x:c r="R267" s="175" t="n">
        <x:v>0</x:v>
      </x:c>
      <x:c r="S267" s="175" t="n">
        <x:v>0</x:v>
      </x:c>
      <x:c r="T267" s="175" t="n">
        <x:v>0</x:v>
      </x:c>
      <x:c r="U267" s="175" t="n">
        <x:v>0</x:v>
      </x:c>
      <x:c r="V267" s="175" t="n">
        <x:f>SUM(S267:U267)</x:f>
        <x:v>0</x:v>
      </x:c>
      <x:c r="W267" s="108" t="str">
        <x:v>https://fantasy.espn.com/football/leaders?leagueId=555583&amp;lineupSlot=17&amp;scoringPeriodId=0&amp;statSplit=lastSeason</x:v>
      </x:c>
    </x:row>
    <x:row r="268">
      <x:c r="A268" s="108" t="str">
        <x:v>K</x:v>
      </x:c>
      <x:c r="B268" s="175" t="n">
        <x:f>1+COUNTIFS($A$4:$A$356,A268,$J$4:$J$356,"&gt;"&amp;J268)</x:f>
        <x:v>5</x:v>
      </x:c>
      <x:c r="C268" s="175" t="n">
        <x:v>10</x:v>
      </x:c>
      <x:c r="D268" s="108" t="str">
        <x:v>Andy Borregales</x:v>
      </x:c>
      <x:c r="E268" s="108" t="str">
        <x:v>NE</x:v>
      </x:c>
      <x:c r="F268" s="108" t="str">
        <x:v>NE</x:v>
      </x:c>
      <x:c r="G268" s="109" t="n">
        <x:v>144</x:v>
      </x:c>
      <x:c r="H268" s="109" t="n">
        <x:f>'Weekly Points'!W268</x:f>
        <x:v>8.470588235294118</x:v>
      </x:c>
      <x:c r="I268" s="109" t="n">
        <x:f>'Weekly Points'!X268</x:f>
        <x:v>7</x:v>
      </x:c>
      <x:c r="J268" s="109" t="n">
        <x:f>'Weekly Points'!Y268</x:f>
        <x:v>6</x:v>
      </x:c>
      <x:c r="K268" s="109" t="n">
        <x:f>'Weekly Points'!Z268</x:f>
        <x:v>4.117647058823529</x:v>
      </x:c>
      <x:c r="L268" s="173" t="n">
        <x:f>'Weekly Points'!AA268</x:f>
        <x:v>0.48611111111111105</x:v>
      </x:c>
      <x:c r="M268" s="173" t="n">
        <x:f>'Weekly Points'!AB268</x:f>
        <x:v>0.11764705882352941</x:v>
      </x:c>
      <x:c r="N268" s="109" t="n">
        <x:f>0.5*J268+0.3*I268+0.2*H268</x:f>
        <x:v>6.794117647058823</x:v>
      </x:c>
      <x:c r="O268" s="175" t="n">
        <x:v>17</x:v>
      </x:c>
      <x:c r="P268" s="175" t="n">
        <x:v>14</x:v>
      </x:c>
      <x:c r="Q268" s="175" t="n">
        <x:v>0</x:v>
      </x:c>
      <x:c r="R268" s="175" t="n">
        <x:v>0</x:v>
      </x:c>
      <x:c r="S268" s="175" t="n">
        <x:v>0</x:v>
      </x:c>
      <x:c r="T268" s="175" t="n">
        <x:v>0</x:v>
      </x:c>
      <x:c r="U268" s="175" t="n">
        <x:v>0</x:v>
      </x:c>
      <x:c r="V268" s="175" t="n">
        <x:f>SUM(S268:U268)</x:f>
        <x:v>0</x:v>
      </x:c>
      <x:c r="W268" s="108" t="str">
        <x:v>https://fantasy.espn.com/football/leaders?leagueId=555583&amp;lineupSlot=17&amp;scoringPeriodId=0&amp;statSplit=lastSeason</x:v>
      </x:c>
    </x:row>
    <x:row r="269">
      <x:c r="A269" s="108" t="str">
        <x:v>K</x:v>
      </x:c>
      <x:c r="B269" s="175" t="n">
        <x:f>1+COUNTIFS($A$4:$A$356,A269,$J$4:$J$356,"&gt;"&amp;J269)</x:f>
        <x:v>5</x:v>
      </x:c>
      <x:c r="C269" s="175" t="n">
        <x:v>5</x:v>
      </x:c>
      <x:c r="D269" s="108" t="str">
        <x:v>Cam Little</x:v>
      </x:c>
      <x:c r="E269" s="108" t="str">
        <x:v>JAX</x:v>
      </x:c>
      <x:c r="F269" s="108" t="str">
        <x:v>JAX</x:v>
      </x:c>
      <x:c r="G269" s="109" t="n">
        <x:v>162</x:v>
      </x:c>
      <x:c r="H269" s="109" t="n">
        <x:f>'Weekly Points'!W269</x:f>
        <x:v>9.529411764705882</x:v>
      </x:c>
      <x:c r="I269" s="109" t="n">
        <x:f>'Weekly Points'!X269</x:f>
        <x:v>11</x:v>
      </x:c>
      <x:c r="J269" s="109" t="n">
        <x:f>'Weekly Points'!Y269</x:f>
        <x:v>6</x:v>
      </x:c>
      <x:c r="K269" s="109" t="n">
        <x:f>'Weekly Points'!Z269</x:f>
        <x:v>4.876325123779459</x:v>
      </x:c>
      <x:c r="L269" s="173" t="n">
        <x:f>'Weekly Points'!AA269</x:f>
        <x:v>0.5117131302731531</x:v>
      </x:c>
      <x:c r="M269" s="173" t="n">
        <x:f>'Weekly Points'!AB269</x:f>
        <x:v>0.11764705882352941</x:v>
      </x:c>
      <x:c r="N269" s="109" t="n">
        <x:f>0.5*J269+0.3*I269+0.2*H269</x:f>
        <x:v>8.205882352941176</x:v>
      </x:c>
      <x:c r="O269" s="175" t="n">
        <x:v>17</x:v>
      </x:c>
      <x:c r="P269" s="175" t="n">
        <x:v>8</x:v>
      </x:c>
      <x:c r="Q269" s="175" t="n">
        <x:v>0</x:v>
      </x:c>
      <x:c r="R269" s="175" t="n">
        <x:v>0</x:v>
      </x:c>
      <x:c r="S269" s="175" t="n">
        <x:v>0</x:v>
      </x:c>
      <x:c r="T269" s="175" t="n">
        <x:v>0</x:v>
      </x:c>
      <x:c r="U269" s="175" t="n">
        <x:v>0</x:v>
      </x:c>
      <x:c r="V269" s="175" t="n">
        <x:f>SUM(S269:U269)</x:f>
        <x:v>0</x:v>
      </x:c>
      <x:c r="W269" s="108" t="str">
        <x:v>https://fantasy.espn.com/football/leaders?leagueId=555583&amp;lineupSlot=17&amp;scoringPeriodId=0&amp;statSplit=lastSeason</x:v>
      </x:c>
    </x:row>
    <x:row r="270">
      <x:c r="A270" s="108" t="str">
        <x:v>K</x:v>
      </x:c>
      <x:c r="B270" s="175" t="n">
        <x:f>1+COUNTIFS($A$4:$A$356,A270,$J$4:$J$356,"&gt;"&amp;J270)</x:f>
        <x:v>5</x:v>
      </x:c>
      <x:c r="C270" s="175" t="n">
        <x:v>3</x:v>
      </x:c>
      <x:c r="D270" s="108" t="str">
        <x:v>Brandon Aubrey</x:v>
      </x:c>
      <x:c r="E270" s="108" t="str">
        <x:v>DAL</x:v>
      </x:c>
      <x:c r="F270" s="108" t="str">
        <x:v>DAL</x:v>
      </x:c>
      <x:c r="G270" s="109" t="n">
        <x:v>185.6</x:v>
      </x:c>
      <x:c r="H270" s="109" t="n">
        <x:f>'Weekly Points'!W270</x:f>
        <x:v>10.91764705882353</x:v>
      </x:c>
      <x:c r="I270" s="109" t="n">
        <x:f>'Weekly Points'!X270</x:f>
        <x:v>9</x:v>
      </x:c>
      <x:c r="J270" s="109" t="n">
        <x:f>'Weekly Points'!Y270</x:f>
        <x:v>6</x:v>
      </x:c>
      <x:c r="K270" s="109" t="n">
        <x:f>'Weekly Points'!Z270</x:f>
        <x:v>5.842263390372891</x:v>
      </x:c>
      <x:c r="L270" s="173" t="n">
        <x:f>'Weekly Points'!AA270</x:f>
        <x:v>0.5351211079544135</x:v>
      </x:c>
      <x:c r="M270" s="173" t="n">
        <x:f>'Weekly Points'!AB270</x:f>
        <x:v>0.23529411764705882</x:v>
      </x:c>
      <x:c r="N270" s="109" t="n">
        <x:f>0.5*J270+0.3*I270+0.2*H270</x:f>
        <x:v>7.883529411764705</x:v>
      </x:c>
      <x:c r="O270" s="175" t="n">
        <x:v>17</x:v>
      </x:c>
      <x:c r="P270" s="175" t="n">
        <x:v>10</x:v>
      </x:c>
      <x:c r="Q270" s="175" t="n">
        <x:v>1</x:v>
      </x:c>
      <x:c r="R270" s="175" t="n">
        <x:v>0</x:v>
      </x:c>
      <x:c r="S270" s="175" t="n">
        <x:v>0</x:v>
      </x:c>
      <x:c r="T270" s="175" t="n">
        <x:v>0</x:v>
      </x:c>
      <x:c r="U270" s="175" t="n">
        <x:v>0</x:v>
      </x:c>
      <x:c r="V270" s="175" t="n">
        <x:f>SUM(S270:U270)</x:f>
        <x:v>0</x:v>
      </x:c>
      <x:c r="W270" s="108" t="str">
        <x:v>https://fantasy.espn.com/football/leaders?leagueId=555583&amp;lineupSlot=17&amp;scoringPeriodId=0&amp;statSplit=lastSeason</x:v>
      </x:c>
    </x:row>
    <x:row r="271">
      <x:c r="A271" s="108" t="str">
        <x:v>K</x:v>
      </x:c>
      <x:c r="B271" s="175" t="n">
        <x:f>1+COUNTIFS($A$4:$A$356,A271,$J$4:$J$356,"&gt;"&amp;J271)</x:f>
        <x:v>5</x:v>
      </x:c>
      <x:c r="C271" s="175" t="n">
        <x:v>16</x:v>
      </x:c>
      <x:c r="D271" s="108" t="str">
        <x:v>Cairo Santos</x:v>
      </x:c>
      <x:c r="E271" s="108" t="str">
        <x:v>CHI</x:v>
      </x:c>
      <x:c r="F271" s="108" t="str">
        <x:v>CHI</x:v>
      </x:c>
      <x:c r="G271" s="109" t="n">
        <x:v>131</x:v>
      </x:c>
      <x:c r="H271" s="109" t="n">
        <x:f>'Weekly Points'!W271</x:f>
        <x:v>7.705882352941177</x:v>
      </x:c>
      <x:c r="I271" s="109" t="n">
        <x:f>'Weekly Points'!X271</x:f>
        <x:v>7</x:v>
      </x:c>
      <x:c r="J271" s="109" t="n">
        <x:f>'Weekly Points'!Y271</x:f>
        <x:v>6</x:v>
      </x:c>
      <x:c r="K271" s="109" t="n">
        <x:f>'Weekly Points'!Z271</x:f>
        <x:v>5.232980321478641</x:v>
      </x:c>
      <x:c r="L271" s="173" t="n">
        <x:f>'Weekly Points'!AA271</x:f>
        <x:v>0.6790890493521899</x:v>
      </x:c>
      <x:c r="M271" s="173" t="n">
        <x:f>'Weekly Points'!AB271</x:f>
        <x:v>0.23529411764705882</x:v>
      </x:c>
      <x:c r="N271" s="109" t="n">
        <x:f>0.5*J271+0.3*I271+0.2*H271</x:f>
        <x:v>6.641176470588235</x:v>
      </x:c>
      <x:c r="O271" s="175" t="n">
        <x:v>14</x:v>
      </x:c>
      <x:c r="P271" s="175" t="n">
        <x:v>5</x:v>
      </x:c>
      <x:c r="Q271" s="175" t="n">
        <x:v>0</x:v>
      </x:c>
      <x:c r="R271" s="175" t="n">
        <x:v>0</x:v>
      </x:c>
      <x:c r="S271" s="175" t="n">
        <x:v>0</x:v>
      </x:c>
      <x:c r="T271" s="175" t="n">
        <x:v>0</x:v>
      </x:c>
      <x:c r="U271" s="175" t="n">
        <x:v>0</x:v>
      </x:c>
      <x:c r="V271" s="175" t="n">
        <x:f>SUM(S271:U271)</x:f>
        <x:v>0</x:v>
      </x:c>
      <x:c r="W271" s="108" t="str">
        <x:v>https://fantasy.espn.com/football/leaders?leagueId=555583&amp;lineupSlot=17&amp;scoringPeriodId=0&amp;statSplit=lastSeason</x:v>
      </x:c>
    </x:row>
    <x:row r="272">
      <x:c r="A272" s="108" t="str">
        <x:v>K</x:v>
      </x:c>
      <x:c r="B272" s="175" t="n">
        <x:f>1+COUNTIFS($A$4:$A$356,A272,$J$4:$J$356,"&gt;"&amp;J272)</x:f>
        <x:v>11</x:v>
      </x:c>
      <x:c r="C272" s="175" t="n">
        <x:v>21</x:v>
      </x:c>
      <x:c r="D272" s="108" t="str">
        <x:v>Nick Folk</x:v>
      </x:c>
      <x:c r="E272" s="108" t="str">
        <x:v>NYJ</x:v>
      </x:c>
      <x:c r="F272" s="108" t="str">
        <x:v>NYJ</x:v>
      </x:c>
      <x:c r="G272" s="109" t="n">
        <x:v>127</x:v>
      </x:c>
      <x:c r="H272" s="109" t="n">
        <x:f>'Weekly Points'!W272</x:f>
        <x:v>7.470588235294118</x:v>
      </x:c>
      <x:c r="I272" s="109" t="n">
        <x:f>'Weekly Points'!X272</x:f>
        <x:v>7</x:v>
      </x:c>
      <x:c r="J272" s="109" t="n">
        <x:f>'Weekly Points'!Y272</x:f>
        <x:v>5</x:v>
      </x:c>
      <x:c r="K272" s="109" t="n">
        <x:f>'Weekly Points'!Z272</x:f>
        <x:v>3.54994029873285</x:v>
      </x:c>
      <x:c r="L272" s="173" t="n">
        <x:f>'Weekly Points'!AA272</x:f>
        <x:v>0.4751888588854996</x:v>
      </x:c>
      <x:c r="M272" s="173" t="n">
        <x:f>'Weekly Points'!AB272</x:f>
        <x:v>0.11764705882352941</x:v>
      </x:c>
      <x:c r="N272" s="109" t="n">
        <x:f>0.5*J272+0.3*I272+0.2*H272</x:f>
        <x:v>6.094117647058823</x:v>
      </x:c>
      <x:c r="O272" s="175" t="n">
        <x:v>16</x:v>
      </x:c>
      <x:c r="P272" s="175" t="n">
        <x:v>9</x:v>
      </x:c>
      <x:c r="Q272" s="175" t="n">
        <x:v>0</x:v>
      </x:c>
      <x:c r="R272" s="175" t="n">
        <x:v>0</x:v>
      </x:c>
      <x:c r="S272" s="175" t="n">
        <x:v>0</x:v>
      </x:c>
      <x:c r="T272" s="175" t="n">
        <x:v>0</x:v>
      </x:c>
      <x:c r="U272" s="175" t="n">
        <x:v>0</x:v>
      </x:c>
      <x:c r="V272" s="175" t="n">
        <x:f>SUM(S272:U272)</x:f>
        <x:v>0</x:v>
      </x:c>
      <x:c r="W272" s="108" t="str">
        <x:v>https://fantasy.espn.com/football/leaders?leagueId=555583&amp;lineupSlot=17&amp;scoringPeriodId=0&amp;statSplit=lastSeason</x:v>
      </x:c>
    </x:row>
    <x:row r="273">
      <x:c r="A273" s="108" t="str">
        <x:v>K</x:v>
      </x:c>
      <x:c r="B273" s="175" t="n">
        <x:f>1+COUNTIFS($A$4:$A$356,A273,$J$4:$J$356,"&gt;"&amp;J273)</x:f>
        <x:v>11</x:v>
      </x:c>
      <x:c r="C273" s="175" t="n">
        <x:v>18</x:v>
      </x:c>
      <x:c r="D273" s="108" t="str">
        <x:v>Riley Patterson</x:v>
      </x:c>
      <x:c r="E273" s="108" t="str">
        <x:v>MIA</x:v>
      </x:c>
      <x:c r="F273" s="108" t="str">
        <x:v>MIA</x:v>
      </x:c>
      <x:c r="G273" s="109" t="n">
        <x:v>129</x:v>
      </x:c>
      <x:c r="H273" s="109" t="n">
        <x:f>'Weekly Points'!W273</x:f>
        <x:v>7.588235294117647</x:v>
      </x:c>
      <x:c r="I273" s="109" t="n">
        <x:f>'Weekly Points'!X273</x:f>
        <x:v>7</x:v>
      </x:c>
      <x:c r="J273" s="109" t="n">
        <x:f>'Weekly Points'!Y273</x:f>
        <x:v>5</x:v>
      </x:c>
      <x:c r="K273" s="109" t="n">
        <x:f>'Weekly Points'!Z273</x:f>
        <x:v>3.6791754755557387</x:v>
      </x:c>
      <x:c r="L273" s="173" t="n">
        <x:f>'Weekly Points'!AA273</x:f>
        <x:v>0.4848525820499811</x:v>
      </x:c>
      <x:c r="M273" s="173" t="n">
        <x:f>'Weekly Points'!AB273</x:f>
        <x:v>0.17647058823529413</x:v>
      </x:c>
      <x:c r="N273" s="109" t="n">
        <x:f>0.5*J273+0.3*I273+0.2*H273</x:f>
        <x:v>6.117647058823529</x:v>
      </x:c>
      <x:c r="O273" s="175" t="n">
        <x:v>16</x:v>
      </x:c>
      <x:c r="P273" s="175" t="n">
        <x:v>12</x:v>
      </x:c>
      <x:c r="Q273" s="175" t="n">
        <x:v>0</x:v>
      </x:c>
      <x:c r="R273" s="175" t="n">
        <x:v>0</x:v>
      </x:c>
      <x:c r="S273" s="175" t="n">
        <x:v>0</x:v>
      </x:c>
      <x:c r="T273" s="175" t="n">
        <x:v>0</x:v>
      </x:c>
      <x:c r="U273" s="175" t="n">
        <x:v>0</x:v>
      </x:c>
      <x:c r="V273" s="175" t="n">
        <x:f>SUM(S273:U273)</x:f>
        <x:v>0</x:v>
      </x:c>
      <x:c r="W273" s="108" t="str">
        <x:v>https://fantasy.espn.com/football/leaders?leagueId=555583&amp;lineupSlot=17&amp;scoringPeriodId=0&amp;statSplit=lastSeason</x:v>
      </x:c>
    </x:row>
    <x:row r="274">
      <x:c r="A274" s="108" t="str">
        <x:v>K</x:v>
      </x:c>
      <x:c r="B274" s="175" t="n">
        <x:f>1+COUNTIFS($A$4:$A$356,A274,$J$4:$J$356,"&gt;"&amp;J274)</x:f>
        <x:v>11</x:v>
      </x:c>
      <x:c r="C274" s="175" t="n">
        <x:v>24</x:v>
      </x:c>
      <x:c r="D274" s="108" t="str">
        <x:v>Andre Szmyt</x:v>
      </x:c>
      <x:c r="E274" s="108" t="str">
        <x:v>CLE</x:v>
      </x:c>
      <x:c r="F274" s="108" t="str">
        <x:v>CLE</x:v>
      </x:c>
      <x:c r="G274" s="109" t="n">
        <x:v>109</x:v>
      </x:c>
      <x:c r="H274" s="109" t="n">
        <x:f>'Weekly Points'!W274</x:f>
        <x:v>6.411764705882353</x:v>
      </x:c>
      <x:c r="I274" s="109" t="n">
        <x:f>'Weekly Points'!X274</x:f>
        <x:v>7</x:v>
      </x:c>
      <x:c r="J274" s="109" t="n">
        <x:f>'Weekly Points'!Y274</x:f>
        <x:v>5</x:v>
      </x:c>
      <x:c r="K274" s="109" t="n">
        <x:f>'Weekly Points'!Z274</x:f>
        <x:v>3.2730418219396604</x:v>
      </x:c>
      <x:c r="L274" s="173" t="n">
        <x:f>'Weekly Points'!AA274</x:f>
        <x:v>0.5104744125960938</x:v>
      </x:c>
      <x:c r="M274" s="173" t="n">
        <x:f>'Weekly Points'!AB274</x:f>
        <x:v>0.17647058823529413</x:v>
      </x:c>
      <x:c r="N274" s="109" t="n">
        <x:f>0.5*J274+0.3*I274+0.2*H274</x:f>
        <x:v>5.88235294117647</x:v>
      </x:c>
      <x:c r="O274" s="175" t="n">
        <x:v>16</x:v>
      </x:c>
      <x:c r="P274" s="175" t="n">
        <x:v>9</x:v>
      </x:c>
      <x:c r="Q274" s="175" t="n">
        <x:v>0</x:v>
      </x:c>
      <x:c r="R274" s="175" t="n">
        <x:v>0</x:v>
      </x:c>
      <x:c r="S274" s="175" t="n">
        <x:v>0</x:v>
      </x:c>
      <x:c r="T274" s="175" t="n">
        <x:v>0</x:v>
      </x:c>
      <x:c r="U274" s="175" t="n">
        <x:v>0</x:v>
      </x:c>
      <x:c r="V274" s="175" t="n">
        <x:f>SUM(S274:U274)</x:f>
        <x:v>0</x:v>
      </x:c>
      <x:c r="W274" s="108" t="str">
        <x:v>https://fantasy.espn.com/football/leaders?leagueId=555583&amp;lineupSlot=17&amp;scoringPeriodId=0&amp;statSplit=lastSeason</x:v>
      </x:c>
    </x:row>
    <x:row r="275">
      <x:c r="A275" s="108" t="str">
        <x:v>K</x:v>
      </x:c>
      <x:c r="B275" s="175" t="n">
        <x:f>1+COUNTIFS($A$4:$A$356,A275,$J$4:$J$356,"&gt;"&amp;J275)</x:f>
        <x:v>11</x:v>
      </x:c>
      <x:c r="C275" s="175" t="n">
        <x:v>9</x:v>
      </x:c>
      <x:c r="D275" s="108" t="str">
        <x:v>Chris Boswell</x:v>
      </x:c>
      <x:c r="E275" s="108" t="str">
        <x:v>PIT</x:v>
      </x:c>
      <x:c r="F275" s="108" t="str">
        <x:v>PIT</x:v>
      </x:c>
      <x:c r="G275" s="109" t="n">
        <x:v>147</x:v>
      </x:c>
      <x:c r="H275" s="109" t="n">
        <x:f>'Weekly Points'!W275</x:f>
        <x:v>8.647058823529411</x:v>
      </x:c>
      <x:c r="I275" s="109" t="n">
        <x:f>'Weekly Points'!X275</x:f>
        <x:v>8</x:v>
      </x:c>
      <x:c r="J275" s="109" t="n">
        <x:f>'Weekly Points'!Y275</x:f>
        <x:v>5</x:v>
      </x:c>
      <x:c r="K275" s="109" t="n">
        <x:f>'Weekly Points'!Z275</x:f>
        <x:v>4.664524141552708</x:v>
      </x:c>
      <x:c r="L275" s="173" t="n">
        <x:f>'Weekly Points'!AA275</x:f>
        <x:v>0.5394347646693609</x:v>
      </x:c>
      <x:c r="M275" s="173" t="n">
        <x:f>'Weekly Points'!AB275</x:f>
        <x:v>0.23529411764705882</x:v>
      </x:c>
      <x:c r="N275" s="109" t="n">
        <x:f>0.5*J275+0.3*I275+0.2*H275</x:f>
        <x:v>6.629411764705883</x:v>
      </x:c>
      <x:c r="O275" s="175" t="n">
        <x:v>17</x:v>
      </x:c>
      <x:c r="P275" s="175" t="n">
        <x:v>5</x:v>
      </x:c>
      <x:c r="Q275" s="175" t="n">
        <x:v>0</x:v>
      </x:c>
      <x:c r="R275" s="175" t="n">
        <x:v>0</x:v>
      </x:c>
      <x:c r="S275" s="175" t="n">
        <x:v>0</x:v>
      </x:c>
      <x:c r="T275" s="175" t="n">
        <x:v>0</x:v>
      </x:c>
      <x:c r="U275" s="175" t="n">
        <x:v>0</x:v>
      </x:c>
      <x:c r="V275" s="175" t="n">
        <x:f>SUM(S275:U275)</x:f>
        <x:v>0</x:v>
      </x:c>
      <x:c r="W275" s="108" t="str">
        <x:v>https://fantasy.espn.com/football/leaders?leagueId=555583&amp;lineupSlot=17&amp;scoringPeriodId=0&amp;statSplit=lastSeason</x:v>
      </x:c>
    </x:row>
    <x:row r="276">
      <x:c r="A276" s="108" t="str">
        <x:v>K</x:v>
      </x:c>
      <x:c r="B276" s="175" t="n">
        <x:f>1+COUNTIFS($A$4:$A$356,A276,$J$4:$J$356,"&gt;"&amp;J276)</x:f>
        <x:v>11</x:v>
      </x:c>
      <x:c r="C276" s="175" t="n">
        <x:v>7</x:v>
      </x:c>
      <x:c r="D276" s="108" t="str">
        <x:v>Chase McLaughlin</x:v>
      </x:c>
      <x:c r="E276" s="108" t="str">
        <x:v>TB</x:v>
      </x:c>
      <x:c r="F276" s="108" t="str">
        <x:v>TB</x:v>
      </x:c>
      <x:c r="G276" s="109" t="n">
        <x:v>152</x:v>
      </x:c>
      <x:c r="H276" s="109" t="n">
        <x:f>'Weekly Points'!W276</x:f>
        <x:v>8.941176470588236</x:v>
      </x:c>
      <x:c r="I276" s="109" t="n">
        <x:f>'Weekly Points'!X276</x:f>
        <x:v>9</x:v>
      </x:c>
      <x:c r="J276" s="109" t="n">
        <x:f>'Weekly Points'!Y276</x:f>
        <x:v>5</x:v>
      </x:c>
      <x:c r="K276" s="109" t="n">
        <x:f>'Weekly Points'!Z276</x:f>
        <x:v>5.307825390932038</x:v>
      </x:c>
      <x:c r="L276" s="173" t="n">
        <x:f>'Weekly Points'!AA276</x:f>
        <x:v>0.5936383660910832</x:v>
      </x:c>
      <x:c r="M276" s="173" t="n">
        <x:f>'Weekly Points'!AB276</x:f>
        <x:v>0.17647058823529413</x:v>
      </x:c>
      <x:c r="N276" s="109" t="n">
        <x:f>0.5*J276+0.3*I276+0.2*H276</x:f>
        <x:v>6.988235294117646</x:v>
      </x:c>
      <x:c r="O276" s="175" t="n">
        <x:v>17</x:v>
      </x:c>
      <x:c r="P276" s="175" t="n">
        <x:v>9</x:v>
      </x:c>
      <x:c r="Q276" s="175" t="n">
        <x:v>0</x:v>
      </x:c>
      <x:c r="R276" s="175" t="n">
        <x:v>0</x:v>
      </x:c>
      <x:c r="S276" s="175" t="n">
        <x:v>0</x:v>
      </x:c>
      <x:c r="T276" s="175" t="n">
        <x:v>0</x:v>
      </x:c>
      <x:c r="U276" s="175" t="n">
        <x:v>0</x:v>
      </x:c>
      <x:c r="V276" s="175" t="n">
        <x:f>SUM(S276:U276)</x:f>
        <x:v>0</x:v>
      </x:c>
      <x:c r="W276" s="108" t="str">
        <x:v>https://fantasy.espn.com/football/leaders?leagueId=555583&amp;lineupSlot=17&amp;scoringPeriodId=0&amp;statSplit=lastSeason</x:v>
      </x:c>
    </x:row>
    <x:row r="277">
      <x:c r="A277" s="108" t="str">
        <x:v>K</x:v>
      </x:c>
      <x:c r="B277" s="175" t="n">
        <x:f>1+COUNTIFS($A$4:$A$356,A277,$J$4:$J$356,"&gt;"&amp;J277)</x:f>
        <x:v>11</x:v>
      </x:c>
      <x:c r="C277" s="175" t="n">
        <x:v>17</x:v>
      </x:c>
      <x:c r="D277" s="108" t="str">
        <x:v>Evan McPherson</x:v>
      </x:c>
      <x:c r="E277" s="108" t="str">
        <x:v>CIN</x:v>
      </x:c>
      <x:c r="F277" s="108" t="str">
        <x:v>CIN</x:v>
      </x:c>
      <x:c r="G277" s="109" t="n">
        <x:v>130</x:v>
      </x:c>
      <x:c r="H277" s="109" t="n">
        <x:f>'Weekly Points'!W277</x:f>
        <x:v>7.647058823529412</x:v>
      </x:c>
      <x:c r="I277" s="109" t="n">
        <x:f>'Weekly Points'!X277</x:f>
        <x:v>7</x:v>
      </x:c>
      <x:c r="J277" s="109" t="n">
        <x:f>'Weekly Points'!Y277</x:f>
        <x:v>5</x:v>
      </x:c>
      <x:c r="K277" s="109" t="n">
        <x:f>'Weekly Points'!Z277</x:f>
        <x:v>6.1447364033885155</x:v>
      </x:c>
      <x:c r="L277" s="173" t="n">
        <x:f>'Weekly Points'!AA277</x:f>
        <x:v>0.8035424527508058</x:v>
      </x:c>
      <x:c r="M277" s="173" t="n">
        <x:f>'Weekly Points'!AB277</x:f>
        <x:v>0.17647058823529413</x:v>
      </x:c>
      <x:c r="N277" s="109" t="n">
        <x:f>0.5*J277+0.3*I277+0.2*H277</x:f>
        <x:v>6.129411764705882</x:v>
      </x:c>
      <x:c r="O277" s="175" t="n">
        <x:v>16</x:v>
      </x:c>
      <x:c r="P277" s="175" t="n">
        <x:v>10</x:v>
      </x:c>
      <x:c r="Q277" s="175" t="n">
        <x:v>0</x:v>
      </x:c>
      <x:c r="R277" s="175" t="n">
        <x:v>0</x:v>
      </x:c>
      <x:c r="S277" s="175" t="n">
        <x:v>0</x:v>
      </x:c>
      <x:c r="T277" s="175" t="n">
        <x:v>0</x:v>
      </x:c>
      <x:c r="U277" s="175" t="n">
        <x:v>0</x:v>
      </x:c>
      <x:c r="V277" s="175" t="n">
        <x:f>SUM(S277:U277)</x:f>
        <x:v>0</x:v>
      </x:c>
      <x:c r="W277" s="108" t="str">
        <x:v>https://fantasy.espn.com/football/leaders?leagueId=555583&amp;lineupSlot=17&amp;scoringPeriodId=0&amp;statSplit=lastSeason</x:v>
      </x:c>
    </x:row>
    <x:row r="278">
      <x:c r="A278" s="108" t="str">
        <x:v>K</x:v>
      </x:c>
      <x:c r="B278" s="175" t="n">
        <x:f>1+COUNTIFS($A$4:$A$356,A278,$J$4:$J$356,"&gt;"&amp;J278)</x:f>
        <x:v>17</x:v>
      </x:c>
      <x:c r="C278" s="175" t="n">
        <x:v>11</x:v>
      </x:c>
      <x:c r="D278" s="108" t="str">
        <x:v>Harrison Butker</x:v>
      </x:c>
      <x:c r="E278" s="108" t="str">
        <x:v>KC</x:v>
      </x:c>
      <x:c r="F278" s="108" t="str">
        <x:v>KC</x:v>
      </x:c>
      <x:c r="G278" s="109" t="n">
        <x:v>141</x:v>
      </x:c>
      <x:c r="H278" s="109" t="n">
        <x:f>'Weekly Points'!W278</x:f>
        <x:v>8.294117647058824</x:v>
      </x:c>
      <x:c r="I278" s="109" t="n">
        <x:f>'Weekly Points'!X278</x:f>
        <x:v>8</x:v>
      </x:c>
      <x:c r="J278" s="109" t="n">
        <x:f>'Weekly Points'!Y278</x:f>
        <x:v>4</x:v>
      </x:c>
      <x:c r="K278" s="109" t="n">
        <x:f>'Weekly Points'!Z278</x:f>
        <x:v>3.892144515217239</x:v>
      </x:c>
      <x:c r="L278" s="173" t="n">
        <x:f>'Weekly Points'!AA278</x:f>
        <x:v>0.4692656507708728</x:v>
      </x:c>
      <x:c r="M278" s="173" t="n">
        <x:f>'Weekly Points'!AB278</x:f>
        <x:v>0.29411764705882354</x:v>
      </x:c>
      <x:c r="N278" s="109" t="n">
        <x:f>0.5*J278+0.3*I278+0.2*H278</x:f>
        <x:v>6.058823529411765</x:v>
      </x:c>
      <x:c r="O278" s="175" t="n">
        <x:v>17</x:v>
      </x:c>
      <x:c r="P278" s="175" t="n">
        <x:v>10</x:v>
      </x:c>
      <x:c r="Q278" s="175" t="n">
        <x:v>0</x:v>
      </x:c>
      <x:c r="R278" s="175" t="n">
        <x:v>0</x:v>
      </x:c>
      <x:c r="S278" s="175" t="n">
        <x:v>0</x:v>
      </x:c>
      <x:c r="T278" s="175" t="n">
        <x:v>0</x:v>
      </x:c>
      <x:c r="U278" s="175" t="n">
        <x:v>0</x:v>
      </x:c>
      <x:c r="V278" s="175" t="n">
        <x:f>SUM(S278:U278)</x:f>
        <x:v>0</x:v>
      </x:c>
      <x:c r="W278" s="108" t="str">
        <x:v>https://fantasy.espn.com/football/leaders?leagueId=555583&amp;lineupSlot=17&amp;scoringPeriodId=0&amp;statSplit=lastSeason</x:v>
      </x:c>
    </x:row>
    <x:row r="279">
      <x:c r="A279" s="108" t="str">
        <x:v>K</x:v>
      </x:c>
      <x:c r="B279" s="175" t="n">
        <x:f>1+COUNTIFS($A$4:$A$356,A279,$J$4:$J$356,"&gt;"&amp;J279)</x:f>
        <x:v>17</x:v>
      </x:c>
      <x:c r="C279" s="175" t="n">
        <x:v>13</x:v>
      </x:c>
      <x:c r="D279" s="108" t="str">
        <x:v>Wil Lutz</x:v>
      </x:c>
      <x:c r="E279" s="108" t="str">
        <x:v>DEN</x:v>
      </x:c>
      <x:c r="F279" s="108" t="str">
        <x:v>DEN</x:v>
      </x:c>
      <x:c r="G279" s="109" t="n">
        <x:v>134</x:v>
      </x:c>
      <x:c r="H279" s="109" t="n">
        <x:f>'Weekly Points'!W279</x:f>
        <x:v>7.882352941176471</x:v>
      </x:c>
      <x:c r="I279" s="109" t="n">
        <x:f>'Weekly Points'!X279</x:f>
        <x:v>8</x:v>
      </x:c>
      <x:c r="J279" s="109" t="n">
        <x:f>'Weekly Points'!Y279</x:f>
        <x:v>4</x:v>
      </x:c>
      <x:c r="K279" s="109" t="n">
        <x:f>'Weekly Points'!Z279</x:f>
        <x:v>3.7398073706476076</x:v>
      </x:c>
      <x:c r="L279" s="173" t="n">
        <x:f>'Weekly Points'!AA279</x:f>
        <x:v>0.4744531738881293</x:v>
      </x:c>
      <x:c r="M279" s="173" t="n">
        <x:f>'Weekly Points'!AB279</x:f>
        <x:v>0</x:v>
      </x:c>
      <x:c r="N279" s="109" t="n">
        <x:f>0.5*J279+0.3*I279+0.2*H279</x:f>
        <x:v>5.976470588235294</x:v>
      </x:c>
      <x:c r="O279" s="175" t="n">
        <x:v>17</x:v>
      </x:c>
      <x:c r="P279" s="175" t="n">
        <x:v>12</x:v>
      </x:c>
      <x:c r="Q279" s="175" t="n">
        <x:v>0</x:v>
      </x:c>
      <x:c r="R279" s="175" t="n">
        <x:v>0</x:v>
      </x:c>
      <x:c r="S279" s="175" t="n">
        <x:v>0</x:v>
      </x:c>
      <x:c r="T279" s="175" t="n">
        <x:v>0</x:v>
      </x:c>
      <x:c r="U279" s="175" t="n">
        <x:v>0</x:v>
      </x:c>
      <x:c r="V279" s="175" t="n">
        <x:f>SUM(S279:U279)</x:f>
        <x:v>0</x:v>
      </x:c>
      <x:c r="W279" s="108" t="str">
        <x:v>https://fantasy.espn.com/football/leaders?leagueId=555583&amp;lineupSlot=17&amp;scoringPeriodId=0&amp;statSplit=lastSeason</x:v>
      </x:c>
    </x:row>
    <x:row r="280">
      <x:c r="A280" s="108" t="str">
        <x:v>K</x:v>
      </x:c>
      <x:c r="B280" s="175" t="n">
        <x:f>1+COUNTIFS($A$4:$A$356,A280,$J$4:$J$356,"&gt;"&amp;J280)</x:f>
        <x:v>17</x:v>
      </x:c>
      <x:c r="C280" s="175" t="n">
        <x:v>19</x:v>
      </x:c>
      <x:c r="D280" s="108" t="str">
        <x:v>Chad Ryland</x:v>
      </x:c>
      <x:c r="E280" s="108" t="str">
        <x:v>ARI</x:v>
      </x:c>
      <x:c r="F280" s="108" t="str">
        <x:v>ARI</x:v>
      </x:c>
      <x:c r="G280" s="109" t="n">
        <x:v>129</x:v>
      </x:c>
      <x:c r="H280" s="109" t="n">
        <x:f>'Weekly Points'!W280</x:f>
        <x:v>7.588235294117647</x:v>
      </x:c>
      <x:c r="I280" s="109" t="n">
        <x:f>'Weekly Points'!X280</x:f>
        <x:v>7</x:v>
      </x:c>
      <x:c r="J280" s="109" t="n">
        <x:f>'Weekly Points'!Y280</x:f>
        <x:v>4</x:v>
      </x:c>
      <x:c r="K280" s="109" t="n">
        <x:f>'Weekly Points'!Z280</x:f>
        <x:v>4.215640674627981</x:v>
      </x:c>
      <x:c r="L280" s="173" t="n">
        <x:f>'Weekly Points'!AA280</x:f>
        <x:v>0.5555495462688037</x:v>
      </x:c>
      <x:c r="M280" s="173" t="n">
        <x:f>'Weekly Points'!AB280</x:f>
        <x:v>0.23529411764705882</x:v>
      </x:c>
      <x:c r="N280" s="109" t="n">
        <x:f>0.5*J280+0.3*I280+0.2*H280</x:f>
        <x:v>5.617647058823529</x:v>
      </x:c>
      <x:c r="O280" s="175" t="n">
        <x:v>17</x:v>
      </x:c>
      <x:c r="P280" s="175" t="n">
        <x:v>8</x:v>
      </x:c>
      <x:c r="Q280" s="175" t="n">
        <x:v>0</x:v>
      </x:c>
      <x:c r="R280" s="175" t="n">
        <x:v>0</x:v>
      </x:c>
      <x:c r="S280" s="175" t="n">
        <x:v>0</x:v>
      </x:c>
      <x:c r="T280" s="175" t="n">
        <x:v>0</x:v>
      </x:c>
      <x:c r="U280" s="175" t="n">
        <x:v>0</x:v>
      </x:c>
      <x:c r="V280" s="175" t="n">
        <x:f>SUM(S280:U280)</x:f>
        <x:v>0</x:v>
      </x:c>
      <x:c r="W280" s="108" t="str">
        <x:v>https://fantasy.espn.com/football/leaders?leagueId=555583&amp;lineupSlot=17&amp;scoringPeriodId=0&amp;statSplit=lastSeason</x:v>
      </x:c>
    </x:row>
    <x:row r="281">
      <x:c r="A281" s="108" t="str">
        <x:v>K</x:v>
      </x:c>
      <x:c r="B281" s="175" t="n">
        <x:f>1+COUNTIFS($A$4:$A$356,A281,$J$4:$J$356,"&gt;"&amp;J281)</x:f>
        <x:v>17</x:v>
      </x:c>
      <x:c r="C281" s="175" t="n">
        <x:v>22</x:v>
      </x:c>
      <x:c r="D281" s="108" t="str">
        <x:v>Jake Elliott</x:v>
      </x:c>
      <x:c r="E281" s="108" t="str">
        <x:v>PHI</x:v>
      </x:c>
      <x:c r="F281" s="108" t="str">
        <x:v>PHI</x:v>
      </x:c>
      <x:c r="G281" s="109" t="n">
        <x:v>114</x:v>
      </x:c>
      <x:c r="H281" s="109" t="n">
        <x:f>'Weekly Points'!W281</x:f>
        <x:v>6.705882352941177</x:v>
      </x:c>
      <x:c r="I281" s="109" t="n">
        <x:f>'Weekly Points'!X281</x:f>
        <x:v>6</x:v>
      </x:c>
      <x:c r="J281" s="109" t="n">
        <x:f>'Weekly Points'!Y281</x:f>
        <x:v>4</x:v>
      </x:c>
      <x:c r="K281" s="109" t="n">
        <x:f>'Weekly Points'!Z281</x:f>
        <x:v>3.8003824247560223</x:v>
      </x:c>
      <x:c r="L281" s="173" t="n">
        <x:f>'Weekly Points'!AA281</x:f>
        <x:v>0.5667236949197577</x:v>
      </x:c>
      <x:c r="M281" s="173" t="n">
        <x:f>'Weekly Points'!AB281</x:f>
        <x:v>0.23529411764705882</x:v>
      </x:c>
      <x:c r="N281" s="109" t="n">
        <x:f>0.5*J281+0.3*I281+0.2*H281</x:f>
        <x:v>5.141176470588235</x:v>
      </x:c>
      <x:c r="O281" s="175" t="n">
        <x:v>17</x:v>
      </x:c>
      <x:c r="P281" s="175" t="n">
        <x:v>9</x:v>
      </x:c>
      <x:c r="Q281" s="175" t="n">
        <x:v>0</x:v>
      </x:c>
      <x:c r="R281" s="175" t="n">
        <x:v>0</x:v>
      </x:c>
      <x:c r="S281" s="175" t="n">
        <x:v>0</x:v>
      </x:c>
      <x:c r="T281" s="175" t="n">
        <x:v>0</x:v>
      </x:c>
      <x:c r="U281" s="175" t="n">
        <x:v>0</x:v>
      </x:c>
      <x:c r="V281" s="175" t="n">
        <x:f>SUM(S281:U281)</x:f>
        <x:v>0</x:v>
      </x:c>
      <x:c r="W281" s="108" t="str">
        <x:v>https://fantasy.espn.com/football/leaders?leagueId=555583&amp;lineupSlot=17&amp;scoringPeriodId=0&amp;statSplit=lastSeason</x:v>
      </x:c>
    </x:row>
    <x:row r="282">
      <x:c r="A282" s="108" t="str">
        <x:v>K</x:v>
      </x:c>
      <x:c r="B282" s="175" t="n">
        <x:f>1+COUNTIFS($A$4:$A$356,A282,$J$4:$J$356,"&gt;"&amp;J282)</x:f>
        <x:v>17</x:v>
      </x:c>
      <x:c r="C282" s="175" t="n">
        <x:v>20</x:v>
      </x:c>
      <x:c r="D282" s="108" t="str">
        <x:v>Blake Grupe</x:v>
      </x:c>
      <x:c r="E282" s="108" t="str">
        <x:v>IND/NO</x:v>
      </x:c>
      <x:c r="F282" s="108" t="str">
        <x:v>IND</x:v>
      </x:c>
      <x:c r="G282" s="109" t="n">
        <x:v>127</x:v>
      </x:c>
      <x:c r="H282" s="109" t="n">
        <x:f>'Weekly Points'!W282</x:f>
        <x:v>7.470588235294118</x:v>
      </x:c>
      <x:c r="I282" s="109" t="n">
        <x:f>'Weekly Points'!X282</x:f>
        <x:v>6</x:v>
      </x:c>
      <x:c r="J282" s="109" t="n">
        <x:f>'Weekly Points'!Y282</x:f>
        <x:v>4</x:v>
      </x:c>
      <x:c r="K282" s="109" t="n">
        <x:f>'Weekly Points'!Z282</x:f>
        <x:v>4.995499704838152</x:v>
      </x:c>
      <x:c r="L282" s="173" t="n">
        <x:f>'Weekly Points'!AA282</x:f>
        <x:v>0.668688936868099</x:v>
      </x:c>
      <x:c r="M282" s="173" t="n">
        <x:f>'Weekly Points'!AB282</x:f>
        <x:v>0.23529411764705882</x:v>
      </x:c>
      <x:c r="N282" s="109" t="n">
        <x:f>0.5*J282+0.3*I282+0.2*H282</x:f>
        <x:v>5.294117647058823</x:v>
      </x:c>
      <x:c r="O282" s="175" t="n">
        <x:v>16</x:v>
      </x:c>
      <x:c r="P282" s="175" t="n">
        <x:v>11</x:v>
      </x:c>
      <x:c r="Q282" s="175" t="n">
        <x:v>0</x:v>
      </x:c>
      <x:c r="R282" s="175" t="n">
        <x:v>0</x:v>
      </x:c>
      <x:c r="S282" s="175" t="n">
        <x:v>0</x:v>
      </x:c>
      <x:c r="T282" s="175" t="n">
        <x:v>0</x:v>
      </x:c>
      <x:c r="U282" s="175" t="n">
        <x:v>0</x:v>
      </x:c>
      <x:c r="V282" s="175" t="n">
        <x:f>SUM(S282:U282)</x:f>
        <x:v>0</x:v>
      </x:c>
      <x:c r="W282" s="108" t="str">
        <x:v>https://fantasy.espn.com/football/leaders?leagueId=555583&amp;lineupSlot=17&amp;scoringPeriodId=0&amp;statSplit=lastSeason</x:v>
      </x:c>
    </x:row>
    <x:row r="283">
      <x:c r="A283" s="108" t="str">
        <x:v>K</x:v>
      </x:c>
      <x:c r="B283" s="175" t="n">
        <x:f>1+COUNTIFS($A$4:$A$356,A283,$J$4:$J$356,"&gt;"&amp;J283)</x:f>
        <x:v>22</x:v>
      </x:c>
      <x:c r="C283" s="175" t="n">
        <x:v>27</x:v>
      </x:c>
      <x:c r="D283" s="108" t="str">
        <x:v>Matt Prater</x:v>
      </x:c>
      <x:c r="E283" s="108" t="str">
        <x:v>BUF</x:v>
      </x:c>
      <x:c r="F283" s="108" t="str">
        <x:v>BUF</x:v>
      </x:c>
      <x:c r="G283" s="109" t="n">
        <x:v>101</x:v>
      </x:c>
      <x:c r="H283" s="109" t="n">
        <x:f>'Weekly Points'!W283</x:f>
        <x:v>5.9411764705882355</x:v>
      </x:c>
      <x:c r="I283" s="109" t="n">
        <x:f>'Weekly Points'!X283</x:f>
        <x:v>6</x:v>
      </x:c>
      <x:c r="J283" s="109" t="n">
        <x:f>'Weekly Points'!Y283</x:f>
        <x:v>3</x:v>
      </x:c>
      <x:c r="K283" s="109" t="n">
        <x:f>'Weekly Points'!Z283</x:f>
        <x:v>3.9027982153878518</x:v>
      </x:c>
      <x:c r="L283" s="173" t="n">
        <x:f>'Weekly Points'!AA283</x:f>
        <x:v>0.6569066303128067</x:v>
      </x:c>
      <x:c r="M283" s="173" t="n">
        <x:f>'Weekly Points'!AB283</x:f>
        <x:v>0.23529411764705882</x:v>
      </x:c>
      <x:c r="N283" s="109" t="n">
        <x:f>0.5*J283+0.3*I283+0.2*H283</x:f>
        <x:v>4.488235294117647</x:v>
      </x:c>
      <x:c r="O283" s="175" t="n">
        <x:v>15</x:v>
      </x:c>
      <x:c r="P283" s="175" t="n">
        <x:v>7</x:v>
      </x:c>
      <x:c r="Q283" s="175" t="n">
        <x:v>0</x:v>
      </x:c>
      <x:c r="R283" s="175" t="n">
        <x:v>0</x:v>
      </x:c>
      <x:c r="S283" s="175" t="n">
        <x:v>0</x:v>
      </x:c>
      <x:c r="T283" s="175" t="n">
        <x:v>0</x:v>
      </x:c>
      <x:c r="U283" s="175" t="n">
        <x:v>0</x:v>
      </x:c>
      <x:c r="V283" s="175" t="n">
        <x:f>SUM(S283:U283)</x:f>
        <x:v>0</x:v>
      </x:c>
      <x:c r="W283" s="108" t="str">
        <x:v>https://fantasy.espn.com/football/leaders?leagueId=555583&amp;lineupSlot=17&amp;scoringPeriodId=0&amp;statSplit=lastSeason</x:v>
      </x:c>
    </x:row>
    <x:row r="284">
      <x:c r="A284" s="108" t="str">
        <x:v>K</x:v>
      </x:c>
      <x:c r="B284" s="175" t="n">
        <x:f>1+COUNTIFS($A$4:$A$356,A284,$J$4:$J$356,"&gt;"&amp;J284)</x:f>
        <x:v>22</x:v>
      </x:c>
      <x:c r="C284" s="175" t="n">
        <x:v>14</x:v>
      </x:c>
      <x:c r="D284" s="108" t="str">
        <x:v>Joey Slye</x:v>
      </x:c>
      <x:c r="E284" s="108" t="str">
        <x:v>TEN</x:v>
      </x:c>
      <x:c r="F284" s="108" t="str">
        <x:v>TEN</x:v>
      </x:c>
      <x:c r="G284" s="109" t="n">
        <x:v>133</x:v>
      </x:c>
      <x:c r="H284" s="109" t="n">
        <x:f>'Weekly Points'!W284</x:f>
        <x:v>7.823529411764706</x:v>
      </x:c>
      <x:c r="I284" s="109" t="n">
        <x:f>'Weekly Points'!X284</x:f>
        <x:v>8</x:v>
      </x:c>
      <x:c r="J284" s="109" t="n">
        <x:f>'Weekly Points'!Y284</x:f>
        <x:v>3</x:v>
      </x:c>
      <x:c r="K284" s="109" t="n">
        <x:f>'Weekly Points'!Z284</x:f>
        <x:v>5.458240333958608</x:v>
      </x:c>
      <x:c r="L284" s="173" t="n">
        <x:f>'Weekly Points'!AA284</x:f>
        <x:v>0.697669817122529</x:v>
      </x:c>
      <x:c r="M284" s="173" t="n">
        <x:f>'Weekly Points'!AB284</x:f>
        <x:v>0.29411764705882354</x:v>
      </x:c>
      <x:c r="N284" s="109" t="n">
        <x:f>0.5*J284+0.3*I284+0.2*H284</x:f>
        <x:v>5.464705882352941</x:v>
      </x:c>
      <x:c r="O284" s="175" t="n">
        <x:v>15</x:v>
      </x:c>
      <x:c r="P284" s="175" t="n">
        <x:v>10</x:v>
      </x:c>
      <x:c r="Q284" s="175" t="n">
        <x:v>0</x:v>
      </x:c>
      <x:c r="R284" s="175" t="n">
        <x:v>0</x:v>
      </x:c>
      <x:c r="S284" s="175" t="n">
        <x:v>0</x:v>
      </x:c>
      <x:c r="T284" s="175" t="n">
        <x:v>0</x:v>
      </x:c>
      <x:c r="U284" s="175" t="n">
        <x:v>0</x:v>
      </x:c>
      <x:c r="V284" s="175" t="n">
        <x:f>SUM(S284:U284)</x:f>
        <x:v>0</x:v>
      </x:c>
      <x:c r="W284" s="108" t="str">
        <x:v>https://fantasy.espn.com/football/leaders?leagueId=555583&amp;lineupSlot=17&amp;scoringPeriodId=0&amp;statSplit=lastSeason</x:v>
      </x:c>
    </x:row>
    <x:row r="285">
      <x:c r="A285" s="108" t="str">
        <x:v>K</x:v>
      </x:c>
      <x:c r="B285" s="175" t="n">
        <x:f>1+COUNTIFS($A$4:$A$356,A285,$J$4:$J$356,"&gt;"&amp;J285)</x:f>
        <x:v>22</x:v>
      </x:c>
      <x:c r="C285" s="175" t="n">
        <x:v>23</x:v>
      </x:c>
      <x:c r="D285" s="108" t="str">
        <x:v>Brandon McManus</x:v>
      </x:c>
      <x:c r="E285" s="108" t="str">
        <x:v>GB</x:v>
      </x:c>
      <x:c r="F285" s="108" t="str">
        <x:v>GB</x:v>
      </x:c>
      <x:c r="G285" s="109" t="n">
        <x:v>111</x:v>
      </x:c>
      <x:c r="H285" s="109" t="n">
        <x:f>'Weekly Points'!W285</x:f>
        <x:v>6.529411764705882</x:v>
      </x:c>
      <x:c r="I285" s="109" t="n">
        <x:f>'Weekly Points'!X285</x:f>
        <x:v>8</x:v>
      </x:c>
      <x:c r="J285" s="109" t="n">
        <x:f>'Weekly Points'!Y285</x:f>
        <x:v>3</x:v>
      </x:c>
      <x:c r="K285" s="109" t="n">
        <x:f>'Weekly Points'!Z285</x:f>
        <x:v>4.628780134801413</x:v>
      </x:c>
      <x:c r="L285" s="173" t="n">
        <x:f>'Weekly Points'!AA285</x:f>
        <x:v>0.7089122728975137</x:v>
      </x:c>
      <x:c r="M285" s="173" t="n">
        <x:f>'Weekly Points'!AB285</x:f>
        <x:v>0.29411764705882354</x:v>
      </x:c>
      <x:c r="N285" s="109" t="n">
        <x:f>0.5*J285+0.3*I285+0.2*H285</x:f>
        <x:v>5.205882352941177</x:v>
      </x:c>
      <x:c r="O285" s="175" t="n">
        <x:v>14</x:v>
      </x:c>
      <x:c r="P285" s="175" t="n">
        <x:v>5</x:v>
      </x:c>
      <x:c r="Q285" s="175" t="n">
        <x:v>0</x:v>
      </x:c>
      <x:c r="R285" s="175" t="n">
        <x:v>0</x:v>
      </x:c>
      <x:c r="S285" s="175" t="n">
        <x:v>0</x:v>
      </x:c>
      <x:c r="T285" s="175" t="n">
        <x:v>0</x:v>
      </x:c>
      <x:c r="U285" s="175" t="n">
        <x:v>0</x:v>
      </x:c>
      <x:c r="V285" s="175" t="n">
        <x:f>SUM(S285:U285)</x:f>
        <x:v>0</x:v>
      </x:c>
      <x:c r="W285" s="108" t="str">
        <x:v>https://fantasy.espn.com/football/leaders?leagueId=555583&amp;lineupSlot=17&amp;scoringPeriodId=0&amp;statSplit=lastSeason</x:v>
      </x:c>
    </x:row>
    <x:row r="286">
      <x:c r="A286" s="108" t="str">
        <x:v>K</x:v>
      </x:c>
      <x:c r="B286" s="175" t="n">
        <x:f>1+COUNTIFS($A$4:$A$356,A286,$J$4:$J$356,"&gt;"&amp;J286)</x:f>
        <x:v>22</x:v>
      </x:c>
      <x:c r="C286" s="175" t="n">
        <x:v>26</x:v>
      </x:c>
      <x:c r="D286" s="108" t="str">
        <x:v>Daniel Carlson</x:v>
      </x:c>
      <x:c r="E286" s="108" t="str">
        <x:v>LV</x:v>
      </x:c>
      <x:c r="F286" s="108" t="str">
        <x:v>LV</x:v>
      </x:c>
      <x:c r="G286" s="109" t="n">
        <x:v>101</x:v>
      </x:c>
      <x:c r="H286" s="109" t="n">
        <x:f>'Weekly Points'!W286</x:f>
        <x:v>5.9411764705882355</x:v>
      </x:c>
      <x:c r="I286" s="109" t="n">
        <x:f>'Weekly Points'!X286</x:f>
        <x:v>5</x:v>
      </x:c>
      <x:c r="J286" s="109" t="n">
        <x:f>'Weekly Points'!Y286</x:f>
        <x:v>3</x:v>
      </x:c>
      <x:c r="K286" s="109" t="n">
        <x:f>'Weekly Points'!Z286</x:f>
        <x:v>4.465166991611376</x:v>
      </x:c>
      <x:c r="L286" s="173" t="n">
        <x:f>'Weekly Points'!AA286</x:f>
        <x:v>0.751562760964291</x:v>
      </x:c>
      <x:c r="M286" s="173" t="n">
        <x:f>'Weekly Points'!AB286</x:f>
        <x:v>0.23529411764705882</x:v>
      </x:c>
      <x:c r="N286" s="109" t="n">
        <x:f>0.5*J286+0.3*I286+0.2*H286</x:f>
        <x:v>4.188235294117647</x:v>
      </x:c>
      <x:c r="O286" s="175" t="n">
        <x:v>15</x:v>
      </x:c>
      <x:c r="P286" s="175" t="n">
        <x:v>8</x:v>
      </x:c>
      <x:c r="Q286" s="175" t="n">
        <x:v>0</x:v>
      </x:c>
      <x:c r="R286" s="175" t="n">
        <x:v>0</x:v>
      </x:c>
      <x:c r="S286" s="175" t="n">
        <x:v>0</x:v>
      </x:c>
      <x:c r="T286" s="175" t="n">
        <x:v>0</x:v>
      </x:c>
      <x:c r="U286" s="175" t="n">
        <x:v>0</x:v>
      </x:c>
      <x:c r="V286" s="175" t="n">
        <x:f>SUM(S286:U286)</x:f>
        <x:v>0</x:v>
      </x:c>
      <x:c r="W286" s="108" t="str">
        <x:v>https://fantasy.espn.com/football/leaders?leagueId=555583&amp;lineupSlot=17&amp;scoringPeriodId=0&amp;statSplit=lastSeason</x:v>
      </x:c>
    </x:row>
    <x:row r="287">
      <x:c r="A287" s="108" t="str">
        <x:v>K</x:v>
      </x:c>
      <x:c r="B287" s="175" t="n">
        <x:f>1+COUNTIFS($A$4:$A$356,A287,$J$4:$J$356,"&gt;"&amp;J287)</x:f>
        <x:v>22</x:v>
      </x:c>
      <x:c r="C287" s="175" t="n">
        <x:v>25</x:v>
      </x:c>
      <x:c r="D287" s="108" t="str">
        <x:v>Ryan Fitzgerald</x:v>
      </x:c>
      <x:c r="E287" s="108" t="str">
        <x:v>CAR</x:v>
      </x:c>
      <x:c r="F287" s="108" t="str">
        <x:v>CAR</x:v>
      </x:c>
      <x:c r="G287" s="109" t="n">
        <x:v>104</x:v>
      </x:c>
      <x:c r="H287" s="109" t="n">
        <x:f>'Weekly Points'!W287</x:f>
        <x:v>6.117647058823529</x:v>
      </x:c>
      <x:c r="I287" s="109" t="n">
        <x:f>'Weekly Points'!X287</x:f>
        <x:v>5</x:v>
      </x:c>
      <x:c r="J287" s="109" t="n">
        <x:f>'Weekly Points'!Y287</x:f>
        <x:v>3</x:v>
      </x:c>
      <x:c r="K287" s="109" t="n">
        <x:f>'Weekly Points'!Z287</x:f>
        <x:v>4.663782268921129</x:v>
      </x:c>
      <x:c r="L287" s="173" t="n">
        <x:f>'Weekly Points'!AA287</x:f>
        <x:v>0.7623490247274923</x:v>
      </x:c>
      <x:c r="M287" s="173" t="n">
        <x:f>'Weekly Points'!AB287</x:f>
        <x:v>0.35294117647058826</x:v>
      </x:c>
      <x:c r="N287" s="109" t="n">
        <x:f>0.5*J287+0.3*I287+0.2*H287</x:f>
        <x:v>4.223529411764706</x:v>
      </x:c>
      <x:c r="O287" s="175" t="n">
        <x:v>17</x:v>
      </x:c>
      <x:c r="P287" s="175" t="n">
        <x:v>14</x:v>
      </x:c>
      <x:c r="Q287" s="175" t="n">
        <x:v>0</x:v>
      </x:c>
      <x:c r="R287" s="175" t="n">
        <x:v>0</x:v>
      </x:c>
      <x:c r="S287" s="175" t="n">
        <x:v>0</x:v>
      </x:c>
      <x:c r="T287" s="175" t="n">
        <x:v>0</x:v>
      </x:c>
      <x:c r="U287" s="175" t="n">
        <x:v>0</x:v>
      </x:c>
      <x:c r="V287" s="175" t="n">
        <x:f>SUM(S287:U287)</x:f>
        <x:v>0</x:v>
      </x:c>
      <x:c r="W287" s="108" t="str">
        <x:v>https://fantasy.espn.com/football/leaders?leagueId=555583&amp;lineupSlot=17&amp;scoringPeriodId=0&amp;statSplit=lastSeason</x:v>
      </x:c>
    </x:row>
    <x:row r="288">
      <x:c r="A288" s="108" t="str">
        <x:v>K</x:v>
      </x:c>
      <x:c r="B288" s="175" t="n">
        <x:f>1+COUNTIFS($A$4:$A$356,A288,$J$4:$J$356,"&gt;"&amp;J288)</x:f>
        <x:v>27</x:v>
      </x:c>
      <x:c r="C288" s="175" t="n">
        <x:v>15</x:v>
      </x:c>
      <x:c r="D288" s="108" t="str">
        <x:v>Eddy Pineiro</x:v>
      </x:c>
      <x:c r="E288" s="108" t="str">
        <x:v>SF</x:v>
      </x:c>
      <x:c r="F288" s="108" t="str">
        <x:v>SF</x:v>
      </x:c>
      <x:c r="G288" s="109" t="n">
        <x:v>132</x:v>
      </x:c>
      <x:c r="H288" s="109" t="n">
        <x:f>'Weekly Points'!W288</x:f>
        <x:v>7.764705882352941</x:v>
      </x:c>
      <x:c r="I288" s="109" t="n">
        <x:f>'Weekly Points'!X288</x:f>
        <x:v>8</x:v>
      </x:c>
      <x:c r="J288" s="109" t="n">
        <x:f>'Weekly Points'!Y288</x:f>
        <x:v>1</x:v>
      </x:c>
      <x:c r="K288" s="109" t="n">
        <x:f>'Weekly Points'!Z288</x:f>
        <x:v>5.956009439457477</x:v>
      </x:c>
      <x:c r="L288" s="173" t="n">
        <x:f>'Weekly Points'!AA288</x:f>
        <x:v>0.7670618217483115</x:v>
      </x:c>
      <x:c r="M288" s="173" t="n">
        <x:f>'Weekly Points'!AB288</x:f>
        <x:v>0.29411764705882354</x:v>
      </x:c>
      <x:c r="N288" s="109" t="n">
        <x:f>0.5*J288+0.3*I288+0.2*H288</x:f>
        <x:v>4.452941176470588</x:v>
      </x:c>
      <x:c r="O288" s="175" t="n">
        <x:v>13</x:v>
      </x:c>
      <x:c r="P288" s="175" t="n">
        <x:v>14</x:v>
      </x:c>
      <x:c r="Q288" s="175" t="n">
        <x:v>0</x:v>
      </x:c>
      <x:c r="R288" s="175" t="n">
        <x:v>0</x:v>
      </x:c>
      <x:c r="S288" s="175" t="n">
        <x:v>0</x:v>
      </x:c>
      <x:c r="T288" s="175" t="n">
        <x:v>0</x:v>
      </x:c>
      <x:c r="U288" s="175" t="n">
        <x:v>0</x:v>
      </x:c>
      <x:c r="V288" s="175" t="n">
        <x:f>SUM(S288:U288)</x:f>
        <x:v>0</x:v>
      </x:c>
      <x:c r="W288" s="108" t="str">
        <x:v>https://fantasy.espn.com/football/leaders?leagueId=555583&amp;lineupSlot=17&amp;scoringPeriodId=0&amp;statSplit=lastSeason</x:v>
      </x:c>
    </x:row>
    <x:row r="289">
      <x:c r="A289" s="108" t="str">
        <x:v>K</x:v>
      </x:c>
      <x:c r="B289" s="175" t="n">
        <x:f>1+COUNTIFS($A$4:$A$356,A289,$J$4:$J$356,"&gt;"&amp;J289)</x:f>
        <x:v>28</x:v>
      </x:c>
      <x:c r="C289" s="175" t="n">
        <x:v>28</x:v>
      </x:c>
      <x:c r="D289" s="108" t="str">
        <x:v>Zane Gonzalez</x:v>
      </x:c>
      <x:c r="E289" s="108" t="str">
        <x:v>ATL</x:v>
      </x:c>
      <x:c r="F289" s="108" t="str">
        <x:v>ATL</x:v>
      </x:c>
      <x:c r="G289" s="109" t="n">
        <x:v>93</x:v>
      </x:c>
      <x:c r="H289" s="109" t="n">
        <x:f>'Weekly Points'!W289</x:f>
        <x:v>5.470588235294118</x:v>
      </x:c>
      <x:c r="I289" s="109" t="n">
        <x:f>'Weekly Points'!X289</x:f>
        <x:v>6</x:v>
      </x:c>
      <x:c r="J289" s="109" t="n">
        <x:f>'Weekly Points'!Y289</x:f>
        <x:v>0</x:v>
      </x:c>
      <x:c r="K289" s="109" t="n">
        <x:f>'Weekly Points'!Z289</x:f>
        <x:v>5.740646070002754</x:v>
      </x:c>
      <x:c r="L289" s="173" t="n">
        <x:f>'Weekly Points'!AA289</x:f>
        <x:v>1.0493654106456647</x:v>
      </x:c>
      <x:c r="M289" s="173" t="n">
        <x:f>'Weekly Points'!AB289</x:f>
        <x:v>0.47058823529411764</x:v>
      </x:c>
      <x:c r="N289" s="109" t="n">
        <x:f>0.5*J289+0.3*I289+0.2*H289</x:f>
        <x:v>2.8941176470588235</x:v>
      </x:c>
      <x:c r="O289" s="175" t="n">
        <x:v>9</x:v>
      </x:c>
      <x:c r="P289" s="175" t="n">
        <x:v>5</x:v>
      </x:c>
      <x:c r="Q289" s="175" t="n">
        <x:v>0</x:v>
      </x:c>
      <x:c r="R289" s="175" t="n">
        <x:v>0</x:v>
      </x:c>
      <x:c r="S289" s="175" t="n">
        <x:v>0</x:v>
      </x:c>
      <x:c r="T289" s="175" t="n">
        <x:v>0</x:v>
      </x:c>
      <x:c r="U289" s="175" t="n">
        <x:v>0</x:v>
      </x:c>
      <x:c r="V289" s="175" t="n">
        <x:f>SUM(S289:U289)</x:f>
        <x:v>0</x:v>
      </x:c>
      <x:c r="W289" s="108" t="str">
        <x:v>https://fantasy.espn.com/football/leaders?leagueId=555583&amp;lineupSlot=17&amp;scoringPeriodId=0&amp;statSplit=lastSeason</x:v>
      </x:c>
    </x:row>
    <x:row r="290">
      <x:c r="A290" s="108" t="str">
        <x:v>K</x:v>
      </x:c>
      <x:c r="B290" s="175" t="n">
        <x:f>1+COUNTIFS($A$4:$A$356,A290,$J$4:$J$356,"&gt;"&amp;J290)</x:f>
        <x:v>28</x:v>
      </x:c>
      <x:c r="C290" s="175" t="n">
        <x:v>29</x:v>
      </x:c>
      <x:c r="D290" s="108" t="str">
        <x:v>Matt Gay</x:v>
      </x:c>
      <x:c r="E290" s="108" t="str">
        <x:v>SF/WSH</x:v>
      </x:c>
      <x:c r="F290" s="108" t="str">
        <x:v>FA</x:v>
      </x:c>
      <x:c r="G290" s="109" t="n">
        <x:v>90</x:v>
      </x:c>
      <x:c r="H290" s="109" t="n">
        <x:f>'Weekly Points'!W290</x:f>
        <x:v>4.764705882352941</x:v>
      </x:c>
      <x:c r="I290" s="109" t="n">
        <x:f>'Weekly Points'!X290</x:f>
        <x:v>3</x:v>
      </x:c>
      <x:c r="J290" s="109" t="n">
        <x:f>'Weekly Points'!Y290</x:f>
        <x:v>0</x:v>
      </x:c>
      <x:c r="K290" s="109" t="n">
        <x:f>'Weekly Points'!Z290</x:f>
        <x:v>5.10512328323462</x:v>
      </x:c>
      <x:c r="L290" s="173" t="n">
        <x:f>'Weekly Points'!AA290</x:f>
        <x:v>1.0714456273455375</x:v>
      </x:c>
      <x:c r="M290" s="173" t="n">
        <x:f>'Weekly Points'!AB290</x:f>
        <x:v>0.47058823529411764</x:v>
      </x:c>
      <x:c r="N290" s="109" t="n">
        <x:f>0.5*J290+0.3*I290+0.2*H290</x:f>
        <x:v>1.8529411764705883</x:v>
      </x:c>
      <x:c r="O290" s="175" t="n">
        <x:v>11</x:v>
      </x:c>
      <x:c r="P290" s="175" t="n">
        <x:v>12</x:v>
      </x:c>
      <x:c r="Q290" s="175" t="n">
        <x:v>0</x:v>
      </x:c>
      <x:c r="R290" s="175" t="n">
        <x:v>0</x:v>
      </x:c>
      <x:c r="S290" s="175" t="n">
        <x:v>0</x:v>
      </x:c>
      <x:c r="T290" s="175" t="n">
        <x:v>0</x:v>
      </x:c>
      <x:c r="U290" s="175" t="n">
        <x:v>0</x:v>
      </x:c>
      <x:c r="V290" s="175" t="n">
        <x:f>SUM(S290:U290)</x:f>
        <x:v>0</x:v>
      </x:c>
      <x:c r="W290" s="108" t="str">
        <x:v>https://fantasy.espn.com/football/leaders?leagueId=555583&amp;lineupSlot=17&amp;scoringPeriodId=0&amp;statSplit=lastSeason</x:v>
      </x:c>
    </x:row>
    <x:row r="291">
      <x:c r="A291" s="108" t="str">
        <x:v>K</x:v>
      </x:c>
      <x:c r="B291" s="175" t="n">
        <x:f>1+COUNTIFS($A$4:$A$356,A291,$J$4:$J$356,"&gt;"&amp;J291)</x:f>
        <x:v>28</x:v>
      </x:c>
      <x:c r="C291" s="175" t="n">
        <x:v>30</x:v>
      </x:c>
      <x:c r="D291" s="108" t="str">
        <x:v>Harrison Mevis</x:v>
      </x:c>
      <x:c r="E291" s="108" t="str">
        <x:v>LAR</x:v>
      </x:c>
      <x:c r="F291" s="108" t="str">
        <x:v>LAR</x:v>
      </x:c>
      <x:c r="G291" s="109" t="n">
        <x:v>82</x:v>
      </x:c>
      <x:c r="H291" s="109" t="n">
        <x:f>'Weekly Points'!W291</x:f>
        <x:v>4.823529411764706</x:v>
      </x:c>
      <x:c r="I291" s="109" t="n">
        <x:f>'Weekly Points'!X291</x:f>
        <x:v>3</x:v>
      </x:c>
      <x:c r="J291" s="109" t="n">
        <x:f>'Weekly Points'!Y291</x:f>
        <x:v>0</x:v>
      </x:c>
      <x:c r="K291" s="109" t="n">
        <x:f>'Weekly Points'!Z291</x:f>
        <x:v>5.511862011822341</x:v>
      </x:c>
      <x:c r="L291" s="173" t="n">
        <x:f>'Weekly Points'!AA291</x:f>
        <x:v>1.1427031000119487</x:v>
      </x:c>
      <x:c r="M291" s="173" t="n">
        <x:f>'Weekly Points'!AB291</x:f>
        <x:v>0.47058823529411764</x:v>
      </x:c>
      <x:c r="N291" s="109" t="n">
        <x:f>0.5*J291+0.3*I291+0.2*H291</x:f>
        <x:v>1.8647058823529412</x:v>
      </x:c>
      <x:c r="O291" s="175" t="n">
        <x:v>9</x:v>
      </x:c>
      <x:c r="P291" s="175" t="n">
        <x:v>8</x:v>
      </x:c>
      <x:c r="Q291" s="175" t="n">
        <x:v>0</x:v>
      </x:c>
      <x:c r="R291" s="175" t="n">
        <x:v>0</x:v>
      </x:c>
      <x:c r="S291" s="175" t="n">
        <x:v>0</x:v>
      </x:c>
      <x:c r="T291" s="175" t="n">
        <x:v>0</x:v>
      </x:c>
      <x:c r="U291" s="175" t="n">
        <x:v>0</x:v>
      </x:c>
      <x:c r="V291" s="175" t="n">
        <x:f>SUM(S291:U291)</x:f>
        <x:v>0</x:v>
      </x:c>
      <x:c r="W291" s="108" t="str">
        <x:v>https://fantasy.espn.com/football/leaders?leagueId=555583&amp;lineupSlot=17&amp;scoringPeriodId=0&amp;statSplit=lastSeason</x:v>
      </x:c>
    </x:row>
    <x:row r="292">
      <x:c r="A292" s="108" t="str">
        <x:v>K</x:v>
      </x:c>
      <x:c r="B292" s="175" t="n">
        <x:f>1+COUNTIFS($A$4:$A$356,A292,$J$4:$J$356,"&gt;"&amp;J292)</x:f>
        <x:v>28</x:v>
      </x:c>
      <x:c r="C292" s="175" t="n">
        <x:v>31</x:v>
      </x:c>
      <x:c r="D292" s="108" t="str">
        <x:v>Jake Moody</x:v>
      </x:c>
      <x:c r="E292" s="108" t="str">
        <x:v>WSH/CHI/SF</x:v>
      </x:c>
      <x:c r="F292" s="108" t="str">
        <x:v>WSH</x:v>
      </x:c>
      <x:c r="G292" s="109" t="n">
        <x:v>76</x:v>
      </x:c>
      <x:c r="H292" s="109" t="n">
        <x:f>'Weekly Points'!W292</x:f>
        <x:v>4.470588235294118</x:v>
      </x:c>
      <x:c r="I292" s="109" t="n">
        <x:f>'Weekly Points'!X292</x:f>
        <x:v>0</x:v>
      </x:c>
      <x:c r="J292" s="109" t="n">
        <x:f>'Weekly Points'!Y292</x:f>
        <x:v>0</x:v>
      </x:c>
      <x:c r="K292" s="109" t="n">
        <x:f>'Weekly Points'!Z292</x:f>
        <x:v>5.637246376805147</x:v>
      </x:c>
      <x:c r="L292" s="173" t="n">
        <x:f>'Weekly Points'!AA292</x:f>
        <x:v>1.2609630053379934</x:v>
      </x:c>
      <x:c r="M292" s="173" t="n">
        <x:f>'Weekly Points'!AB292</x:f>
        <x:v>0.5294117647058824</x:v>
      </x:c>
      <x:c r="N292" s="109" t="n">
        <x:f>0.5*J292+0.3*I292+0.2*H292</x:f>
        <x:v>0.8941176470588236</x:v>
      </x:c>
      <x:c r="O292" s="175" t="n">
        <x:v>8</x:v>
      </x:c>
      <x:c r="P292" s="175" t="n">
        <x:v>5</x:v>
      </x:c>
      <x:c r="Q292" s="175" t="n">
        <x:v>0</x:v>
      </x:c>
      <x:c r="R292" s="175" t="n">
        <x:v>0</x:v>
      </x:c>
      <x:c r="S292" s="175" t="n">
        <x:v>0</x:v>
      </x:c>
      <x:c r="T292" s="175" t="n">
        <x:v>0</x:v>
      </x:c>
      <x:c r="U292" s="175" t="n">
        <x:v>0</x:v>
      </x:c>
      <x:c r="V292" s="175" t="n">
        <x:f>SUM(S292:U292)</x:f>
        <x:v>0</x:v>
      </x:c>
      <x:c r="W292" s="108" t="str">
        <x:v>https://fantasy.espn.com/football/leaders?leagueId=555583&amp;lineupSlot=17&amp;scoringPeriodId=0&amp;statSplit=lastSeason</x:v>
      </x:c>
    </x:row>
    <x:row r="293">
      <x:c r="A293" s="108" t="str">
        <x:v>K</x:v>
      </x:c>
      <x:c r="B293" s="175" t="n">
        <x:f>1+COUNTIFS($A$4:$A$356,A293,$J$4:$J$356,"&gt;"&amp;J293)</x:f>
        <x:v>28</x:v>
      </x:c>
      <x:c r="C293" s="175" t="n">
        <x:v>34</x:v>
      </x:c>
      <x:c r="D293" s="108" t="str">
        <x:v>Michael Badgley</x:v>
      </x:c>
      <x:c r="E293" s="108" t="str">
        <x:v>BUF/IND</x:v>
      </x:c>
      <x:c r="F293" s="108" t="str">
        <x:v>FA</x:v>
      </x:c>
      <x:c r="G293" s="109" t="n">
        <x:v>52</x:v>
      </x:c>
      <x:c r="H293" s="109" t="n">
        <x:f>'Weekly Points'!W293</x:f>
        <x:v>3.0588235294117645</x:v>
      </x:c>
      <x:c r="I293" s="109" t="n">
        <x:f>'Weekly Points'!X293</x:f>
        <x:v>0</x:v>
      </x:c>
      <x:c r="J293" s="109" t="n">
        <x:f>'Weekly Points'!Y293</x:f>
        <x:v>0</x:v>
      </x:c>
      <x:c r="K293" s="109" t="n">
        <x:f>'Weekly Points'!Z293</x:f>
        <x:v>4.021568149444049</x:v>
      </x:c>
      <x:c r="L293" s="173" t="n">
        <x:f>'Weekly Points'!AA293</x:f>
        <x:v>1.314743433472093</x:v>
      </x:c>
      <x:c r="M293" s="173" t="n">
        <x:f>'Weekly Points'!AB293</x:f>
        <x:v>0.5294117647058824</x:v>
      </x:c>
      <x:c r="N293" s="109" t="n">
        <x:f>0.5*J293+0.3*I293+0.2*H293</x:f>
        <x:v>0.611764705882353</x:v>
      </x:c>
      <x:c r="O293" s="175" t="n">
        <x:v>9</x:v>
      </x:c>
      <x:c r="P293" s="175" t="n">
        <x:v>11</x:v>
      </x:c>
      <x:c r="Q293" s="175" t="n">
        <x:v>0</x:v>
      </x:c>
      <x:c r="R293" s="175" t="n">
        <x:v>0</x:v>
      </x:c>
      <x:c r="S293" s="175" t="n">
        <x:v>0</x:v>
      </x:c>
      <x:c r="T293" s="175" t="n">
        <x:v>0</x:v>
      </x:c>
      <x:c r="U293" s="175" t="n">
        <x:v>0</x:v>
      </x:c>
      <x:c r="V293" s="175" t="n">
        <x:f>SUM(S293:U293)</x:f>
        <x:v>0</x:v>
      </x:c>
      <x:c r="W293" s="108" t="str">
        <x:v>https://fantasy.espn.com/football/leaders?leagueId=555583&amp;lineupSlot=17&amp;scoringPeriodId=0&amp;statSplit=lastSeason</x:v>
      </x:c>
    </x:row>
    <x:row r="294">
      <x:c r="A294" s="108" t="str">
        <x:v>K</x:v>
      </x:c>
      <x:c r="B294" s="175" t="n">
        <x:f>1+COUNTIFS($A$4:$A$356,A294,$J$4:$J$356,"&gt;"&amp;J294)</x:f>
        <x:v>28</x:v>
      </x:c>
      <x:c r="C294" s="175" t="n">
        <x:v>35</x:v>
      </x:c>
      <x:c r="D294" s="108" t="str">
        <x:v>Joshua Karty</x:v>
      </x:c>
      <x:c r="E294" s="108" t="str">
        <x:v>ARI/LAR</x:v>
      </x:c>
      <x:c r="F294" s="108" t="str">
        <x:v>ARI</x:v>
      </x:c>
      <x:c r="G294" s="109" t="n">
        <x:v>49</x:v>
      </x:c>
      <x:c r="H294" s="109" t="n">
        <x:f>'Weekly Points'!W294</x:f>
        <x:v>2.8823529411764706</x:v>
      </x:c>
      <x:c r="I294" s="109" t="n">
        <x:f>'Weekly Points'!X294</x:f>
        <x:v>0</x:v>
      </x:c>
      <x:c r="J294" s="109" t="n">
        <x:f>'Weekly Points'!Y294</x:f>
        <x:v>0</x:v>
      </x:c>
      <x:c r="K294" s="109" t="n">
        <x:f>'Weekly Points'!Z294</x:f>
        <x:v>4.3775141070915415</x:v>
      </x:c>
      <x:c r="L294" s="173" t="n">
        <x:f>'Weekly Points'!AA294</x:f>
        <x:v>1.5187293840929839</x:v>
      </x:c>
      <x:c r="M294" s="173" t="n">
        <x:f>'Weekly Points'!AB294</x:f>
        <x:v>0.5882352941176471</x:v>
      </x:c>
      <x:c r="N294" s="109" t="n">
        <x:f>0.5*J294+0.3*I294+0.2*H294</x:f>
        <x:v>0.5764705882352942</x:v>
      </x:c>
      <x:c r="O294" s="175" t="n">
        <x:v>8</x:v>
      </x:c>
      <x:c r="P294" s="175" t="n">
        <x:v>8</x:v>
      </x:c>
      <x:c r="Q294" s="175" t="n">
        <x:v>0</x:v>
      </x:c>
      <x:c r="R294" s="175" t="n">
        <x:v>0</x:v>
      </x:c>
      <x:c r="S294" s="175" t="n">
        <x:v>0</x:v>
      </x:c>
      <x:c r="T294" s="175" t="n">
        <x:v>0</x:v>
      </x:c>
      <x:c r="U294" s="175" t="n">
        <x:v>0</x:v>
      </x:c>
      <x:c r="V294" s="175" t="n">
        <x:f>SUM(S294:U294)</x:f>
        <x:v>0</x:v>
      </x:c>
      <x:c r="W294" s="108" t="str">
        <x:v>https://fantasy.espn.com/football/leaders?leagueId=555583&amp;lineupSlot=17&amp;scoringPeriodId=0&amp;statSplit=lastSeason</x:v>
      </x:c>
    </x:row>
    <x:row r="295">
      <x:c r="A295" s="108" t="str">
        <x:v>K</x:v>
      </x:c>
      <x:c r="B295" s="175" t="n">
        <x:f>1+COUNTIFS($A$4:$A$356,A295,$J$4:$J$356,"&gt;"&amp;J295)</x:f>
        <x:v>28</x:v>
      </x:c>
      <x:c r="C295" s="175" t="n">
        <x:v>32</x:v>
      </x:c>
      <x:c r="D295" s="108" t="str">
        <x:v>Charlie Smyth</x:v>
      </x:c>
      <x:c r="E295" s="108" t="str">
        <x:v>NO</x:v>
      </x:c>
      <x:c r="F295" s="108" t="str">
        <x:v>NO</x:v>
      </x:c>
      <x:c r="G295" s="109" t="n">
        <x:v>60</x:v>
      </x:c>
      <x:c r="H295" s="109" t="n">
        <x:f>'Weekly Points'!W295</x:f>
        <x:v>3.5294117647058822</x:v>
      </x:c>
      <x:c r="I295" s="109" t="n">
        <x:f>'Weekly Points'!X295</x:f>
        <x:v>0</x:v>
      </x:c>
      <x:c r="J295" s="109" t="n">
        <x:f>'Weekly Points'!Y295</x:f>
        <x:v>0</x:v>
      </x:c>
      <x:c r="K295" s="109" t="n">
        <x:f>'Weekly Points'!Z295</x:f>
        <x:v>5.791653701245933</x:v>
      </x:c>
      <x:c r="L295" s="173" t="n">
        <x:f>'Weekly Points'!AA295</x:f>
        <x:v>1.6409685486863477</x:v>
      </x:c>
      <x:c r="M295" s="173" t="n">
        <x:f>'Weekly Points'!AB295</x:f>
        <x:v>0.6470588235294118</x:v>
      </x:c>
      <x:c r="N295" s="109" t="n">
        <x:f>0.5*J295+0.3*I295+0.2*H295</x:f>
        <x:v>0.7058823529411765</x:v>
      </x:c>
      <x:c r="O295" s="175" t="n">
        <x:v>6</x:v>
      </x:c>
      <x:c r="P295" s="175" t="n">
        <x:v>11</x:v>
      </x:c>
      <x:c r="Q295" s="175" t="n">
        <x:v>0</x:v>
      </x:c>
      <x:c r="R295" s="175" t="n">
        <x:v>0</x:v>
      </x:c>
      <x:c r="S295" s="175" t="n">
        <x:v>0</x:v>
      </x:c>
      <x:c r="T295" s="175" t="n">
        <x:v>0</x:v>
      </x:c>
      <x:c r="U295" s="175" t="n">
        <x:v>0</x:v>
      </x:c>
      <x:c r="V295" s="175" t="n">
        <x:f>SUM(S295:U295)</x:f>
        <x:v>0</x:v>
      </x:c>
      <x:c r="W295" s="108" t="str">
        <x:v>https://fantasy.espn.com/football/leaders?leagueId=555583&amp;lineupSlot=17&amp;scoringPeriodId=0&amp;statSplit=lastSeason</x:v>
      </x:c>
    </x:row>
    <x:row r="296">
      <x:c r="A296" s="108" t="str">
        <x:v>K</x:v>
      </x:c>
      <x:c r="B296" s="175" t="n">
        <x:f>1+COUNTIFS($A$4:$A$356,A296,$J$4:$J$356,"&gt;"&amp;J296)</x:f>
        <x:v>28</x:v>
      </x:c>
      <x:c r="C296" s="175" t="n">
        <x:v>37</x:v>
      </x:c>
      <x:c r="D296" s="108" t="str">
        <x:v>Graham Gano</x:v>
      </x:c>
      <x:c r="E296" s="108" t="str">
        <x:v>NYG</x:v>
      </x:c>
      <x:c r="F296" s="108" t="str">
        <x:v>NYG</x:v>
      </x:c>
      <x:c r="G296" s="109" t="n">
        <x:v>39</x:v>
      </x:c>
      <x:c r="H296" s="109" t="n">
        <x:f>'Weekly Points'!W296</x:f>
        <x:v>2.2941176470588234</x:v>
      </x:c>
      <x:c r="I296" s="109" t="n">
        <x:f>'Weekly Points'!X296</x:f>
        <x:v>0</x:v>
      </x:c>
      <x:c r="J296" s="109" t="n">
        <x:f>'Weekly Points'!Y296</x:f>
        <x:v>0</x:v>
      </x:c>
      <x:c r="K296" s="109" t="n">
        <x:f>'Weekly Points'!Z296</x:f>
        <x:v>3.9817924707695176</x:v>
      </x:c>
      <x:c r="L296" s="173" t="n">
        <x:f>'Weekly Points'!AA296</x:f>
        <x:v>1.7356531282841487</x:v>
      </x:c>
      <x:c r="M296" s="173" t="n">
        <x:f>'Weekly Points'!AB296</x:f>
        <x:v>0.7058823529411765</x:v>
      </x:c>
      <x:c r="N296" s="109" t="n">
        <x:f>0.5*J296+0.3*I296+0.2*H296</x:f>
        <x:v>0.4588235294117647</x:v>
      </x:c>
      <x:c r="O296" s="175" t="n">
        <x:v>5</x:v>
      </x:c>
      <x:c r="P296" s="175" t="n">
        <x:v>14</x:v>
      </x:c>
      <x:c r="Q296" s="175" t="n">
        <x:v>0</x:v>
      </x:c>
      <x:c r="R296" s="175" t="n">
        <x:v>0</x:v>
      </x:c>
      <x:c r="S296" s="175" t="n">
        <x:v>0</x:v>
      </x:c>
      <x:c r="T296" s="175" t="n">
        <x:v>0</x:v>
      </x:c>
      <x:c r="U296" s="175" t="n">
        <x:v>0</x:v>
      </x:c>
      <x:c r="V296" s="175" t="n">
        <x:f>SUM(S296:U296)</x:f>
        <x:v>0</x:v>
      </x:c>
      <x:c r="W296" s="108" t="str">
        <x:v>https://fantasy.espn.com/football/leaders?leagueId=555583&amp;lineupSlot=17&amp;scoringPeriodId=0&amp;statSplit=lastSeason</x:v>
      </x:c>
    </x:row>
    <x:row r="297">
      <x:c r="A297" s="108" t="str">
        <x:v>K</x:v>
      </x:c>
      <x:c r="B297" s="175" t="n">
        <x:f>1+COUNTIFS($A$4:$A$356,A297,$J$4:$J$356,"&gt;"&amp;J297)</x:f>
        <x:v>28</x:v>
      </x:c>
      <x:c r="C297" s="175" t="n">
        <x:v>36</x:v>
      </x:c>
      <x:c r="D297" s="108" t="str">
        <x:v>Parker Romo</x:v>
      </x:c>
      <x:c r="E297" s="108" t="str">
        <x:v>ATL</x:v>
      </x:c>
      <x:c r="F297" s="108" t="str">
        <x:v>FA</x:v>
      </x:c>
      <x:c r="G297" s="109" t="n">
        <x:v>45</x:v>
      </x:c>
      <x:c r="H297" s="109" t="n">
        <x:f>'Weekly Points'!W297</x:f>
        <x:v>2.6470588235294117</x:v>
      </x:c>
      <x:c r="I297" s="109" t="n">
        <x:f>'Weekly Points'!X297</x:f>
        <x:v>0</x:v>
      </x:c>
      <x:c r="J297" s="109" t="n">
        <x:f>'Weekly Points'!Y297</x:f>
        <x:v>0</x:v>
      </x:c>
      <x:c r="K297" s="109" t="n">
        <x:f>'Weekly Points'!Z297</x:f>
        <x:v>4.727157788909279</x:v>
      </x:c>
      <x:c r="L297" s="173" t="n">
        <x:f>'Weekly Points'!AA297</x:f>
        <x:v>1.7858151646990612</x:v>
      </x:c>
      <x:c r="M297" s="173" t="n">
        <x:f>'Weekly Points'!AB297</x:f>
        <x:v>0.6470588235294118</x:v>
      </x:c>
      <x:c r="N297" s="109" t="n">
        <x:f>0.5*J297+0.3*I297+0.2*H297</x:f>
        <x:v>0.5294117647058824</x:v>
      </x:c>
      <x:c r="O297" s="175" t="n">
        <x:v>6</x:v>
      </x:c>
      <x:c r="P297" s="175" t="n">
        <x:v>5</x:v>
      </x:c>
      <x:c r="Q297" s="175" t="n">
        <x:v>0</x:v>
      </x:c>
      <x:c r="R297" s="175" t="n">
        <x:v>0</x:v>
      </x:c>
      <x:c r="S297" s="175" t="n">
        <x:v>0</x:v>
      </x:c>
      <x:c r="T297" s="175" t="n">
        <x:v>0</x:v>
      </x:c>
      <x:c r="U297" s="175" t="n">
        <x:v>0</x:v>
      </x:c>
      <x:c r="V297" s="175" t="n">
        <x:f>SUM(S297:U297)</x:f>
        <x:v>0</x:v>
      </x:c>
      <x:c r="W297" s="108" t="str">
        <x:v>https://fantasy.espn.com/football/leaders?leagueId=555583&amp;lineupSlot=17&amp;scoringPeriodId=0&amp;statSplit=lastSeason</x:v>
      </x:c>
    </x:row>
    <x:row r="298">
      <x:c r="A298" s="108" t="str">
        <x:v>K</x:v>
      </x:c>
      <x:c r="B298" s="175" t="n">
        <x:f>1+COUNTIFS($A$4:$A$356,A298,$J$4:$J$356,"&gt;"&amp;J298)</x:f>
        <x:v>28</x:v>
      </x:c>
      <x:c r="C298" s="175" t="n">
        <x:v>33</x:v>
      </x:c>
      <x:c r="D298" s="108" t="str">
        <x:v>Spencer Shrader</x:v>
      </x:c>
      <x:c r="E298" s="108" t="str">
        <x:v>IND</x:v>
      </x:c>
      <x:c r="F298" s="108" t="str">
        <x:v>IND</x:v>
      </x:c>
      <x:c r="G298" s="109" t="n">
        <x:v>57</x:v>
      </x:c>
      <x:c r="H298" s="109" t="n">
        <x:f>'Weekly Points'!W298</x:f>
        <x:v>3.3529411764705883</x:v>
      </x:c>
      <x:c r="I298" s="109" t="n">
        <x:f>'Weekly Points'!X298</x:f>
        <x:v>0</x:v>
      </x:c>
      <x:c r="J298" s="109" t="n">
        <x:f>'Weekly Points'!Y298</x:f>
        <x:v>0</x:v>
      </x:c>
      <x:c r="K298" s="109" t="n">
        <x:f>'Weekly Points'!Z298</x:f>
        <x:v>6.009220136057476</x:v>
      </x:c>
      <x:c r="L298" s="173" t="n">
        <x:f>'Weekly Points'!AA298</x:f>
        <x:v>1.7922235493504755</x:v>
      </x:c>
      <x:c r="M298" s="173" t="n">
        <x:f>'Weekly Points'!AB298</x:f>
        <x:v>0.7058823529411765</x:v>
      </x:c>
      <x:c r="N298" s="109" t="n">
        <x:f>0.5*J298+0.3*I298+0.2*H298</x:f>
        <x:v>0.6705882352941177</x:v>
      </x:c>
      <x:c r="O298" s="175" t="n">
        <x:v>5</x:v>
      </x:c>
      <x:c r="P298" s="175" t="n">
        <x:v>11</x:v>
      </x:c>
      <x:c r="Q298" s="175" t="n">
        <x:v>0</x:v>
      </x:c>
      <x:c r="R298" s="175" t="n">
        <x:v>0</x:v>
      </x:c>
      <x:c r="S298" s="175" t="n">
        <x:v>0</x:v>
      </x:c>
      <x:c r="T298" s="175" t="n">
        <x:v>0</x:v>
      </x:c>
      <x:c r="U298" s="175" t="n">
        <x:v>0</x:v>
      </x:c>
      <x:c r="V298" s="175" t="n">
        <x:f>SUM(S298:U298)</x:f>
        <x:v>0</x:v>
      </x:c>
      <x:c r="W298" s="108" t="str">
        <x:v>https://fantasy.espn.com/football/leaders?leagueId=555583&amp;lineupSlot=17&amp;scoringPeriodId=0&amp;statSplit=lastSeason</x:v>
      </x:c>
    </x:row>
    <x:row r="299">
      <x:c r="A299" s="108" t="str">
        <x:v>K</x:v>
      </x:c>
      <x:c r="B299" s="175" t="n">
        <x:f>1+COUNTIFS($A$4:$A$356,A299,$J$4:$J$356,"&gt;"&amp;J299)</x:f>
        <x:v>28</x:v>
      </x:c>
      <x:c r="C299" s="175" t="n">
        <x:v>39</x:v>
      </x:c>
      <x:c r="D299" s="108" t="str">
        <x:v>Younghoe Koo</x:v>
      </x:c>
      <x:c r="E299" s="108" t="str">
        <x:v>NYG/ATL</x:v>
      </x:c>
      <x:c r="F299" s="108" t="str">
        <x:v>FA</x:v>
      </x:c>
      <x:c r="G299" s="109" t="n">
        <x:v>31</x:v>
      </x:c>
      <x:c r="H299" s="109" t="n">
        <x:f>'Weekly Points'!W299</x:f>
        <x:v>1.8235294117647058</x:v>
      </x:c>
      <x:c r="I299" s="109" t="n">
        <x:f>'Weekly Points'!X299</x:f>
        <x:v>0</x:v>
      </x:c>
      <x:c r="J299" s="109" t="n">
        <x:f>'Weekly Points'!Y299</x:f>
        <x:v>0</x:v>
      </x:c>
      <x:c r="K299" s="109" t="n">
        <x:f>'Weekly Points'!Z299</x:f>
        <x:v>3.416831936813554</x:v>
      </x:c>
      <x:c r="L299" s="173" t="n">
        <x:f>'Weekly Points'!AA299</x:f>
        <x:v>1.8737465459945297</x:v>
      </x:c>
      <x:c r="M299" s="173" t="n">
        <x:f>'Weekly Points'!AB299</x:f>
        <x:v>0.7058823529411765</x:v>
      </x:c>
      <x:c r="N299" s="109" t="n">
        <x:f>0.5*J299+0.3*I299+0.2*H299</x:f>
        <x:v>0.3647058823529412</x:v>
      </x:c>
      <x:c r="O299" s="175" t="n">
        <x:v>5</x:v>
      </x:c>
      <x:c r="P299" s="175" t="n">
        <x:v>14</x:v>
      </x:c>
      <x:c r="Q299" s="175" t="n">
        <x:v>0</x:v>
      </x:c>
      <x:c r="R299" s="175" t="n">
        <x:v>0</x:v>
      </x:c>
      <x:c r="S299" s="175" t="n">
        <x:v>0</x:v>
      </x:c>
      <x:c r="T299" s="175" t="n">
        <x:v>0</x:v>
      </x:c>
      <x:c r="U299" s="175" t="n">
        <x:v>0</x:v>
      </x:c>
      <x:c r="V299" s="175" t="n">
        <x:f>SUM(S299:U299)</x:f>
        <x:v>0</x:v>
      </x:c>
      <x:c r="W299" s="108" t="str">
        <x:v>https://fantasy.espn.com/football/leaders?leagueId=555583&amp;lineupSlot=17&amp;scoringPeriodId=0&amp;statSplit=lastSeason</x:v>
      </x:c>
    </x:row>
    <x:row r="300">
      <x:c r="A300" s="108" t="str">
        <x:v>K</x:v>
      </x:c>
      <x:c r="B300" s="175" t="n">
        <x:f>1+COUNTIFS($A$4:$A$356,A300,$J$4:$J$356,"&gt;"&amp;J300)</x:f>
        <x:v>28</x:v>
      </x:c>
      <x:c r="C300" s="175" t="n">
        <x:v>38</x:v>
      </x:c>
      <x:c r="D300" s="108" t="str">
        <x:v>Ben Sauls</x:v>
      </x:c>
      <x:c r="E300" s="108" t="str">
        <x:v>NYG</x:v>
      </x:c>
      <x:c r="F300" s="108" t="str">
        <x:v>NYG</x:v>
      </x:c>
      <x:c r="G300" s="109" t="n">
        <x:v>32</x:v>
      </x:c>
      <x:c r="H300" s="109" t="n">
        <x:f>'Weekly Points'!W300</x:f>
        <x:v>1.8823529411764706</x:v>
      </x:c>
      <x:c r="I300" s="109" t="n">
        <x:f>'Weekly Points'!X300</x:f>
        <x:v>0</x:v>
      </x:c>
      <x:c r="J300" s="109" t="n">
        <x:f>'Weekly Points'!Y300</x:f>
        <x:v>0</x:v>
      </x:c>
      <x:c r="K300" s="109" t="n">
        <x:f>'Weekly Points'!Z300</x:f>
        <x:v>4.296131679178874</x:v>
      </x:c>
      <x:c r="L300" s="173" t="n">
        <x:f>'Weekly Points'!AA300</x:f>
        <x:v>2.2823199545637767</x:v>
      </x:c>
      <x:c r="M300" s="173" t="n">
        <x:f>'Weekly Points'!AB300</x:f>
        <x:v>0.8235294117647058</x:v>
      </x:c>
      <x:c r="N300" s="109" t="n">
        <x:f>0.5*J300+0.3*I300+0.2*H300</x:f>
        <x:v>0.3764705882352941</x:v>
      </x:c>
      <x:c r="O300" s="175" t="n">
        <x:v>3</x:v>
      </x:c>
      <x:c r="P300" s="175" t="n">
        <x:v>14</x:v>
      </x:c>
      <x:c r="Q300" s="175" t="n">
        <x:v>0</x:v>
      </x:c>
      <x:c r="R300" s="175" t="n">
        <x:v>0</x:v>
      </x:c>
      <x:c r="S300" s="175" t="n">
        <x:v>0</x:v>
      </x:c>
      <x:c r="T300" s="175" t="n">
        <x:v>0</x:v>
      </x:c>
      <x:c r="U300" s="175" t="n">
        <x:v>0</x:v>
      </x:c>
      <x:c r="V300" s="175" t="n">
        <x:f>SUM(S300:U300)</x:f>
        <x:v>0</x:v>
      </x:c>
      <x:c r="W300" s="108" t="str">
        <x:v>https://fantasy.espn.com/football/leaders?leagueId=555583&amp;lineupSlot=17&amp;scoringPeriodId=0&amp;statSplit=lastSeason</x:v>
      </x:c>
    </x:row>
    <x:row r="301">
      <x:c r="A301" s="108" t="str">
        <x:v>K</x:v>
      </x:c>
      <x:c r="B301" s="175" t="n">
        <x:f>1+COUNTIFS($A$4:$A$356,A301,$J$4:$J$356,"&gt;"&amp;J301)</x:f>
        <x:v>28</x:v>
      </x:c>
      <x:c r="C301" s="175" t="n">
        <x:v>40</x:v>
      </x:c>
      <x:c r="D301" s="108" t="str">
        <x:v>Matthew Wright</x:v>
      </x:c>
      <x:c r="E301" s="108" t="str">
        <x:v>HOU/WSH/TEN</x:v>
      </x:c>
      <x:c r="F301" s="108" t="str">
        <x:v>FA</x:v>
      </x:c>
      <x:c r="G301" s="109" t="n">
        <x:v>22</x:v>
      </x:c>
      <x:c r="H301" s="109" t="n">
        <x:f>'Weekly Points'!W301</x:f>
        <x:v>1</x:v>
      </x:c>
      <x:c r="I301" s="109" t="n">
        <x:f>'Weekly Points'!X301</x:f>
        <x:v>0</x:v>
      </x:c>
      <x:c r="J301" s="109" t="n">
        <x:f>'Weekly Points'!Y301</x:f>
        <x:v>0</x:v>
      </x:c>
      <x:c r="K301" s="109" t="n">
        <x:f>'Weekly Points'!Z301</x:f>
        <x:v>2.9104275004359956</x:v>
      </x:c>
      <x:c r="L301" s="173" t="n">
        <x:f>'Weekly Points'!AA301</x:f>
        <x:v>2.9104275004359956</x:v>
      </x:c>
      <x:c r="M301" s="173" t="n">
        <x:f>'Weekly Points'!AB301</x:f>
        <x:v>0.8235294117647058</x:v>
      </x:c>
      <x:c r="N301" s="109" t="n">
        <x:f>0.5*J301+0.3*I301+0.2*H301</x:f>
        <x:v>0.2</x:v>
      </x:c>
      <x:c r="O301" s="175" t="n">
        <x:v>3</x:v>
      </x:c>
      <x:c r="P301" s="175" t="n">
        <x:v>6</x:v>
      </x:c>
      <x:c r="Q301" s="175" t="n">
        <x:v>0</x:v>
      </x:c>
      <x:c r="R301" s="175" t="n">
        <x:v>0</x:v>
      </x:c>
      <x:c r="S301" s="175" t="n">
        <x:v>0</x:v>
      </x:c>
      <x:c r="T301" s="175" t="n">
        <x:v>0</x:v>
      </x:c>
      <x:c r="U301" s="175" t="n">
        <x:v>0</x:v>
      </x:c>
      <x:c r="V301" s="175" t="n">
        <x:f>SUM(S301:U301)</x:f>
        <x:v>0</x:v>
      </x:c>
      <x:c r="W301" s="108" t="str">
        <x:v>https://fantasy.espn.com/football/leaders?leagueId=555583&amp;lineupSlot=17&amp;scoringPeriodId=0&amp;statSplit=lastSeason</x:v>
      </x:c>
    </x:row>
    <x:row r="302">
      <x:c r="A302" s="108" t="str">
        <x:v>K</x:v>
      </x:c>
      <x:c r="B302" s="175" t="n">
        <x:f>1+COUNTIFS($A$4:$A$356,A302,$J$4:$J$356,"&gt;"&amp;J302)</x:f>
        <x:v>28</x:v>
      </x:c>
      <x:c r="C302" s="175" t="n">
        <x:v>41</x:v>
      </x:c>
      <x:c r="D302" s="108" t="str">
        <x:v>Lucas Havrisik</x:v>
      </x:c>
      <x:c r="E302" s="108" t="str">
        <x:v>GB</x:v>
      </x:c>
      <x:c r="F302" s="108" t="str">
        <x:v>GB</x:v>
      </x:c>
      <x:c r="G302" s="109" t="n">
        <x:v>18</x:v>
      </x:c>
      <x:c r="H302" s="109" t="n">
        <x:f>'Weekly Points'!W302</x:f>
        <x:v>1.0588235294117647</x:v>
      </x:c>
      <x:c r="I302" s="109" t="n">
        <x:f>'Weekly Points'!X302</x:f>
        <x:v>0</x:v>
      </x:c>
      <x:c r="J302" s="109" t="n">
        <x:f>'Weekly Points'!Y302</x:f>
        <x:v>0</x:v>
      </x:c>
      <x:c r="K302" s="109" t="n">
        <x:f>'Weekly Points'!Z302</x:f>
        <x:v>3.5225423344893807</x:v>
      </x:c>
      <x:c r="L302" s="173" t="n">
        <x:f>'Weekly Points'!AA302</x:f>
        <x:v>3.3268455381288593</x:v>
      </x:c>
      <x:c r="M302" s="173" t="n">
        <x:f>'Weekly Points'!AB302</x:f>
        <x:v>0.8823529411764706</x:v>
      </x:c>
      <x:c r="N302" s="109" t="n">
        <x:f>0.5*J302+0.3*I302+0.2*H302</x:f>
        <x:v>0.21176470588235297</x:v>
      </x:c>
      <x:c r="O302" s="175" t="n">
        <x:v>3</x:v>
      </x:c>
      <x:c r="P302" s="175" t="n">
        <x:v>5</x:v>
      </x:c>
      <x:c r="Q302" s="175" t="n">
        <x:v>0</x:v>
      </x:c>
      <x:c r="R302" s="175" t="n">
        <x:v>0</x:v>
      </x:c>
      <x:c r="S302" s="175" t="n">
        <x:v>0</x:v>
      </x:c>
      <x:c r="T302" s="175" t="n">
        <x:v>0</x:v>
      </x:c>
      <x:c r="U302" s="175" t="n">
        <x:v>0</x:v>
      </x:c>
      <x:c r="V302" s="175" t="n">
        <x:f>SUM(S302:U302)</x:f>
        <x:v>0</x:v>
      </x:c>
      <x:c r="W302" s="108" t="str">
        <x:v>https://fantasy.espn.com/football/leaders?leagueId=555583&amp;lineupSlot=17&amp;scoringPeriodId=0&amp;statSplit=lastSeason</x:v>
      </x:c>
    </x:row>
    <x:row r="303">
      <x:c r="A303" s="108" t="str">
        <x:v>K</x:v>
      </x:c>
      <x:c r="B303" s="175" t="n">
        <x:f>1+COUNTIFS($A$4:$A$356,A303,$J$4:$J$356,"&gt;"&amp;J303)</x:f>
        <x:v>28</x:v>
      </x:c>
      <x:c r="C303" s="175" t="n">
        <x:v>42</x:v>
      </x:c>
      <x:c r="D303" s="108" t="str">
        <x:v>Jude McAtamney</x:v>
      </x:c>
      <x:c r="E303" s="108" t="str">
        <x:v>NYG</x:v>
      </x:c>
      <x:c r="F303" s="108" t="str">
        <x:v>FA</x:v>
      </x:c>
      <x:c r="G303" s="109" t="n">
        <x:v>9</x:v>
      </x:c>
      <x:c r="H303" s="109" t="n">
        <x:f>'Weekly Points'!W303</x:f>
        <x:v>0.5294117647058824</x:v>
      </x:c>
      <x:c r="I303" s="109" t="n">
        <x:f>'Weekly Points'!X303</x:f>
        <x:v>0</x:v>
      </x:c>
      <x:c r="J303" s="109" t="n">
        <x:f>'Weekly Points'!Y303</x:f>
        <x:v>0</x:v>
      </x:c>
      <x:c r="K303" s="109" t="n">
        <x:f>'Weekly Points'!Z303</x:f>
        <x:v>1.818779392204742</x:v>
      </x:c>
      <x:c r="L303" s="173" t="n">
        <x:f>'Weekly Points'!AA303</x:f>
        <x:v>3.4354721852756236</x:v>
      </x:c>
      <x:c r="M303" s="173" t="n">
        <x:f>'Weekly Points'!AB303</x:f>
        <x:v>0.8235294117647058</x:v>
      </x:c>
      <x:c r="N303" s="109" t="n">
        <x:f>0.5*J303+0.3*I303+0.2*H303</x:f>
        <x:v>0.10588235294117648</x:v>
      </x:c>
      <x:c r="O303" s="175" t="n">
        <x:v>4</x:v>
      </x:c>
      <x:c r="P303" s="175" t="n">
        <x:v>14</x:v>
      </x:c>
      <x:c r="Q303" s="175" t="n">
        <x:v>0</x:v>
      </x:c>
      <x:c r="R303" s="175" t="n">
        <x:v>0</x:v>
      </x:c>
      <x:c r="S303" s="175" t="n">
        <x:v>0</x:v>
      </x:c>
      <x:c r="T303" s="175" t="n">
        <x:v>0</x:v>
      </x:c>
      <x:c r="U303" s="175" t="n">
        <x:v>0</x:v>
      </x:c>
      <x:c r="V303" s="175" t="n">
        <x:f>SUM(S303:U303)</x:f>
        <x:v>0</x:v>
      </x:c>
      <x:c r="W303" s="108" t="str">
        <x:v>https://fantasy.espn.com/football/leaders?leagueId=555583&amp;lineupSlot=17&amp;scoringPeriodId=0&amp;statSplit=lastSeason</x:v>
      </x:c>
    </x:row>
    <x:row r="304">
      <x:c r="A304" s="108" t="str">
        <x:v>K</x:v>
      </x:c>
      <x:c r="B304" s="175" t="n">
        <x:f>1+COUNTIFS($A$4:$A$356,A304,$J$4:$J$356,"&gt;"&amp;J304)</x:f>
        <x:v>28</x:v>
      </x:c>
      <x:c r="C304" s="175" t="n">
        <x:v>60</x:v>
      </x:c>
      <x:c r="D304" s="108" t="str">
        <x:v>Anders Carlson</x:v>
      </x:c>
      <x:c r="E304" s="108" t="str">
        <x:v>FA</x:v>
      </x:c>
      <x:c r="F304" s="108" t="str">
        <x:v>FA</x:v>
      </x:c>
      <x:c r="G304" s="109" t="n">
        <x:v>0</x:v>
      </x:c>
      <x:c r="H304" s="109" t="n">
        <x:f>'Weekly Points'!W304</x:f>
        <x:v>0</x:v>
      </x:c>
      <x:c r="I304" s="109" t="n">
        <x:f>'Weekly Points'!X304</x:f>
        <x:v>0</x:v>
      </x:c>
      <x:c r="J304" s="109" t="n">
        <x:f>'Weekly Points'!Y304</x:f>
        <x:v>0</x:v>
      </x:c>
      <x:c r="K304" s="109" t="n">
        <x:f>'Weekly Points'!Z304</x:f>
        <x:v>0</x:v>
      </x:c>
      <x:c r="L304" s="173" t="str">
        <x:f>'Weekly Points'!AA304</x:f>
      </x:c>
      <x:c r="M304" s="173" t="n">
        <x:f>'Weekly Points'!AB304</x:f>
        <x:v>0</x:v>
      </x:c>
      <x:c r="N304" s="109" t="n">
        <x:f>0.5*J304+0.3*I304+0.2*H304</x:f>
        <x:v>0</x:v>
      </x:c>
      <x:c r="O304" s="175" t="n">
        <x:v>0</x:v>
      </x:c>
      <x:c r="P304" s="175" t="n">
        <x:v>0</x:v>
      </x:c>
      <x:c r="Q304" s="175" t="n">
        <x:v>0</x:v>
      </x:c>
      <x:c r="R304" s="175" t="n">
        <x:v>0</x:v>
      </x:c>
      <x:c r="S304" s="175" t="n">
        <x:v>0</x:v>
      </x:c>
      <x:c r="T304" s="175" t="n">
        <x:v>0</x:v>
      </x:c>
      <x:c r="U304" s="175" t="n">
        <x:v>0</x:v>
      </x:c>
      <x:c r="V304" s="175" t="n">
        <x:f>SUM(S304:U304)</x:f>
        <x:v>0</x:v>
      </x:c>
      <x:c r="W304" s="108" t="str">
        <x:v>https://fantasy.espn.com/football/leaders?leagueId=555583&amp;lineupSlot=17&amp;scoringPeriodId=0&amp;statSplit=lastSeason</x:v>
      </x:c>
    </x:row>
    <x:row r="305">
      <x:c r="A305" s="108" t="str">
        <x:v>K</x:v>
      </x:c>
      <x:c r="B305" s="175" t="n">
        <x:f>1+COUNTIFS($A$4:$A$356,A305,$J$4:$J$356,"&gt;"&amp;J305)</x:f>
        <x:v>28</x:v>
      </x:c>
      <x:c r="C305" s="175" t="n">
        <x:v>52</x:v>
      </x:c>
      <x:c r="D305" s="108" t="str">
        <x:v>Austin Seibert</x:v>
      </x:c>
      <x:c r="E305" s="108" t="str">
        <x:v>FA</x:v>
      </x:c>
      <x:c r="F305" s="108" t="str">
        <x:v>FA</x:v>
      </x:c>
      <x:c r="G305" s="109" t="n">
        <x:v>0</x:v>
      </x:c>
      <x:c r="H305" s="109" t="n">
        <x:f>'Weekly Points'!W305</x:f>
        <x:v>0</x:v>
      </x:c>
      <x:c r="I305" s="109" t="n">
        <x:f>'Weekly Points'!X305</x:f>
        <x:v>0</x:v>
      </x:c>
      <x:c r="J305" s="109" t="n">
        <x:f>'Weekly Points'!Y305</x:f>
        <x:v>0</x:v>
      </x:c>
      <x:c r="K305" s="109" t="n">
        <x:f>'Weekly Points'!Z305</x:f>
        <x:v>0</x:v>
      </x:c>
      <x:c r="L305" s="173" t="str">
        <x:f>'Weekly Points'!AA305</x:f>
      </x:c>
      <x:c r="M305" s="173" t="n">
        <x:f>'Weekly Points'!AB305</x:f>
        <x:v>0</x:v>
      </x:c>
      <x:c r="N305" s="109" t="n">
        <x:f>0.5*J305+0.3*I305+0.2*H305</x:f>
        <x:v>0</x:v>
      </x:c>
      <x:c r="O305" s="175" t="n">
        <x:v>0</x:v>
      </x:c>
      <x:c r="P305" s="175" t="n">
        <x:v>0</x:v>
      </x:c>
      <x:c r="Q305" s="175" t="n">
        <x:v>0</x:v>
      </x:c>
      <x:c r="R305" s="175" t="n">
        <x:v>0</x:v>
      </x:c>
      <x:c r="S305" s="175" t="n">
        <x:v>0</x:v>
      </x:c>
      <x:c r="T305" s="175" t="n">
        <x:v>0</x:v>
      </x:c>
      <x:c r="U305" s="175" t="n">
        <x:v>0</x:v>
      </x:c>
      <x:c r="V305" s="175" t="n">
        <x:f>SUM(S305:U305)</x:f>
        <x:v>0</x:v>
      </x:c>
      <x:c r="W305" s="108" t="str">
        <x:v>https://fantasy.espn.com/football/leaders?leagueId=555583&amp;lineupSlot=17&amp;scoringPeriodId=0&amp;statSplit=lastSeason</x:v>
      </x:c>
    </x:row>
    <x:row r="306">
      <x:c r="A306" s="108" t="str">
        <x:v>K</x:v>
      </x:c>
      <x:c r="B306" s="175" t="n">
        <x:f>1+COUNTIFS($A$4:$A$356,A306,$J$4:$J$356,"&gt;"&amp;J306)</x:f>
        <x:v>28</x:v>
      </x:c>
      <x:c r="C306" s="175" t="n">
        <x:v>48</x:v>
      </x:c>
      <x:c r="D306" s="108" t="str">
        <x:v>Brayden Narveson</x:v>
      </x:c>
      <x:c r="E306" s="108" t="str">
        <x:v>FA</x:v>
      </x:c>
      <x:c r="F306" s="108" t="str">
        <x:v>FA</x:v>
      </x:c>
      <x:c r="G306" s="109" t="n">
        <x:v>0</x:v>
      </x:c>
      <x:c r="H306" s="109" t="n">
        <x:f>'Weekly Points'!W306</x:f>
        <x:v>0</x:v>
      </x:c>
      <x:c r="I306" s="109" t="n">
        <x:f>'Weekly Points'!X306</x:f>
        <x:v>0</x:v>
      </x:c>
      <x:c r="J306" s="109" t="n">
        <x:f>'Weekly Points'!Y306</x:f>
        <x:v>0</x:v>
      </x:c>
      <x:c r="K306" s="109" t="n">
        <x:f>'Weekly Points'!Z306</x:f>
        <x:v>0</x:v>
      </x:c>
      <x:c r="L306" s="173" t="str">
        <x:f>'Weekly Points'!AA306</x:f>
      </x:c>
      <x:c r="M306" s="173" t="n">
        <x:f>'Weekly Points'!AB306</x:f>
        <x:v>0</x:v>
      </x:c>
      <x:c r="N306" s="109" t="n">
        <x:f>0.5*J306+0.3*I306+0.2*H306</x:f>
        <x:v>0</x:v>
      </x:c>
      <x:c r="O306" s="175" t="n">
        <x:v>0</x:v>
      </x:c>
      <x:c r="P306" s="175" t="n">
        <x:v>0</x:v>
      </x:c>
      <x:c r="Q306" s="175" t="n">
        <x:v>0</x:v>
      </x:c>
      <x:c r="R306" s="175" t="n">
        <x:v>0</x:v>
      </x:c>
      <x:c r="S306" s="175" t="n">
        <x:v>0</x:v>
      </x:c>
      <x:c r="T306" s="175" t="n">
        <x:v>0</x:v>
      </x:c>
      <x:c r="U306" s="175" t="n">
        <x:v>0</x:v>
      </x:c>
      <x:c r="V306" s="175" t="n">
        <x:f>SUM(S306:U306)</x:f>
        <x:v>0</x:v>
      </x:c>
      <x:c r="W306" s="108" t="str">
        <x:v>https://fantasy.espn.com/football/leaders?leagueId=555583&amp;lineupSlot=17&amp;scoringPeriodId=0&amp;statSplit=lastSeason</x:v>
      </x:c>
    </x:row>
    <x:row r="307">
      <x:c r="A307" s="108" t="str">
        <x:v>K</x:v>
      </x:c>
      <x:c r="B307" s="175" t="n">
        <x:f>1+COUNTIFS($A$4:$A$356,A307,$J$4:$J$356,"&gt;"&amp;J307)</x:f>
        <x:v>28</x:v>
      </x:c>
      <x:c r="C307" s="175" t="n">
        <x:v>53</x:v>
      </x:c>
      <x:c r="D307" s="108" t="str">
        <x:v>Brett Maher</x:v>
      </x:c>
      <x:c r="E307" s="108" t="str">
        <x:v>FA</x:v>
      </x:c>
      <x:c r="F307" s="108" t="str">
        <x:v>FA</x:v>
      </x:c>
      <x:c r="G307" s="109" t="n">
        <x:v>0</x:v>
      </x:c>
      <x:c r="H307" s="109" t="n">
        <x:f>'Weekly Points'!W307</x:f>
        <x:v>0</x:v>
      </x:c>
      <x:c r="I307" s="109" t="n">
        <x:f>'Weekly Points'!X307</x:f>
        <x:v>0</x:v>
      </x:c>
      <x:c r="J307" s="109" t="n">
        <x:f>'Weekly Points'!Y307</x:f>
        <x:v>0</x:v>
      </x:c>
      <x:c r="K307" s="109" t="n">
        <x:f>'Weekly Points'!Z307</x:f>
        <x:v>0</x:v>
      </x:c>
      <x:c r="L307" s="173" t="str">
        <x:f>'Weekly Points'!AA307</x:f>
      </x:c>
      <x:c r="M307" s="173" t="n">
        <x:f>'Weekly Points'!AB307</x:f>
        <x:v>0</x:v>
      </x:c>
      <x:c r="N307" s="109" t="n">
        <x:f>0.5*J307+0.3*I307+0.2*H307</x:f>
        <x:v>0</x:v>
      </x:c>
      <x:c r="O307" s="175" t="n">
        <x:v>0</x:v>
      </x:c>
      <x:c r="P307" s="175" t="n">
        <x:v>0</x:v>
      </x:c>
      <x:c r="Q307" s="175" t="n">
        <x:v>0</x:v>
      </x:c>
      <x:c r="R307" s="175" t="n">
        <x:v>0</x:v>
      </x:c>
      <x:c r="S307" s="175" t="n">
        <x:v>0</x:v>
      </x:c>
      <x:c r="T307" s="175" t="n">
        <x:v>0</x:v>
      </x:c>
      <x:c r="U307" s="175" t="n">
        <x:v>0</x:v>
      </x:c>
      <x:c r="V307" s="175" t="n">
        <x:f>SUM(S307:U307)</x:f>
        <x:v>0</x:v>
      </x:c>
      <x:c r="W307" s="108" t="str">
        <x:v>https://fantasy.espn.com/football/leaders?leagueId=555583&amp;lineupSlot=17&amp;scoringPeriodId=0&amp;statSplit=lastSeason</x:v>
      </x:c>
    </x:row>
    <x:row r="308">
      <x:c r="A308" s="108" t="str">
        <x:v>K</x:v>
      </x:c>
      <x:c r="B308" s="175" t="n">
        <x:f>1+COUNTIFS($A$4:$A$356,A308,$J$4:$J$356,"&gt;"&amp;J308)</x:f>
        <x:v>28</x:v>
      </x:c>
      <x:c r="C308" s="175" t="n">
        <x:v>61</x:v>
      </x:c>
      <x:c r="D308" s="108" t="str">
        <x:v>Cade York</x:v>
      </x:c>
      <x:c r="E308" s="108" t="str">
        <x:v>FA</x:v>
      </x:c>
      <x:c r="F308" s="108" t="str">
        <x:v>FA</x:v>
      </x:c>
      <x:c r="G308" s="109" t="n">
        <x:v>0</x:v>
      </x:c>
      <x:c r="H308" s="109" t="n">
        <x:f>'Weekly Points'!W308</x:f>
        <x:v>0</x:v>
      </x:c>
      <x:c r="I308" s="109" t="n">
        <x:f>'Weekly Points'!X308</x:f>
        <x:v>0</x:v>
      </x:c>
      <x:c r="J308" s="109" t="n">
        <x:f>'Weekly Points'!Y308</x:f>
        <x:v>0</x:v>
      </x:c>
      <x:c r="K308" s="109" t="n">
        <x:f>'Weekly Points'!Z308</x:f>
        <x:v>0</x:v>
      </x:c>
      <x:c r="L308" s="173" t="str">
        <x:f>'Weekly Points'!AA308</x:f>
      </x:c>
      <x:c r="M308" s="173" t="n">
        <x:f>'Weekly Points'!AB308</x:f>
        <x:v>0</x:v>
      </x:c>
      <x:c r="N308" s="109" t="n">
        <x:f>0.5*J308+0.3*I308+0.2*H308</x:f>
        <x:v>0</x:v>
      </x:c>
      <x:c r="O308" s="175" t="n">
        <x:v>0</x:v>
      </x:c>
      <x:c r="P308" s="175" t="n">
        <x:v>0</x:v>
      </x:c>
      <x:c r="Q308" s="175" t="n">
        <x:v>0</x:v>
      </x:c>
      <x:c r="R308" s="175" t="n">
        <x:v>0</x:v>
      </x:c>
      <x:c r="S308" s="175" t="n">
        <x:v>0</x:v>
      </x:c>
      <x:c r="T308" s="175" t="n">
        <x:v>0</x:v>
      </x:c>
      <x:c r="U308" s="175" t="n">
        <x:v>0</x:v>
      </x:c>
      <x:c r="V308" s="175" t="n">
        <x:f>SUM(S308:U308)</x:f>
        <x:v>0</x:v>
      </x:c>
      <x:c r="W308" s="108" t="str">
        <x:v>https://fantasy.espn.com/football/leaders?leagueId=555583&amp;lineupSlot=17&amp;scoringPeriodId=0&amp;statSplit=lastSeason</x:v>
      </x:c>
    </x:row>
    <x:row r="309">
      <x:c r="A309" s="108" t="str">
        <x:v>K</x:v>
      </x:c>
      <x:c r="B309" s="175" t="n">
        <x:f>1+COUNTIFS($A$4:$A$356,A309,$J$4:$J$356,"&gt;"&amp;J309)</x:f>
        <x:v>28</x:v>
      </x:c>
      <x:c r="C309" s="175" t="n">
        <x:v>49</x:v>
      </x:c>
      <x:c r="D309" s="108" t="str">
        <x:v>Caden Davis</x:v>
      </x:c>
      <x:c r="E309" s="108" t="str">
        <x:v>FA</x:v>
      </x:c>
      <x:c r="F309" s="108" t="str">
        <x:v>FA</x:v>
      </x:c>
      <x:c r="G309" s="109" t="n">
        <x:v>0</x:v>
      </x:c>
      <x:c r="H309" s="109" t="n">
        <x:f>'Weekly Points'!W309</x:f>
        <x:v>0</x:v>
      </x:c>
      <x:c r="I309" s="109" t="n">
        <x:f>'Weekly Points'!X309</x:f>
        <x:v>0</x:v>
      </x:c>
      <x:c r="J309" s="109" t="n">
        <x:f>'Weekly Points'!Y309</x:f>
        <x:v>0</x:v>
      </x:c>
      <x:c r="K309" s="109" t="n">
        <x:f>'Weekly Points'!Z309</x:f>
        <x:v>0</x:v>
      </x:c>
      <x:c r="L309" s="173" t="str">
        <x:f>'Weekly Points'!AA309</x:f>
      </x:c>
      <x:c r="M309" s="173" t="n">
        <x:f>'Weekly Points'!AB309</x:f>
        <x:v>0</x:v>
      </x:c>
      <x:c r="N309" s="109" t="n">
        <x:f>0.5*J309+0.3*I309+0.2*H309</x:f>
        <x:v>0</x:v>
      </x:c>
      <x:c r="O309" s="175" t="n">
        <x:v>0</x:v>
      </x:c>
      <x:c r="P309" s="175" t="n">
        <x:v>0</x:v>
      </x:c>
      <x:c r="Q309" s="175" t="n">
        <x:v>0</x:v>
      </x:c>
      <x:c r="R309" s="175" t="n">
        <x:v>0</x:v>
      </x:c>
      <x:c r="S309" s="175" t="n">
        <x:v>0</x:v>
      </x:c>
      <x:c r="T309" s="175" t="n">
        <x:v>0</x:v>
      </x:c>
      <x:c r="U309" s="175" t="n">
        <x:v>0</x:v>
      </x:c>
      <x:c r="V309" s="175" t="n">
        <x:f>SUM(S309:U309)</x:f>
        <x:v>0</x:v>
      </x:c>
      <x:c r="W309" s="108" t="str">
        <x:v>https://fantasy.espn.com/football/leaders?leagueId=555583&amp;lineupSlot=17&amp;scoringPeriodId=0&amp;statSplit=lastSeason</x:v>
      </x:c>
    </x:row>
    <x:row r="310">
      <x:c r="A310" s="108" t="str">
        <x:v>K</x:v>
      </x:c>
      <x:c r="B310" s="175" t="n">
        <x:f>1+COUNTIFS($A$4:$A$356,A310,$J$4:$J$356,"&gt;"&amp;J310)</x:f>
        <x:v>28</x:v>
      </x:c>
      <x:c r="C310" s="175" t="n">
        <x:v>46</x:v>
      </x:c>
      <x:c r="D310" s="108" t="str">
        <x:v>Caleb Shudak</x:v>
      </x:c>
      <x:c r="E310" s="108" t="str">
        <x:v>FA</x:v>
      </x:c>
      <x:c r="F310" s="108" t="str">
        <x:v>FA</x:v>
      </x:c>
      <x:c r="G310" s="109" t="n">
        <x:v>0</x:v>
      </x:c>
      <x:c r="H310" s="109" t="n">
        <x:f>'Weekly Points'!W310</x:f>
        <x:v>0</x:v>
      </x:c>
      <x:c r="I310" s="109" t="n">
        <x:f>'Weekly Points'!X310</x:f>
        <x:v>0</x:v>
      </x:c>
      <x:c r="J310" s="109" t="n">
        <x:f>'Weekly Points'!Y310</x:f>
        <x:v>0</x:v>
      </x:c>
      <x:c r="K310" s="109" t="n">
        <x:f>'Weekly Points'!Z310</x:f>
        <x:v>0</x:v>
      </x:c>
      <x:c r="L310" s="173" t="str">
        <x:f>'Weekly Points'!AA310</x:f>
      </x:c>
      <x:c r="M310" s="173" t="n">
        <x:f>'Weekly Points'!AB310</x:f>
        <x:v>0</x:v>
      </x:c>
      <x:c r="N310" s="109" t="n">
        <x:f>0.5*J310+0.3*I310+0.2*H310</x:f>
        <x:v>0</x:v>
      </x:c>
      <x:c r="O310" s="175" t="n">
        <x:v>0</x:v>
      </x:c>
      <x:c r="P310" s="175" t="n">
        <x:v>0</x:v>
      </x:c>
      <x:c r="Q310" s="175" t="n">
        <x:v>0</x:v>
      </x:c>
      <x:c r="R310" s="175" t="n">
        <x:v>0</x:v>
      </x:c>
      <x:c r="S310" s="175" t="n">
        <x:v>0</x:v>
      </x:c>
      <x:c r="T310" s="175" t="n">
        <x:v>0</x:v>
      </x:c>
      <x:c r="U310" s="175" t="n">
        <x:v>0</x:v>
      </x:c>
      <x:c r="V310" s="175" t="n">
        <x:f>SUM(S310:U310)</x:f>
        <x:v>0</x:v>
      </x:c>
      <x:c r="W310" s="108" t="str">
        <x:v>https://fantasy.espn.com/football/leaders?leagueId=555583&amp;lineupSlot=17&amp;scoringPeriodId=0&amp;statSplit=lastSeason</x:v>
      </x:c>
    </x:row>
    <x:row r="311">
      <x:c r="A311" s="108" t="str">
        <x:v>K</x:v>
      </x:c>
      <x:c r="B311" s="175" t="n">
        <x:f>1+COUNTIFS($A$4:$A$356,A311,$J$4:$J$356,"&gt;"&amp;J311)</x:f>
        <x:v>28</x:v>
      </x:c>
      <x:c r="C311" s="175" t="n">
        <x:v>45</x:v>
      </x:c>
      <x:c r="D311" s="108" t="str">
        <x:v>Christopher Dunn</x:v>
      </x:c>
      <x:c r="E311" s="108" t="str">
        <x:v>FA</x:v>
      </x:c>
      <x:c r="F311" s="108" t="str">
        <x:v>FA</x:v>
      </x:c>
      <x:c r="G311" s="109" t="n">
        <x:v>0</x:v>
      </x:c>
      <x:c r="H311" s="109" t="n">
        <x:f>'Weekly Points'!W311</x:f>
        <x:v>0</x:v>
      </x:c>
      <x:c r="I311" s="109" t="n">
        <x:f>'Weekly Points'!X311</x:f>
        <x:v>0</x:v>
      </x:c>
      <x:c r="J311" s="109" t="n">
        <x:f>'Weekly Points'!Y311</x:f>
        <x:v>0</x:v>
      </x:c>
      <x:c r="K311" s="109" t="n">
        <x:f>'Weekly Points'!Z311</x:f>
        <x:v>0</x:v>
      </x:c>
      <x:c r="L311" s="173" t="str">
        <x:f>'Weekly Points'!AA311</x:f>
      </x:c>
      <x:c r="M311" s="173" t="n">
        <x:f>'Weekly Points'!AB311</x:f>
        <x:v>0</x:v>
      </x:c>
      <x:c r="N311" s="109" t="n">
        <x:f>0.5*J311+0.3*I311+0.2*H311</x:f>
        <x:v>0</x:v>
      </x:c>
      <x:c r="O311" s="175" t="n">
        <x:v>0</x:v>
      </x:c>
      <x:c r="P311" s="175" t="n">
        <x:v>0</x:v>
      </x:c>
      <x:c r="Q311" s="175" t="n">
        <x:v>0</x:v>
      </x:c>
      <x:c r="R311" s="175" t="n">
        <x:v>0</x:v>
      </x:c>
      <x:c r="S311" s="175" t="n">
        <x:v>0</x:v>
      </x:c>
      <x:c r="T311" s="175" t="n">
        <x:v>0</x:v>
      </x:c>
      <x:c r="U311" s="175" t="n">
        <x:v>0</x:v>
      </x:c>
      <x:c r="V311" s="175" t="n">
        <x:f>SUM(S311:U311)</x:f>
        <x:v>0</x:v>
      </x:c>
      <x:c r="W311" s="108" t="str">
        <x:v>https://fantasy.espn.com/football/leaders?leagueId=555583&amp;lineupSlot=17&amp;scoringPeriodId=0&amp;statSplit=lastSeason</x:v>
      </x:c>
    </x:row>
    <x:row r="312">
      <x:c r="A312" s="108" t="str">
        <x:v>K</x:v>
      </x:c>
      <x:c r="B312" s="175" t="n">
        <x:f>1+COUNTIFS($A$4:$A$356,A312,$J$4:$J$356,"&gt;"&amp;J312)</x:f>
        <x:v>28</x:v>
      </x:c>
      <x:c r="C312" s="175" t="n">
        <x:v>47</x:v>
      </x:c>
      <x:c r="D312" s="108" t="str">
        <x:v>Dustin Hopkins</x:v>
      </x:c>
      <x:c r="E312" s="108" t="str">
        <x:v>FA</x:v>
      </x:c>
      <x:c r="F312" s="108" t="str">
        <x:v>FA</x:v>
      </x:c>
      <x:c r="G312" s="109" t="n">
        <x:v>0</x:v>
      </x:c>
      <x:c r="H312" s="109" t="n">
        <x:f>'Weekly Points'!W312</x:f>
        <x:v>0</x:v>
      </x:c>
      <x:c r="I312" s="109" t="n">
        <x:f>'Weekly Points'!X312</x:f>
        <x:v>0</x:v>
      </x:c>
      <x:c r="J312" s="109" t="n">
        <x:f>'Weekly Points'!Y312</x:f>
        <x:v>0</x:v>
      </x:c>
      <x:c r="K312" s="109" t="n">
        <x:f>'Weekly Points'!Z312</x:f>
        <x:v>0</x:v>
      </x:c>
      <x:c r="L312" s="173" t="str">
        <x:f>'Weekly Points'!AA312</x:f>
      </x:c>
      <x:c r="M312" s="173" t="n">
        <x:f>'Weekly Points'!AB312</x:f>
        <x:v>0</x:v>
      </x:c>
      <x:c r="N312" s="109" t="n">
        <x:f>0.5*J312+0.3*I312+0.2*H312</x:f>
        <x:v>0</x:v>
      </x:c>
      <x:c r="O312" s="175" t="n">
        <x:v>0</x:v>
      </x:c>
      <x:c r="P312" s="175" t="n">
        <x:v>0</x:v>
      </x:c>
      <x:c r="Q312" s="175" t="n">
        <x:v>0</x:v>
      </x:c>
      <x:c r="R312" s="175" t="n">
        <x:v>0</x:v>
      </x:c>
      <x:c r="S312" s="175" t="n">
        <x:v>0</x:v>
      </x:c>
      <x:c r="T312" s="175" t="n">
        <x:v>0</x:v>
      </x:c>
      <x:c r="U312" s="175" t="n">
        <x:v>0</x:v>
      </x:c>
      <x:c r="V312" s="175" t="n">
        <x:f>SUM(S312:U312)</x:f>
        <x:v>0</x:v>
      </x:c>
      <x:c r="W312" s="108" t="str">
        <x:v>https://fantasy.espn.com/football/leaders?leagueId=555583&amp;lineupSlot=17&amp;scoringPeriodId=0&amp;statSplit=lastSeason</x:v>
      </x:c>
    </x:row>
    <x:row r="313">
      <x:c r="A313" s="108" t="str">
        <x:v>K</x:v>
      </x:c>
      <x:c r="B313" s="175" t="n">
        <x:f>1+COUNTIFS($A$4:$A$356,A313,$J$4:$J$356,"&gt;"&amp;J313)</x:f>
        <x:v>28</x:v>
      </x:c>
      <x:c r="C313" s="175" t="n">
        <x:v>56</x:v>
      </x:c>
      <x:c r="D313" s="108" t="str">
        <x:v>Greg Joseph</x:v>
      </x:c>
      <x:c r="E313" s="108" t="str">
        <x:v>FA</x:v>
      </x:c>
      <x:c r="F313" s="108" t="str">
        <x:v>FA</x:v>
      </x:c>
      <x:c r="G313" s="109" t="n">
        <x:v>0</x:v>
      </x:c>
      <x:c r="H313" s="109" t="n">
        <x:f>'Weekly Points'!W313</x:f>
        <x:v>0</x:v>
      </x:c>
      <x:c r="I313" s="109" t="n">
        <x:f>'Weekly Points'!X313</x:f>
        <x:v>0</x:v>
      </x:c>
      <x:c r="J313" s="109" t="n">
        <x:f>'Weekly Points'!Y313</x:f>
        <x:v>0</x:v>
      </x:c>
      <x:c r="K313" s="109" t="n">
        <x:f>'Weekly Points'!Z313</x:f>
        <x:v>0</x:v>
      </x:c>
      <x:c r="L313" s="173" t="str">
        <x:f>'Weekly Points'!AA313</x:f>
      </x:c>
      <x:c r="M313" s="173" t="n">
        <x:f>'Weekly Points'!AB313</x:f>
        <x:v>0</x:v>
      </x:c>
      <x:c r="N313" s="109" t="n">
        <x:f>0.5*J313+0.3*I313+0.2*H313</x:f>
        <x:v>0</x:v>
      </x:c>
      <x:c r="O313" s="175" t="n">
        <x:v>0</x:v>
      </x:c>
      <x:c r="P313" s="175" t="n">
        <x:v>0</x:v>
      </x:c>
      <x:c r="Q313" s="175" t="n">
        <x:v>0</x:v>
      </x:c>
      <x:c r="R313" s="175" t="n">
        <x:v>0</x:v>
      </x:c>
      <x:c r="S313" s="175" t="n">
        <x:v>0</x:v>
      </x:c>
      <x:c r="T313" s="175" t="n">
        <x:v>0</x:v>
      </x:c>
      <x:c r="U313" s="175" t="n">
        <x:v>0</x:v>
      </x:c>
      <x:c r="V313" s="175" t="n">
        <x:f>SUM(S313:U313)</x:f>
        <x:v>0</x:v>
      </x:c>
      <x:c r="W313" s="108" t="str">
        <x:v>https://fantasy.espn.com/football/leaders?leagueId=555583&amp;lineupSlot=17&amp;scoringPeriodId=0&amp;statSplit=lastSeason</x:v>
      </x:c>
    </x:row>
    <x:row r="314">
      <x:c r="A314" s="108" t="str">
        <x:v>K</x:v>
      </x:c>
      <x:c r="B314" s="175" t="n">
        <x:f>1+COUNTIFS($A$4:$A$356,A314,$J$4:$J$356,"&gt;"&amp;J314)</x:f>
        <x:v>28</x:v>
      </x:c>
      <x:c r="C314" s="175" t="n">
        <x:v>57</x:v>
      </x:c>
      <x:c r="D314" s="108" t="str">
        <x:v>Greg Zuerlein</x:v>
      </x:c>
      <x:c r="E314" s="108" t="str">
        <x:v>FA</x:v>
      </x:c>
      <x:c r="F314" s="108" t="str">
        <x:v>FA</x:v>
      </x:c>
      <x:c r="G314" s="109" t="n">
        <x:v>0</x:v>
      </x:c>
      <x:c r="H314" s="109" t="n">
        <x:f>'Weekly Points'!W314</x:f>
        <x:v>0</x:v>
      </x:c>
      <x:c r="I314" s="109" t="n">
        <x:f>'Weekly Points'!X314</x:f>
        <x:v>0</x:v>
      </x:c>
      <x:c r="J314" s="109" t="n">
        <x:f>'Weekly Points'!Y314</x:f>
        <x:v>0</x:v>
      </x:c>
      <x:c r="K314" s="109" t="n">
        <x:f>'Weekly Points'!Z314</x:f>
        <x:v>0</x:v>
      </x:c>
      <x:c r="L314" s="173" t="str">
        <x:f>'Weekly Points'!AA314</x:f>
      </x:c>
      <x:c r="M314" s="173" t="n">
        <x:f>'Weekly Points'!AB314</x:f>
        <x:v>0</x:v>
      </x:c>
      <x:c r="N314" s="109" t="n">
        <x:f>0.5*J314+0.3*I314+0.2*H314</x:f>
        <x:v>0</x:v>
      </x:c>
      <x:c r="O314" s="175" t="n">
        <x:v>0</x:v>
      </x:c>
      <x:c r="P314" s="175" t="n">
        <x:v>0</x:v>
      </x:c>
      <x:c r="Q314" s="175" t="n">
        <x:v>0</x:v>
      </x:c>
      <x:c r="R314" s="175" t="n">
        <x:v>0</x:v>
      </x:c>
      <x:c r="S314" s="175" t="n">
        <x:v>0</x:v>
      </x:c>
      <x:c r="T314" s="175" t="n">
        <x:v>0</x:v>
      </x:c>
      <x:c r="U314" s="175" t="n">
        <x:v>0</x:v>
      </x:c>
      <x:c r="V314" s="175" t="n">
        <x:f>SUM(S314:U314)</x:f>
        <x:v>0</x:v>
      </x:c>
      <x:c r="W314" s="108" t="str">
        <x:v>https://fantasy.espn.com/football/leaders?leagueId=555583&amp;lineupSlot=17&amp;scoringPeriodId=0&amp;statSplit=lastSeason</x:v>
      </x:c>
    </x:row>
    <x:row r="315">
      <x:c r="A315" s="108" t="str">
        <x:v>K</x:v>
      </x:c>
      <x:c r="B315" s="175" t="n">
        <x:f>1+COUNTIFS($A$4:$A$356,A315,$J$4:$J$356,"&gt;"&amp;J315)</x:f>
        <x:v>28</x:v>
      </x:c>
      <x:c r="C315" s="175" t="n">
        <x:v>63</x:v>
      </x:c>
      <x:c r="D315" s="108" t="str">
        <x:v>James McCourt</x:v>
      </x:c>
      <x:c r="E315" s="108" t="str">
        <x:v>FA</x:v>
      </x:c>
      <x:c r="F315" s="108" t="str">
        <x:v>FA</x:v>
      </x:c>
      <x:c r="G315" s="109" t="n">
        <x:v>0</x:v>
      </x:c>
      <x:c r="H315" s="109" t="n">
        <x:f>'Weekly Points'!W315</x:f>
        <x:v>0</x:v>
      </x:c>
      <x:c r="I315" s="109" t="n">
        <x:f>'Weekly Points'!X315</x:f>
        <x:v>0</x:v>
      </x:c>
      <x:c r="J315" s="109" t="n">
        <x:f>'Weekly Points'!Y315</x:f>
        <x:v>0</x:v>
      </x:c>
      <x:c r="K315" s="109" t="n">
        <x:f>'Weekly Points'!Z315</x:f>
        <x:v>0</x:v>
      </x:c>
      <x:c r="L315" s="173" t="str">
        <x:f>'Weekly Points'!AA315</x:f>
      </x:c>
      <x:c r="M315" s="173" t="n">
        <x:f>'Weekly Points'!AB315</x:f>
        <x:v>0</x:v>
      </x:c>
      <x:c r="N315" s="109" t="n">
        <x:f>0.5*J315+0.3*I315+0.2*H315</x:f>
        <x:v>0</x:v>
      </x:c>
      <x:c r="O315" s="175" t="n">
        <x:v>0</x:v>
      </x:c>
      <x:c r="P315" s="175" t="n">
        <x:v>0</x:v>
      </x:c>
      <x:c r="Q315" s="175" t="n">
        <x:v>0</x:v>
      </x:c>
      <x:c r="R315" s="175" t="n">
        <x:v>0</x:v>
      </x:c>
      <x:c r="S315" s="175" t="n">
        <x:v>0</x:v>
      </x:c>
      <x:c r="T315" s="175" t="n">
        <x:v>0</x:v>
      </x:c>
      <x:c r="U315" s="175" t="n">
        <x:v>0</x:v>
      </x:c>
      <x:c r="V315" s="175" t="n">
        <x:f>SUM(S315:U315)</x:f>
        <x:v>0</x:v>
      </x:c>
      <x:c r="W315" s="108" t="str">
        <x:v>https://fantasy.espn.com/football/leaders?leagueId=555583&amp;lineupSlot=17&amp;scoringPeriodId=0&amp;statSplit=lastSeason</x:v>
      </x:c>
    </x:row>
    <x:row r="316">
      <x:c r="A316" s="108" t="str">
        <x:v>K</x:v>
      </x:c>
      <x:c r="B316" s="175" t="n">
        <x:f>1+COUNTIFS($A$4:$A$356,A316,$J$4:$J$356,"&gt;"&amp;J316)</x:f>
        <x:v>28</x:v>
      </x:c>
      <x:c r="C316" s="175" t="n">
        <x:v>43</x:v>
      </x:c>
      <x:c r="D316" s="108" t="str">
        <x:v>Jason Sanders</x:v>
      </x:c>
      <x:c r="E316" s="108" t="str">
        <x:v>MIA</x:v>
      </x:c>
      <x:c r="F316" s="108" t="str">
        <x:v>MIA</x:v>
      </x:c>
      <x:c r="G316" s="109" t="n">
        <x:v>0</x:v>
      </x:c>
      <x:c r="H316" s="109" t="n">
        <x:f>'Weekly Points'!W316</x:f>
        <x:v>0</x:v>
      </x:c>
      <x:c r="I316" s="109" t="n">
        <x:f>'Weekly Points'!X316</x:f>
        <x:v>0</x:v>
      </x:c>
      <x:c r="J316" s="109" t="n">
        <x:f>'Weekly Points'!Y316</x:f>
        <x:v>0</x:v>
      </x:c>
      <x:c r="K316" s="109" t="n">
        <x:f>'Weekly Points'!Z316</x:f>
        <x:v>0</x:v>
      </x:c>
      <x:c r="L316" s="173" t="str">
        <x:f>'Weekly Points'!AA316</x:f>
      </x:c>
      <x:c r="M316" s="173" t="n">
        <x:f>'Weekly Points'!AB316</x:f>
        <x:v>0</x:v>
      </x:c>
      <x:c r="N316" s="109" t="n">
        <x:f>0.5*J316+0.3*I316+0.2*H316</x:f>
        <x:v>0</x:v>
      </x:c>
      <x:c r="O316" s="175" t="n">
        <x:v>0</x:v>
      </x:c>
      <x:c r="P316" s="175" t="n">
        <x:v>12</x:v>
      </x:c>
      <x:c r="Q316" s="175" t="n">
        <x:v>0</x:v>
      </x:c>
      <x:c r="R316" s="175" t="n">
        <x:v>0</x:v>
      </x:c>
      <x:c r="S316" s="175" t="n">
        <x:v>0</x:v>
      </x:c>
      <x:c r="T316" s="175" t="n">
        <x:v>0</x:v>
      </x:c>
      <x:c r="U316" s="175" t="n">
        <x:v>0</x:v>
      </x:c>
      <x:c r="V316" s="175" t="n">
        <x:f>SUM(S316:U316)</x:f>
        <x:v>0</x:v>
      </x:c>
      <x:c r="W316" s="108" t="str">
        <x:v>https://fantasy.espn.com/football/leaders?leagueId=555583&amp;lineupSlot=17&amp;scoringPeriodId=0&amp;statSplit=lastSeason</x:v>
      </x:c>
    </x:row>
    <x:row r="317">
      <x:c r="A317" s="108" t="str">
        <x:v>K</x:v>
      </x:c>
      <x:c r="B317" s="175" t="n">
        <x:f>1+COUNTIFS($A$4:$A$356,A317,$J$4:$J$356,"&gt;"&amp;J317)</x:f>
        <x:v>28</x:v>
      </x:c>
      <x:c r="C317" s="175" t="n">
        <x:v>54</x:v>
      </x:c>
      <x:c r="D317" s="108" t="str">
        <x:v>Jonathan Garibay</x:v>
      </x:c>
      <x:c r="E317" s="108" t="str">
        <x:v>FA</x:v>
      </x:c>
      <x:c r="F317" s="108" t="str">
        <x:v>FA</x:v>
      </x:c>
      <x:c r="G317" s="109" t="n">
        <x:v>0</x:v>
      </x:c>
      <x:c r="H317" s="109" t="n">
        <x:f>'Weekly Points'!W317</x:f>
        <x:v>0</x:v>
      </x:c>
      <x:c r="I317" s="109" t="n">
        <x:f>'Weekly Points'!X317</x:f>
        <x:v>0</x:v>
      </x:c>
      <x:c r="J317" s="109" t="n">
        <x:f>'Weekly Points'!Y317</x:f>
        <x:v>0</x:v>
      </x:c>
      <x:c r="K317" s="109" t="n">
        <x:f>'Weekly Points'!Z317</x:f>
        <x:v>0</x:v>
      </x:c>
      <x:c r="L317" s="173" t="str">
        <x:f>'Weekly Points'!AA317</x:f>
      </x:c>
      <x:c r="M317" s="173" t="n">
        <x:f>'Weekly Points'!AB317</x:f>
        <x:v>0</x:v>
      </x:c>
      <x:c r="N317" s="109" t="n">
        <x:f>0.5*J317+0.3*I317+0.2*H317</x:f>
        <x:v>0</x:v>
      </x:c>
      <x:c r="O317" s="175" t="n">
        <x:v>0</x:v>
      </x:c>
      <x:c r="P317" s="175" t="n">
        <x:v>0</x:v>
      </x:c>
      <x:c r="Q317" s="175" t="n">
        <x:v>0</x:v>
      </x:c>
      <x:c r="R317" s="175" t="n">
        <x:v>0</x:v>
      </x:c>
      <x:c r="S317" s="175" t="n">
        <x:v>0</x:v>
      </x:c>
      <x:c r="T317" s="175" t="n">
        <x:v>0</x:v>
      </x:c>
      <x:c r="U317" s="175" t="n">
        <x:v>0</x:v>
      </x:c>
      <x:c r="V317" s="175" t="n">
        <x:f>SUM(S317:U317)</x:f>
        <x:v>0</x:v>
      </x:c>
      <x:c r="W317" s="108" t="str">
        <x:v>https://fantasy.espn.com/football/leaders?leagueId=555583&amp;lineupSlot=17&amp;scoringPeriodId=0&amp;statSplit=lastSeason</x:v>
      </x:c>
    </x:row>
    <x:row r="318">
      <x:c r="A318" s="108" t="str">
        <x:v>K</x:v>
      </x:c>
      <x:c r="B318" s="175" t="n">
        <x:f>1+COUNTIFS($A$4:$A$356,A318,$J$4:$J$356,"&gt;"&amp;J318)</x:f>
        <x:v>28</x:v>
      </x:c>
      <x:c r="C318" s="175" t="n">
        <x:v>62</x:v>
      </x:c>
      <x:c r="D318" s="108" t="str">
        <x:v>Justin Tucker</x:v>
      </x:c>
      <x:c r="E318" s="108" t="str">
        <x:v>FA</x:v>
      </x:c>
      <x:c r="F318" s="108" t="str">
        <x:v>FA</x:v>
      </x:c>
      <x:c r="G318" s="109" t="n">
        <x:v>0</x:v>
      </x:c>
      <x:c r="H318" s="109" t="n">
        <x:f>'Weekly Points'!W318</x:f>
        <x:v>0</x:v>
      </x:c>
      <x:c r="I318" s="109" t="n">
        <x:f>'Weekly Points'!X318</x:f>
        <x:v>0</x:v>
      </x:c>
      <x:c r="J318" s="109" t="n">
        <x:f>'Weekly Points'!Y318</x:f>
        <x:v>0</x:v>
      </x:c>
      <x:c r="K318" s="109" t="n">
        <x:f>'Weekly Points'!Z318</x:f>
        <x:v>0</x:v>
      </x:c>
      <x:c r="L318" s="173" t="str">
        <x:f>'Weekly Points'!AA318</x:f>
      </x:c>
      <x:c r="M318" s="173" t="n">
        <x:f>'Weekly Points'!AB318</x:f>
        <x:v>0</x:v>
      </x:c>
      <x:c r="N318" s="109" t="n">
        <x:f>0.5*J318+0.3*I318+0.2*H318</x:f>
        <x:v>0</x:v>
      </x:c>
      <x:c r="O318" s="175" t="n">
        <x:v>0</x:v>
      </x:c>
      <x:c r="P318" s="175" t="n">
        <x:v>0</x:v>
      </x:c>
      <x:c r="Q318" s="175" t="n">
        <x:v>0</x:v>
      </x:c>
      <x:c r="R318" s="175" t="n">
        <x:v>0</x:v>
      </x:c>
      <x:c r="S318" s="175" t="n">
        <x:v>0</x:v>
      </x:c>
      <x:c r="T318" s="175" t="n">
        <x:v>0</x:v>
      </x:c>
      <x:c r="U318" s="175" t="n">
        <x:v>0</x:v>
      </x:c>
      <x:c r="V318" s="175" t="n">
        <x:f>SUM(S318:U318)</x:f>
        <x:v>0</x:v>
      </x:c>
      <x:c r="W318" s="108" t="str">
        <x:v>https://fantasy.espn.com/football/leaders?leagueId=555583&amp;lineupSlot=17&amp;scoringPeriodId=0&amp;statSplit=lastSeason</x:v>
      </x:c>
    </x:row>
    <x:row r="319">
      <x:c r="A319" s="108" t="str">
        <x:v>K</x:v>
      </x:c>
      <x:c r="B319" s="175" t="n">
        <x:f>1+COUNTIFS($A$4:$A$356,A319,$J$4:$J$356,"&gt;"&amp;J319)</x:f>
        <x:v>28</x:v>
      </x:c>
      <x:c r="C319" s="175" t="n">
        <x:v>55</x:v>
      </x:c>
      <x:c r="D319" s="108" t="str">
        <x:v>Mason Crosby</x:v>
      </x:c>
      <x:c r="E319" s="108" t="str">
        <x:v>FA</x:v>
      </x:c>
      <x:c r="F319" s="108" t="str">
        <x:v>FA</x:v>
      </x:c>
      <x:c r="G319" s="109" t="n">
        <x:v>0</x:v>
      </x:c>
      <x:c r="H319" s="109" t="n">
        <x:f>'Weekly Points'!W319</x:f>
        <x:v>0</x:v>
      </x:c>
      <x:c r="I319" s="109" t="n">
        <x:f>'Weekly Points'!X319</x:f>
        <x:v>0</x:v>
      </x:c>
      <x:c r="J319" s="109" t="n">
        <x:f>'Weekly Points'!Y319</x:f>
        <x:v>0</x:v>
      </x:c>
      <x:c r="K319" s="109" t="n">
        <x:f>'Weekly Points'!Z319</x:f>
        <x:v>0</x:v>
      </x:c>
      <x:c r="L319" s="173" t="str">
        <x:f>'Weekly Points'!AA319</x:f>
      </x:c>
      <x:c r="M319" s="173" t="n">
        <x:f>'Weekly Points'!AB319</x:f>
        <x:v>0</x:v>
      </x:c>
      <x:c r="N319" s="109" t="n">
        <x:f>0.5*J319+0.3*I319+0.2*H319</x:f>
        <x:v>0</x:v>
      </x:c>
      <x:c r="O319" s="175" t="n">
        <x:v>0</x:v>
      </x:c>
      <x:c r="P319" s="175" t="n">
        <x:v>0</x:v>
      </x:c>
      <x:c r="Q319" s="175" t="n">
        <x:v>0</x:v>
      </x:c>
      <x:c r="R319" s="175" t="n">
        <x:v>0</x:v>
      </x:c>
      <x:c r="S319" s="175" t="n">
        <x:v>0</x:v>
      </x:c>
      <x:c r="T319" s="175" t="n">
        <x:v>0</x:v>
      </x:c>
      <x:c r="U319" s="175" t="n">
        <x:v>0</x:v>
      </x:c>
      <x:c r="V319" s="175" t="n">
        <x:f>SUM(S319:U319)</x:f>
        <x:v>0</x:v>
      </x:c>
      <x:c r="W319" s="108" t="str">
        <x:v>https://fantasy.espn.com/football/leaders?leagueId=555583&amp;lineupSlot=17&amp;scoringPeriodId=0&amp;statSplit=lastSeason</x:v>
      </x:c>
    </x:row>
    <x:row r="320">
      <x:c r="A320" s="108" t="str">
        <x:v>K</x:v>
      </x:c>
      <x:c r="B320" s="175" t="n">
        <x:f>1+COUNTIFS($A$4:$A$356,A320,$J$4:$J$356,"&gt;"&amp;J320)</x:f>
        <x:v>28</x:v>
      </x:c>
      <x:c r="C320" s="175" t="n">
        <x:v>50</x:v>
      </x:c>
      <x:c r="D320" s="108" t="str">
        <x:v>Matt Ammendola</x:v>
      </x:c>
      <x:c r="E320" s="108" t="str">
        <x:v>FA</x:v>
      </x:c>
      <x:c r="F320" s="108" t="str">
        <x:v>FA</x:v>
      </x:c>
      <x:c r="G320" s="109" t="n">
        <x:v>0</x:v>
      </x:c>
      <x:c r="H320" s="109" t="n">
        <x:f>'Weekly Points'!W320</x:f>
        <x:v>0</x:v>
      </x:c>
      <x:c r="I320" s="109" t="n">
        <x:f>'Weekly Points'!X320</x:f>
        <x:v>0</x:v>
      </x:c>
      <x:c r="J320" s="109" t="n">
        <x:f>'Weekly Points'!Y320</x:f>
        <x:v>0</x:v>
      </x:c>
      <x:c r="K320" s="109" t="n">
        <x:f>'Weekly Points'!Z320</x:f>
        <x:v>0</x:v>
      </x:c>
      <x:c r="L320" s="173" t="str">
        <x:f>'Weekly Points'!AA320</x:f>
      </x:c>
      <x:c r="M320" s="173" t="n">
        <x:f>'Weekly Points'!AB320</x:f>
        <x:v>0</x:v>
      </x:c>
      <x:c r="N320" s="109" t="n">
        <x:f>0.5*J320+0.3*I320+0.2*H320</x:f>
        <x:v>0</x:v>
      </x:c>
      <x:c r="O320" s="175" t="n">
        <x:v>0</x:v>
      </x:c>
      <x:c r="P320" s="175" t="n">
        <x:v>0</x:v>
      </x:c>
      <x:c r="Q320" s="175" t="n">
        <x:v>0</x:v>
      </x:c>
      <x:c r="R320" s="175" t="n">
        <x:v>0</x:v>
      </x:c>
      <x:c r="S320" s="175" t="n">
        <x:v>0</x:v>
      </x:c>
      <x:c r="T320" s="175" t="n">
        <x:v>0</x:v>
      </x:c>
      <x:c r="U320" s="175" t="n">
        <x:v>0</x:v>
      </x:c>
      <x:c r="V320" s="175" t="n">
        <x:f>SUM(S320:U320)</x:f>
        <x:v>0</x:v>
      </x:c>
      <x:c r="W320" s="108" t="str">
        <x:v>https://fantasy.espn.com/football/leaders?leagueId=555583&amp;lineupSlot=17&amp;scoringPeriodId=0&amp;statSplit=lastSeason</x:v>
      </x:c>
    </x:row>
    <x:row r="321">
      <x:c r="A321" s="108" t="str">
        <x:v>K</x:v>
      </x:c>
      <x:c r="B321" s="175" t="n">
        <x:f>1+COUNTIFS($A$4:$A$356,A321,$J$4:$J$356,"&gt;"&amp;J321)</x:f>
        <x:v>28</x:v>
      </x:c>
      <x:c r="C321" s="175" t="n">
        <x:v>51</x:v>
      </x:c>
      <x:c r="D321" s="108" t="str">
        <x:v>Nick Sciba</x:v>
      </x:c>
      <x:c r="E321" s="108" t="str">
        <x:v>FA</x:v>
      </x:c>
      <x:c r="F321" s="108" t="str">
        <x:v>FA</x:v>
      </x:c>
      <x:c r="G321" s="109" t="n">
        <x:v>0</x:v>
      </x:c>
      <x:c r="H321" s="109" t="n">
        <x:f>'Weekly Points'!W321</x:f>
        <x:v>0</x:v>
      </x:c>
      <x:c r="I321" s="109" t="n">
        <x:f>'Weekly Points'!X321</x:f>
        <x:v>0</x:v>
      </x:c>
      <x:c r="J321" s="109" t="n">
        <x:f>'Weekly Points'!Y321</x:f>
        <x:v>0</x:v>
      </x:c>
      <x:c r="K321" s="109" t="n">
        <x:f>'Weekly Points'!Z321</x:f>
        <x:v>0</x:v>
      </x:c>
      <x:c r="L321" s="173" t="str">
        <x:f>'Weekly Points'!AA321</x:f>
      </x:c>
      <x:c r="M321" s="173" t="n">
        <x:f>'Weekly Points'!AB321</x:f>
        <x:v>0</x:v>
      </x:c>
      <x:c r="N321" s="109" t="n">
        <x:f>0.5*J321+0.3*I321+0.2*H321</x:f>
        <x:v>0</x:v>
      </x:c>
      <x:c r="O321" s="175" t="n">
        <x:v>0</x:v>
      </x:c>
      <x:c r="P321" s="175" t="n">
        <x:v>0</x:v>
      </x:c>
      <x:c r="Q321" s="175" t="n">
        <x:v>0</x:v>
      </x:c>
      <x:c r="R321" s="175" t="n">
        <x:v>0</x:v>
      </x:c>
      <x:c r="S321" s="175" t="n">
        <x:v>0</x:v>
      </x:c>
      <x:c r="T321" s="175" t="n">
        <x:v>0</x:v>
      </x:c>
      <x:c r="U321" s="175" t="n">
        <x:v>0</x:v>
      </x:c>
      <x:c r="V321" s="175" t="n">
        <x:f>SUM(S321:U321)</x:f>
        <x:v>0</x:v>
      </x:c>
      <x:c r="W321" s="108" t="str">
        <x:v>https://fantasy.espn.com/football/leaders?leagueId=555583&amp;lineupSlot=17&amp;scoringPeriodId=0&amp;statSplit=lastSeason</x:v>
      </x:c>
    </x:row>
    <x:row r="322">
      <x:c r="A322" s="108" t="str">
        <x:v>K</x:v>
      </x:c>
      <x:c r="B322" s="175" t="n">
        <x:f>1+COUNTIFS($A$4:$A$356,A322,$J$4:$J$356,"&gt;"&amp;J322)</x:f>
        <x:v>28</x:v>
      </x:c>
      <x:c r="C322" s="175" t="n">
        <x:v>59</x:v>
      </x:c>
      <x:c r="D322" s="108" t="str">
        <x:v>Randy Bullock</x:v>
      </x:c>
      <x:c r="E322" s="108" t="str">
        <x:v>FA</x:v>
      </x:c>
      <x:c r="F322" s="108" t="str">
        <x:v>FA</x:v>
      </x:c>
      <x:c r="G322" s="109" t="n">
        <x:v>0</x:v>
      </x:c>
      <x:c r="H322" s="109" t="n">
        <x:f>'Weekly Points'!W322</x:f>
        <x:v>0</x:v>
      </x:c>
      <x:c r="I322" s="109" t="n">
        <x:f>'Weekly Points'!X322</x:f>
        <x:v>0</x:v>
      </x:c>
      <x:c r="J322" s="109" t="n">
        <x:f>'Weekly Points'!Y322</x:f>
        <x:v>0</x:v>
      </x:c>
      <x:c r="K322" s="109" t="n">
        <x:f>'Weekly Points'!Z322</x:f>
        <x:v>0</x:v>
      </x:c>
      <x:c r="L322" s="173" t="str">
        <x:f>'Weekly Points'!AA322</x:f>
      </x:c>
      <x:c r="M322" s="173" t="n">
        <x:f>'Weekly Points'!AB322</x:f>
        <x:v>0</x:v>
      </x:c>
      <x:c r="N322" s="109" t="n">
        <x:f>0.5*J322+0.3*I322+0.2*H322</x:f>
        <x:v>0</x:v>
      </x:c>
      <x:c r="O322" s="175" t="n">
        <x:v>0</x:v>
      </x:c>
      <x:c r="P322" s="175" t="n">
        <x:v>0</x:v>
      </x:c>
      <x:c r="Q322" s="175" t="n">
        <x:v>0</x:v>
      </x:c>
      <x:c r="R322" s="175" t="n">
        <x:v>0</x:v>
      </x:c>
      <x:c r="S322" s="175" t="n">
        <x:v>0</x:v>
      </x:c>
      <x:c r="T322" s="175" t="n">
        <x:v>0</x:v>
      </x:c>
      <x:c r="U322" s="175" t="n">
        <x:v>0</x:v>
      </x:c>
      <x:c r="V322" s="175" t="n">
        <x:f>SUM(S322:U322)</x:f>
        <x:v>0</x:v>
      </x:c>
      <x:c r="W322" s="108" t="str">
        <x:v>https://fantasy.espn.com/football/leaders?leagueId=555583&amp;lineupSlot=17&amp;scoringPeriodId=0&amp;statSplit=lastSeason</x:v>
      </x:c>
    </x:row>
    <x:row r="323">
      <x:c r="A323" s="108" t="str">
        <x:v>K</x:v>
      </x:c>
      <x:c r="B323" s="175" t="n">
        <x:f>1+COUNTIFS($A$4:$A$356,A323,$J$4:$J$356,"&gt;"&amp;J323)</x:f>
        <x:v>28</x:v>
      </x:c>
      <x:c r="C323" s="175" t="n">
        <x:v>58</x:v>
      </x:c>
      <x:c r="D323" s="108" t="str">
        <x:v>Tanner Brown</x:v>
      </x:c>
      <x:c r="E323" s="108" t="str">
        <x:v>FA</x:v>
      </x:c>
      <x:c r="F323" s="108" t="str">
        <x:v>FA</x:v>
      </x:c>
      <x:c r="G323" s="109" t="n">
        <x:v>0</x:v>
      </x:c>
      <x:c r="H323" s="109" t="n">
        <x:f>'Weekly Points'!W323</x:f>
        <x:v>0</x:v>
      </x:c>
      <x:c r="I323" s="109" t="n">
        <x:f>'Weekly Points'!X323</x:f>
        <x:v>0</x:v>
      </x:c>
      <x:c r="J323" s="109" t="n">
        <x:f>'Weekly Points'!Y323</x:f>
        <x:v>0</x:v>
      </x:c>
      <x:c r="K323" s="109" t="n">
        <x:f>'Weekly Points'!Z323</x:f>
        <x:v>0</x:v>
      </x:c>
      <x:c r="L323" s="173" t="str">
        <x:f>'Weekly Points'!AA323</x:f>
      </x:c>
      <x:c r="M323" s="173" t="n">
        <x:f>'Weekly Points'!AB323</x:f>
        <x:v>0</x:v>
      </x:c>
      <x:c r="N323" s="109" t="n">
        <x:f>0.5*J323+0.3*I323+0.2*H323</x:f>
        <x:v>0</x:v>
      </x:c>
      <x:c r="O323" s="175" t="n">
        <x:v>0</x:v>
      </x:c>
      <x:c r="P323" s="175" t="n">
        <x:v>0</x:v>
      </x:c>
      <x:c r="Q323" s="175" t="n">
        <x:v>0</x:v>
      </x:c>
      <x:c r="R323" s="175" t="n">
        <x:v>0</x:v>
      </x:c>
      <x:c r="S323" s="175" t="n">
        <x:v>0</x:v>
      </x:c>
      <x:c r="T323" s="175" t="n">
        <x:v>0</x:v>
      </x:c>
      <x:c r="U323" s="175" t="n">
        <x:v>0</x:v>
      </x:c>
      <x:c r="V323" s="175" t="n">
        <x:f>SUM(S323:U323)</x:f>
        <x:v>0</x:v>
      </x:c>
      <x:c r="W323" s="108" t="str">
        <x:v>https://fantasy.espn.com/football/leaders?leagueId=555583&amp;lineupSlot=17&amp;scoringPeriodId=0&amp;statSplit=lastSeason</x:v>
      </x:c>
    </x:row>
    <x:row r="324">
      <x:c r="A324" s="108" t="str">
        <x:v>K</x:v>
      </x:c>
      <x:c r="B324" s="175" t="n">
        <x:f>1+COUNTIFS($A$4:$A$356,A324,$J$4:$J$356,"&gt;"&amp;J324)</x:f>
        <x:v>28</x:v>
      </x:c>
      <x:c r="C324" s="175" t="n">
        <x:v>44</x:v>
      </x:c>
      <x:c r="D324" s="108" t="str">
        <x:v>Tyler Bass</x:v>
      </x:c>
      <x:c r="E324" s="108" t="str">
        <x:v>BUF</x:v>
      </x:c>
      <x:c r="F324" s="108" t="str">
        <x:v>BUF</x:v>
      </x:c>
      <x:c r="G324" s="109" t="n">
        <x:v>0</x:v>
      </x:c>
      <x:c r="H324" s="109" t="n">
        <x:f>'Weekly Points'!W324</x:f>
        <x:v>0</x:v>
      </x:c>
      <x:c r="I324" s="109" t="n">
        <x:f>'Weekly Points'!X324</x:f>
        <x:v>0</x:v>
      </x:c>
      <x:c r="J324" s="109" t="n">
        <x:f>'Weekly Points'!Y324</x:f>
        <x:v>0</x:v>
      </x:c>
      <x:c r="K324" s="109" t="n">
        <x:f>'Weekly Points'!Z324</x:f>
        <x:v>0</x:v>
      </x:c>
      <x:c r="L324" s="173" t="str">
        <x:f>'Weekly Points'!AA324</x:f>
      </x:c>
      <x:c r="M324" s="173" t="n">
        <x:f>'Weekly Points'!AB324</x:f>
        <x:v>0</x:v>
      </x:c>
      <x:c r="N324" s="109" t="n">
        <x:f>0.5*J324+0.3*I324+0.2*H324</x:f>
        <x:v>0</x:v>
      </x:c>
      <x:c r="O324" s="175" t="n">
        <x:v>0</x:v>
      </x:c>
      <x:c r="P324" s="175" t="n">
        <x:v>7</x:v>
      </x:c>
      <x:c r="Q324" s="175" t="n">
        <x:v>0</x:v>
      </x:c>
      <x:c r="R324" s="175" t="n">
        <x:v>0</x:v>
      </x:c>
      <x:c r="S324" s="175" t="n">
        <x:v>0</x:v>
      </x:c>
      <x:c r="T324" s="175" t="n">
        <x:v>0</x:v>
      </x:c>
      <x:c r="U324" s="175" t="n">
        <x:v>0</x:v>
      </x:c>
      <x:c r="V324" s="175" t="n">
        <x:f>SUM(S324:U324)</x:f>
        <x:v>0</x:v>
      </x:c>
      <x:c r="W324" s="108" t="str">
        <x:v>https://fantasy.espn.com/football/leaders?leagueId=555583&amp;lineupSlot=17&amp;scoringPeriodId=0&amp;statSplit=lastSeason</x:v>
      </x:c>
    </x:row>
    <x:row r="325">
      <x:c r="A325" s="108" t="str">
        <x:v>D/ST</x:v>
      </x:c>
      <x:c r="B325" s="175" t="n">
        <x:f>1+COUNTIFS($A$4:$A$356,A325,$J$4:$J$356,"&gt;"&amp;J325)</x:f>
        <x:v>1</x:v>
      </x:c>
      <x:c r="C325" s="175" t="n">
        <x:v>1</x:v>
      </x:c>
      <x:c r="D325" s="108" t="str">
        <x:v>Seahawks D/ST</x:v>
      </x:c>
      <x:c r="E325" s="108" t="str">
        <x:v>SEA</x:v>
      </x:c>
      <x:c r="F325" s="108" t="str">
        <x:v>SEA</x:v>
      </x:c>
      <x:c r="G325" s="109" t="n">
        <x:v>277</x:v>
      </x:c>
      <x:c r="H325" s="109" t="n">
        <x:f>'Weekly Points'!W325</x:f>
        <x:v>16.294117647058822</x:v>
      </x:c>
      <x:c r="I325" s="109" t="n">
        <x:f>'Weekly Points'!X325</x:f>
        <x:v>15</x:v>
      </x:c>
      <x:c r="J325" s="109" t="n">
        <x:f>'Weekly Points'!Y325</x:f>
        <x:v>11</x:v>
      </x:c>
      <x:c r="K325" s="109" t="n">
        <x:f>'Weekly Points'!Z325</x:f>
        <x:v>8.051413510407407</x:v>
      </x:c>
      <x:c r="L325" s="173" t="n">
        <x:f>'Weekly Points'!AA325</x:f>
        <x:v>0.4941300710358337</x:v>
      </x:c>
      <x:c r="M325" s="173" t="n">
        <x:f>'Weekly Points'!AB325</x:f>
        <x:v>0.11764705882352941</x:v>
      </x:c>
      <x:c r="N325" s="109" t="n">
        <x:f>0.5*J325+0.3*I325+0.2*H325</x:f>
        <x:v>13.258823529411764</x:v>
      </x:c>
      <x:c r="O325" s="175" t="n">
        <x:v>17</x:v>
      </x:c>
      <x:c r="P325" s="175" t="n">
        <x:v>8</x:v>
      </x:c>
      <x:c r="Q325" s="175" t="n">
        <x:v>0</x:v>
      </x:c>
      <x:c r="R325" s="175" t="n">
        <x:v>0</x:v>
      </x:c>
      <x:c r="S325" s="175" t="n">
        <x:v>0</x:v>
      </x:c>
      <x:c r="T325" s="175" t="n">
        <x:v>0</x:v>
      </x:c>
      <x:c r="U325" s="175" t="n">
        <x:v>0</x:v>
      </x:c>
      <x:c r="V325" s="175" t="n">
        <x:f>SUM(S325:U325)</x:f>
        <x:v>0</x:v>
      </x:c>
      <x:c r="W325" s="108" t="str">
        <x:v>https://fantasy.espn.com/football/leaders?leagueId=555583&amp;lineupSlot=16&amp;scoringPeriodId=0&amp;statSplit=lastSeason</x:v>
      </x:c>
    </x:row>
    <x:row r="326">
      <x:c r="A326" s="108" t="str">
        <x:v>D/ST</x:v>
      </x:c>
      <x:c r="B326" s="175" t="n">
        <x:f>1+COUNTIFS($A$4:$A$356,A326,$J$4:$J$356,"&gt;"&amp;J326)</x:f>
        <x:v>2</x:v>
      </x:c>
      <x:c r="C326" s="175" t="n">
        <x:v>3</x:v>
      </x:c>
      <x:c r="D326" s="108" t="str">
        <x:v>Texans D/ST</x:v>
      </x:c>
      <x:c r="E326" s="108" t="str">
        <x:v>HOU</x:v>
      </x:c>
      <x:c r="F326" s="108" t="str">
        <x:v>HOU</x:v>
      </x:c>
      <x:c r="G326" s="109" t="n">
        <x:v>241</x:v>
      </x:c>
      <x:c r="H326" s="109" t="n">
        <x:f>'Weekly Points'!W326</x:f>
        <x:v>14.176470588235293</x:v>
      </x:c>
      <x:c r="I326" s="109" t="n">
        <x:f>'Weekly Points'!X326</x:f>
        <x:v>14</x:v>
      </x:c>
      <x:c r="J326" s="109" t="n">
        <x:f>'Weekly Points'!Y326</x:f>
        <x:v>10</x:v>
      </x:c>
      <x:c r="K326" s="109" t="n">
        <x:f>'Weekly Points'!Z326</x:f>
        <x:v>4.8807580669357575</x:v>
      </x:c>
      <x:c r="L326" s="173" t="n">
        <x:f>'Weekly Points'!AA326</x:f>
        <x:v>0.34428583874650576</x:v>
      </x:c>
      <x:c r="M326" s="173" t="n">
        <x:f>'Weekly Points'!AB326</x:f>
        <x:v>0.058823529411764705</x:v>
      </x:c>
      <x:c r="N326" s="109" t="n">
        <x:f>0.5*J326+0.3*I326+0.2*H326</x:f>
        <x:v>12.035294117647059</x:v>
      </x:c>
      <x:c r="O326" s="175" t="n">
        <x:v>17</x:v>
      </x:c>
      <x:c r="P326" s="175" t="n">
        <x:v>6</x:v>
      </x:c>
      <x:c r="Q326" s="175" t="n">
        <x:v>0</x:v>
      </x:c>
      <x:c r="R326" s="175" t="n">
        <x:v>0</x:v>
      </x:c>
      <x:c r="S326" s="175" t="n">
        <x:v>0</x:v>
      </x:c>
      <x:c r="T326" s="175" t="n">
        <x:v>0</x:v>
      </x:c>
      <x:c r="U326" s="175" t="n">
        <x:v>0</x:v>
      </x:c>
      <x:c r="V326" s="175" t="n">
        <x:f>SUM(S326:U326)</x:f>
        <x:v>0</x:v>
      </x:c>
      <x:c r="W326" s="108" t="str">
        <x:v>https://fantasy.espn.com/football/leaders?leagueId=555583&amp;lineupSlot=16&amp;scoringPeriodId=0&amp;statSplit=lastSeason</x:v>
      </x:c>
    </x:row>
    <x:row r="327">
      <x:c r="A327" s="108" t="str">
        <x:v>D/ST</x:v>
      </x:c>
      <x:c r="B327" s="175" t="n">
        <x:f>1+COUNTIFS($A$4:$A$356,A327,$J$4:$J$356,"&gt;"&amp;J327)</x:f>
        <x:v>2</x:v>
      </x:c>
      <x:c r="C327" s="175" t="n">
        <x:v>4</x:v>
      </x:c>
      <x:c r="D327" s="108" t="str">
        <x:v>Broncos D/ST</x:v>
      </x:c>
      <x:c r="E327" s="108" t="str">
        <x:v>DEN</x:v>
      </x:c>
      <x:c r="F327" s="108" t="str">
        <x:v>DEN</x:v>
      </x:c>
      <x:c r="G327" s="109" t="n">
        <x:v>233</x:v>
      </x:c>
      <x:c r="H327" s="109" t="n">
        <x:f>'Weekly Points'!W327</x:f>
        <x:v>13.705882352941176</x:v>
      </x:c>
      <x:c r="I327" s="109" t="n">
        <x:f>'Weekly Points'!X327</x:f>
        <x:v>12</x:v>
      </x:c>
      <x:c r="J327" s="109" t="n">
        <x:f>'Weekly Points'!Y327</x:f>
        <x:v>10</x:v>
      </x:c>
      <x:c r="K327" s="109" t="n">
        <x:f>'Weekly Points'!Z327</x:f>
        <x:v>5.546750038189856</x:v>
      </x:c>
      <x:c r="L327" s="173" t="n">
        <x:f>'Weekly Points'!AA327</x:f>
        <x:v>0.40469850064046164</x:v>
      </x:c>
      <x:c r="M327" s="173" t="n">
        <x:f>'Weekly Points'!AB327</x:f>
        <x:v>0.058823529411764705</x:v>
      </x:c>
      <x:c r="N327" s="109" t="n">
        <x:f>0.5*J327+0.3*I327+0.2*H327</x:f>
        <x:v>11.341176470588234</x:v>
      </x:c>
      <x:c r="O327" s="175" t="n">
        <x:v>17</x:v>
      </x:c>
      <x:c r="P327" s="175" t="n">
        <x:v>12</x:v>
      </x:c>
      <x:c r="Q327" s="175" t="n">
        <x:v>0</x:v>
      </x:c>
      <x:c r="R327" s="175" t="n">
        <x:v>0</x:v>
      </x:c>
      <x:c r="S327" s="175" t="n">
        <x:v>0</x:v>
      </x:c>
      <x:c r="T327" s="175" t="n">
        <x:v>0</x:v>
      </x:c>
      <x:c r="U327" s="175" t="n">
        <x:v>0</x:v>
      </x:c>
      <x:c r="V327" s="175" t="n">
        <x:f>SUM(S327:U327)</x:f>
        <x:v>0</x:v>
      </x:c>
      <x:c r="W327" s="108" t="str">
        <x:v>https://fantasy.espn.com/football/leaders?leagueId=555583&amp;lineupSlot=16&amp;scoringPeriodId=0&amp;statSplit=lastSeason</x:v>
      </x:c>
    </x:row>
    <x:row r="328">
      <x:c r="A328" s="108" t="str">
        <x:v>D/ST</x:v>
      </x:c>
      <x:c r="B328" s="175" t="n">
        <x:f>1+COUNTIFS($A$4:$A$356,A328,$J$4:$J$356,"&gt;"&amp;J328)</x:f>
        <x:v>4</x:v>
      </x:c>
      <x:c r="C328" s="175" t="n">
        <x:v>12</x:v>
      </x:c>
      <x:c r="D328" s="108" t="str">
        <x:v>Bills D/ST</x:v>
      </x:c>
      <x:c r="E328" s="108" t="str">
        <x:v>BUF</x:v>
      </x:c>
      <x:c r="F328" s="108" t="str">
        <x:v>BUF</x:v>
      </x:c>
      <x:c r="G328" s="109" t="n">
        <x:v>192</x:v>
      </x:c>
      <x:c r="H328" s="109" t="n">
        <x:f>'Weekly Points'!W328</x:f>
        <x:v>11.294117647058824</x:v>
      </x:c>
      <x:c r="I328" s="109" t="n">
        <x:f>'Weekly Points'!X328</x:f>
        <x:v>11</x:v>
      </x:c>
      <x:c r="J328" s="109" t="n">
        <x:f>'Weekly Points'!Y328</x:f>
        <x:v>9</x:v>
      </x:c>
      <x:c r="K328" s="109" t="n">
        <x:f>'Weekly Points'!Z328</x:f>
        <x:v>4.416076324499638</x:v>
      </x:c>
      <x:c r="L328" s="173" t="n">
        <x:f>'Weekly Points'!AA328</x:f>
        <x:v>0.39100675789840544</x:v>
      </x:c>
      <x:c r="M328" s="173" t="n">
        <x:f>'Weekly Points'!AB328</x:f>
        <x:v>0.058823529411764705</x:v>
      </x:c>
      <x:c r="N328" s="109" t="n">
        <x:f>0.5*J328+0.3*I328+0.2*H328</x:f>
        <x:v>10.058823529411764</x:v>
      </x:c>
      <x:c r="O328" s="175" t="n">
        <x:v>17</x:v>
      </x:c>
      <x:c r="P328" s="175" t="n">
        <x:v>7</x:v>
      </x:c>
      <x:c r="Q328" s="175" t="n">
        <x:v>0</x:v>
      </x:c>
      <x:c r="R328" s="175" t="n">
        <x:v>0</x:v>
      </x:c>
      <x:c r="S328" s="175" t="n">
        <x:v>0</x:v>
      </x:c>
      <x:c r="T328" s="175" t="n">
        <x:v>0</x:v>
      </x:c>
      <x:c r="U328" s="175" t="n">
        <x:v>0</x:v>
      </x:c>
      <x:c r="V328" s="175" t="n">
        <x:f>SUM(S328:U328)</x:f>
        <x:v>0</x:v>
      </x:c>
      <x:c r="W328" s="108" t="str">
        <x:v>https://fantasy.espn.com/football/leaders?leagueId=555583&amp;lineupSlot=16&amp;scoringPeriodId=0&amp;statSplit=lastSeason</x:v>
      </x:c>
    </x:row>
    <x:row r="329">
      <x:c r="A329" s="108" t="str">
        <x:v>D/ST</x:v>
      </x:c>
      <x:c r="B329" s="175" t="n">
        <x:f>1+COUNTIFS($A$4:$A$356,A329,$J$4:$J$356,"&gt;"&amp;J329)</x:f>
        <x:v>4</x:v>
      </x:c>
      <x:c r="C329" s="175" t="n">
        <x:v>6</x:v>
      </x:c>
      <x:c r="D329" s="108" t="str">
        <x:v>Jaguars D/ST</x:v>
      </x:c>
      <x:c r="E329" s="108" t="str">
        <x:v>JAX</x:v>
      </x:c>
      <x:c r="F329" s="108" t="str">
        <x:v>JAX</x:v>
      </x:c>
      <x:c r="G329" s="109" t="n">
        <x:v>211</x:v>
      </x:c>
      <x:c r="H329" s="109" t="n">
        <x:f>'Weekly Points'!W329</x:f>
        <x:v>12.411764705882353</x:v>
      </x:c>
      <x:c r="I329" s="109" t="n">
        <x:f>'Weekly Points'!X329</x:f>
        <x:v>12.5</x:v>
      </x:c>
      <x:c r="J329" s="109" t="n">
        <x:f>'Weekly Points'!Y329</x:f>
        <x:v>9</x:v>
      </x:c>
      <x:c r="K329" s="109" t="n">
        <x:f>'Weekly Points'!Z329</x:f>
        <x:v>4.971197317363905</x:v>
      </x:c>
      <x:c r="L329" s="173" t="n">
        <x:f>'Weekly Points'!AA329</x:f>
        <x:v>0.40052300661225776</x:v>
      </x:c>
      <x:c r="M329" s="173" t="n">
        <x:f>'Weekly Points'!AB329</x:f>
        <x:v>0.058823529411764705</x:v>
      </x:c>
      <x:c r="N329" s="109" t="n">
        <x:f>0.5*J329+0.3*I329+0.2*H329</x:f>
        <x:v>10.73235294117647</x:v>
      </x:c>
      <x:c r="O329" s="175" t="n">
        <x:v>17</x:v>
      </x:c>
      <x:c r="P329" s="175" t="n">
        <x:v>8</x:v>
      </x:c>
      <x:c r="Q329" s="175" t="n">
        <x:v>0</x:v>
      </x:c>
      <x:c r="R329" s="175" t="n">
        <x:v>0</x:v>
      </x:c>
      <x:c r="S329" s="175" t="n">
        <x:v>0</x:v>
      </x:c>
      <x:c r="T329" s="175" t="n">
        <x:v>0</x:v>
      </x:c>
      <x:c r="U329" s="175" t="n">
        <x:v>0</x:v>
      </x:c>
      <x:c r="V329" s="175" t="n">
        <x:f>SUM(S329:U329)</x:f>
        <x:v>0</x:v>
      </x:c>
      <x:c r="W329" s="108" t="str">
        <x:v>https://fantasy.espn.com/football/leaders?leagueId=555583&amp;lineupSlot=16&amp;scoringPeriodId=0&amp;statSplit=lastSeason</x:v>
      </x:c>
    </x:row>
    <x:row r="330">
      <x:c r="A330" s="108" t="str">
        <x:v>D/ST</x:v>
      </x:c>
      <x:c r="B330" s="175" t="n">
        <x:f>1+COUNTIFS($A$4:$A$356,A330,$J$4:$J$356,"&gt;"&amp;J330)</x:f>
        <x:v>4</x:v>
      </x:c>
      <x:c r="C330" s="175" t="n">
        <x:v>2</x:v>
      </x:c>
      <x:c r="D330" s="108" t="str">
        <x:v>Vikings D/ST</x:v>
      </x:c>
      <x:c r="E330" s="108" t="str">
        <x:v>MIN</x:v>
      </x:c>
      <x:c r="F330" s="108" t="str">
        <x:v>MIN</x:v>
      </x:c>
      <x:c r="G330" s="109" t="n">
        <x:v>241.5</x:v>
      </x:c>
      <x:c r="H330" s="109" t="n">
        <x:f>'Weekly Points'!W330</x:f>
        <x:v>14.205882352941176</x:v>
      </x:c>
      <x:c r="I330" s="109" t="n">
        <x:f>'Weekly Points'!X330</x:f>
        <x:v>11</x:v>
      </x:c>
      <x:c r="J330" s="109" t="n">
        <x:f>'Weekly Points'!Y330</x:f>
        <x:v>9</x:v>
      </x:c>
      <x:c r="K330" s="109" t="n">
        <x:f>'Weekly Points'!Z330</x:f>
        <x:v>8.884982080701935</x:v>
      </x:c>
      <x:c r="L330" s="173" t="n">
        <x:f>'Weekly Points'!AA330</x:f>
        <x:v>0.6254438731757056</x:v>
      </x:c>
      <x:c r="M330" s="173" t="n">
        <x:f>'Weekly Points'!AB330</x:f>
        <x:v>0.17647058823529413</x:v>
      </x:c>
      <x:c r="N330" s="109" t="n">
        <x:f>0.5*J330+0.3*I330+0.2*H330</x:f>
        <x:v>10.641176470588235</x:v>
      </x:c>
      <x:c r="O330" s="175" t="n">
        <x:v>17</x:v>
      </x:c>
      <x:c r="P330" s="175" t="n">
        <x:v>6</x:v>
      </x:c>
      <x:c r="Q330" s="175" t="n">
        <x:v>0</x:v>
      </x:c>
      <x:c r="R330" s="175" t="n">
        <x:v>0</x:v>
      </x:c>
      <x:c r="S330" s="175" t="n">
        <x:v>0</x:v>
      </x:c>
      <x:c r="T330" s="175" t="n">
        <x:v>0</x:v>
      </x:c>
      <x:c r="U330" s="175" t="n">
        <x:v>0</x:v>
      </x:c>
      <x:c r="V330" s="175" t="n">
        <x:f>SUM(S330:U330)</x:f>
        <x:v>0</x:v>
      </x:c>
      <x:c r="W330" s="108" t="str">
        <x:v>https://fantasy.espn.com/football/leaders?leagueId=555583&amp;lineupSlot=16&amp;scoringPeriodId=0&amp;statSplit=lastSeason</x:v>
      </x:c>
    </x:row>
    <x:row r="331">
      <x:c r="A331" s="108" t="str">
        <x:v>D/ST</x:v>
      </x:c>
      <x:c r="B331" s="175" t="n">
        <x:f>1+COUNTIFS($A$4:$A$356,A331,$J$4:$J$356,"&gt;"&amp;J331)</x:f>
        <x:v>7</x:v>
      </x:c>
      <x:c r="C331" s="175" t="n">
        <x:v>10</x:v>
      </x:c>
      <x:c r="D331" s="108" t="str">
        <x:v>Saints D/ST</x:v>
      </x:c>
      <x:c r="E331" s="108" t="str">
        <x:v>NO</x:v>
      </x:c>
      <x:c r="F331" s="108" t="str">
        <x:v>NO</x:v>
      </x:c>
      <x:c r="G331" s="109" t="n">
        <x:v>198.5</x:v>
      </x:c>
      <x:c r="H331" s="109" t="n">
        <x:f>'Weekly Points'!W331</x:f>
        <x:v>11.676470588235293</x:v>
      </x:c>
      <x:c r="I331" s="109" t="n">
        <x:f>'Weekly Points'!X331</x:f>
        <x:v>11</x:v>
      </x:c>
      <x:c r="J331" s="109" t="n">
        <x:f>'Weekly Points'!Y331</x:f>
        <x:v>8.5</x:v>
      </x:c>
      <x:c r="K331" s="109" t="n">
        <x:f>'Weekly Points'!Z331</x:f>
        <x:v>5.291339140160435</x:v>
      </x:c>
      <x:c r="L331" s="173" t="n">
        <x:f>'Weekly Points'!AA331</x:f>
        <x:v>0.45316254600870226</x:v>
      </x:c>
      <x:c r="M331" s="173" t="n">
        <x:f>'Weekly Points'!AB331</x:f>
        <x:v>0.058823529411764705</x:v>
      </x:c>
      <x:c r="N331" s="109" t="n">
        <x:f>0.5*J331+0.3*I331+0.2*H331</x:f>
        <x:v>9.885294117647058</x:v>
      </x:c>
      <x:c r="O331" s="175" t="n">
        <x:v>17</x:v>
      </x:c>
      <x:c r="P331" s="175" t="n">
        <x:v>11</x:v>
      </x:c>
      <x:c r="Q331" s="175" t="n">
        <x:v>0</x:v>
      </x:c>
      <x:c r="R331" s="175" t="n">
        <x:v>0</x:v>
      </x:c>
      <x:c r="S331" s="175" t="n">
        <x:v>0</x:v>
      </x:c>
      <x:c r="T331" s="175" t="n">
        <x:v>0</x:v>
      </x:c>
      <x:c r="U331" s="175" t="n">
        <x:v>0</x:v>
      </x:c>
      <x:c r="V331" s="175" t="n">
        <x:f>SUM(S331:U331)</x:f>
        <x:v>0</x:v>
      </x:c>
      <x:c r="W331" s="108" t="str">
        <x:v>https://fantasy.espn.com/football/leaders?leagueId=555583&amp;lineupSlot=16&amp;scoringPeriodId=0&amp;statSplit=lastSeason</x:v>
      </x:c>
    </x:row>
    <x:row r="332">
      <x:c r="A332" s="108" t="str">
        <x:v>D/ST</x:v>
      </x:c>
      <x:c r="B332" s="175" t="n">
        <x:f>1+COUNTIFS($A$4:$A$356,A332,$J$4:$J$356,"&gt;"&amp;J332)</x:f>
        <x:v>8</x:v>
      </x:c>
      <x:c r="C332" s="175" t="n">
        <x:v>9</x:v>
      </x:c>
      <x:c r="D332" s="108" t="str">
        <x:v>Steelers D/ST</x:v>
      </x:c>
      <x:c r="E332" s="108" t="str">
        <x:v>PIT</x:v>
      </x:c>
      <x:c r="F332" s="108" t="str">
        <x:v>PIT</x:v>
      </x:c>
      <x:c r="G332" s="109" t="n">
        <x:v>200.5</x:v>
      </x:c>
      <x:c r="H332" s="109" t="n">
        <x:f>'Weekly Points'!W332</x:f>
        <x:v>11.794117647058824</x:v>
      </x:c>
      <x:c r="I332" s="109" t="n">
        <x:f>'Weekly Points'!X332</x:f>
        <x:v>11</x:v>
      </x:c>
      <x:c r="J332" s="109" t="n">
        <x:f>'Weekly Points'!Y332</x:f>
        <x:v>8</x:v>
      </x:c>
      <x:c r="K332" s="109" t="n">
        <x:f>'Weekly Points'!Z332</x:f>
        <x:v>6.2498442887177585</x:v>
      </x:c>
      <x:c r="L332" s="173" t="n">
        <x:f>'Weekly Points'!AA332</x:f>
        <x:v>0.5299119845795606</x:v>
      </x:c>
      <x:c r="M332" s="173" t="n">
        <x:f>'Weekly Points'!AB332</x:f>
        <x:v>0.11764705882352941</x:v>
      </x:c>
      <x:c r="N332" s="109" t="n">
        <x:f>0.5*J332+0.3*I332+0.2*H332</x:f>
        <x:v>9.658823529411764</x:v>
      </x:c>
      <x:c r="O332" s="175" t="n">
        <x:v>17</x:v>
      </x:c>
      <x:c r="P332" s="175" t="n">
        <x:v>5</x:v>
      </x:c>
      <x:c r="Q332" s="175" t="n">
        <x:v>0</x:v>
      </x:c>
      <x:c r="R332" s="175" t="n">
        <x:v>0</x:v>
      </x:c>
      <x:c r="S332" s="175" t="n">
        <x:v>0</x:v>
      </x:c>
      <x:c r="T332" s="175" t="n">
        <x:v>0</x:v>
      </x:c>
      <x:c r="U332" s="175" t="n">
        <x:v>0</x:v>
      </x:c>
      <x:c r="V332" s="175" t="n">
        <x:f>SUM(S332:U332)</x:f>
        <x:v>0</x:v>
      </x:c>
      <x:c r="W332" s="108" t="str">
        <x:v>https://fantasy.espn.com/football/leaders?leagueId=555583&amp;lineupSlot=16&amp;scoringPeriodId=0&amp;statSplit=lastSeason</x:v>
      </x:c>
    </x:row>
    <x:row r="333">
      <x:c r="A333" s="108" t="str">
        <x:v>D/ST</x:v>
      </x:c>
      <x:c r="B333" s="175" t="n">
        <x:f>1+COUNTIFS($A$4:$A$356,A333,$J$4:$J$356,"&gt;"&amp;J333)</x:f>
        <x:v>8</x:v>
      </x:c>
      <x:c r="C333" s="175" t="n">
        <x:v>13</x:v>
      </x:c>
      <x:c r="D333" s="108" t="str">
        <x:v>Rams D/ST</x:v>
      </x:c>
      <x:c r="E333" s="108" t="str">
        <x:v>LAR</x:v>
      </x:c>
      <x:c r="F333" s="108" t="str">
        <x:v>LAR</x:v>
      </x:c>
      <x:c r="G333" s="109" t="n">
        <x:v>191.5</x:v>
      </x:c>
      <x:c r="H333" s="109" t="n">
        <x:f>'Weekly Points'!W333</x:f>
        <x:v>11.264705882352942</x:v>
      </x:c>
      <x:c r="I333" s="109" t="n">
        <x:f>'Weekly Points'!X333</x:f>
        <x:v>9</x:v>
      </x:c>
      <x:c r="J333" s="109" t="n">
        <x:f>'Weekly Points'!Y333</x:f>
        <x:v>8</x:v>
      </x:c>
      <x:c r="K333" s="109" t="n">
        <x:f>'Weekly Points'!Z333</x:f>
        <x:v>6.181370605339372</x:v>
      </x:c>
      <x:c r="L333" s="173" t="n">
        <x:f>'Weekly Points'!AA333</x:f>
        <x:v>0.5487378605262105</x:v>
      </x:c>
      <x:c r="M333" s="173" t="n">
        <x:f>'Weekly Points'!AB333</x:f>
        <x:v>0.11764705882352941</x:v>
      </x:c>
      <x:c r="N333" s="109" t="n">
        <x:f>0.5*J333+0.3*I333+0.2*H333</x:f>
        <x:v>8.952941176470588</x:v>
      </x:c>
      <x:c r="O333" s="175" t="n">
        <x:v>17</x:v>
      </x:c>
      <x:c r="P333" s="175" t="n">
        <x:v>8</x:v>
      </x:c>
      <x:c r="Q333" s="175" t="n">
        <x:v>0</x:v>
      </x:c>
      <x:c r="R333" s="175" t="n">
        <x:v>0</x:v>
      </x:c>
      <x:c r="S333" s="175" t="n">
        <x:v>0</x:v>
      </x:c>
      <x:c r="T333" s="175" t="n">
        <x:v>0</x:v>
      </x:c>
      <x:c r="U333" s="175" t="n">
        <x:v>0</x:v>
      </x:c>
      <x:c r="V333" s="175" t="n">
        <x:f>SUM(S333:U333)</x:f>
        <x:v>0</x:v>
      </x:c>
      <x:c r="W333" s="108" t="str">
        <x:v>https://fantasy.espn.com/football/leaders?leagueId=555583&amp;lineupSlot=16&amp;scoringPeriodId=0&amp;statSplit=lastSeason</x:v>
      </x:c>
    </x:row>
    <x:row r="334">
      <x:c r="A334" s="108" t="str">
        <x:v>D/ST</x:v>
      </x:c>
      <x:c r="B334" s="175" t="n">
        <x:f>1+COUNTIFS($A$4:$A$356,A334,$J$4:$J$356,"&gt;"&amp;J334)</x:f>
        <x:v>10</x:v>
      </x:c>
      <x:c r="C334" s="175" t="n">
        <x:v>15</x:v>
      </x:c>
      <x:c r="D334" s="108" t="str">
        <x:v>Bears D/ST</x:v>
      </x:c>
      <x:c r="E334" s="108" t="str">
        <x:v>CHI</x:v>
      </x:c>
      <x:c r="F334" s="108" t="str">
        <x:v>CHI</x:v>
      </x:c>
      <x:c r="G334" s="109" t="n">
        <x:v>183</x:v>
      </x:c>
      <x:c r="H334" s="109" t="n">
        <x:f>'Weekly Points'!W334</x:f>
        <x:v>10.764705882352942</x:v>
      </x:c>
      <x:c r="I334" s="109" t="n">
        <x:f>'Weekly Points'!X334</x:f>
        <x:v>10.5</x:v>
      </x:c>
      <x:c r="J334" s="109" t="n">
        <x:f>'Weekly Points'!Y334</x:f>
        <x:v>7.5</x:v>
      </x:c>
      <x:c r="K334" s="109" t="n">
        <x:f>'Weekly Points'!Z334</x:f>
        <x:v>5.714063268038067</x:v>
      </x:c>
      <x:c r="L334" s="173" t="n">
        <x:f>'Weekly Points'!AA334</x:f>
        <x:v>0.5308146205281263</x:v>
      </x:c>
      <x:c r="M334" s="173" t="n">
        <x:f>'Weekly Points'!AB334</x:f>
        <x:v>0.17647058823529413</x:v>
      </x:c>
      <x:c r="N334" s="109" t="n">
        <x:f>0.5*J334+0.3*I334+0.2*H334</x:f>
        <x:v>9.05294117647059</x:v>
      </x:c>
      <x:c r="O334" s="175" t="n">
        <x:v>16</x:v>
      </x:c>
      <x:c r="P334" s="175" t="n">
        <x:v>5</x:v>
      </x:c>
      <x:c r="Q334" s="175" t="n">
        <x:v>0</x:v>
      </x:c>
      <x:c r="R334" s="175" t="n">
        <x:v>0</x:v>
      </x:c>
      <x:c r="S334" s="175" t="n">
        <x:v>0</x:v>
      </x:c>
      <x:c r="T334" s="175" t="n">
        <x:v>0</x:v>
      </x:c>
      <x:c r="U334" s="175" t="n">
        <x:v>0</x:v>
      </x:c>
      <x:c r="V334" s="175" t="n">
        <x:f>SUM(S334:U334)</x:f>
        <x:v>0</x:v>
      </x:c>
      <x:c r="W334" s="108" t="str">
        <x:v>https://fantasy.espn.com/football/leaders?leagueId=555583&amp;lineupSlot=16&amp;scoringPeriodId=0&amp;statSplit=lastSeason</x:v>
      </x:c>
    </x:row>
    <x:row r="335">
      <x:c r="A335" s="108" t="str">
        <x:v>D/ST</x:v>
      </x:c>
      <x:c r="B335" s="175" t="n">
        <x:f>1+COUNTIFS($A$4:$A$356,A335,$J$4:$J$356,"&gt;"&amp;J335)</x:f>
        <x:v>11</x:v>
      </x:c>
      <x:c r="C335" s="175" t="n">
        <x:v>7</x:v>
      </x:c>
      <x:c r="D335" s="108" t="str">
        <x:v>Chargers D/ST</x:v>
      </x:c>
      <x:c r="E335" s="108" t="str">
        <x:v>LAC</x:v>
      </x:c>
      <x:c r="F335" s="108" t="str">
        <x:v>LAC</x:v>
      </x:c>
      <x:c r="G335" s="109" t="n">
        <x:v>205</x:v>
      </x:c>
      <x:c r="H335" s="109" t="n">
        <x:f>'Weekly Points'!W335</x:f>
        <x:v>12.058823529411764</x:v>
      </x:c>
      <x:c r="I335" s="109" t="n">
        <x:f>'Weekly Points'!X335</x:f>
        <x:v>11.5</x:v>
      </x:c>
      <x:c r="J335" s="109" t="n">
        <x:f>'Weekly Points'!Y335</x:f>
        <x:v>7</x:v>
      </x:c>
      <x:c r="K335" s="109" t="n">
        <x:f>'Weekly Points'!Z335</x:f>
        <x:v>6.094554833284951</x:v>
      </x:c>
      <x:c r="L335" s="173" t="n">
        <x:f>'Weekly Points'!AA335</x:f>
        <x:v>0.5054021081260691</x:v>
      </x:c>
      <x:c r="M335" s="173" t="n">
        <x:f>'Weekly Points'!AB335</x:f>
        <x:v>0.17647058823529413</x:v>
      </x:c>
      <x:c r="N335" s="109" t="n">
        <x:f>0.5*J335+0.3*I335+0.2*H335</x:f>
        <x:v>9.361764705882353</x:v>
      </x:c>
      <x:c r="O335" s="175" t="n">
        <x:v>17</x:v>
      </x:c>
      <x:c r="P335" s="175" t="n">
        <x:v>12</x:v>
      </x:c>
      <x:c r="Q335" s="175" t="n">
        <x:v>0</x:v>
      </x:c>
      <x:c r="R335" s="175" t="n">
        <x:v>0</x:v>
      </x:c>
      <x:c r="S335" s="175" t="n">
        <x:v>0</x:v>
      </x:c>
      <x:c r="T335" s="175" t="n">
        <x:v>0</x:v>
      </x:c>
      <x:c r="U335" s="175" t="n">
        <x:v>0</x:v>
      </x:c>
      <x:c r="V335" s="175" t="n">
        <x:f>SUM(S335:U335)</x:f>
        <x:v>0</x:v>
      </x:c>
      <x:c r="W335" s="108" t="str">
        <x:v>https://fantasy.espn.com/football/leaders?leagueId=555583&amp;lineupSlot=16&amp;scoringPeriodId=0&amp;statSplit=lastSeason</x:v>
      </x:c>
    </x:row>
    <x:row r="336">
      <x:c r="A336" s="108" t="str">
        <x:v>D/ST</x:v>
      </x:c>
      <x:c r="B336" s="175" t="n">
        <x:f>1+COUNTIFS($A$4:$A$356,A336,$J$4:$J$356,"&gt;"&amp;J336)</x:f>
        <x:v>11</x:v>
      </x:c>
      <x:c r="C336" s="175" t="n">
        <x:v>11</x:v>
      </x:c>
      <x:c r="D336" s="108" t="str">
        <x:v>Eagles D/ST</x:v>
      </x:c>
      <x:c r="E336" s="108" t="str">
        <x:v>PHI</x:v>
      </x:c>
      <x:c r="F336" s="108" t="str">
        <x:v>PHI</x:v>
      </x:c>
      <x:c r="G336" s="109" t="n">
        <x:v>192.5</x:v>
      </x:c>
      <x:c r="H336" s="109" t="n">
        <x:f>'Weekly Points'!W336</x:f>
        <x:v>11.323529411764707</x:v>
      </x:c>
      <x:c r="I336" s="109" t="n">
        <x:f>'Weekly Points'!X336</x:f>
        <x:v>10.5</x:v>
      </x:c>
      <x:c r="J336" s="109" t="n">
        <x:f>'Weekly Points'!Y336</x:f>
        <x:v>7</x:v>
      </x:c>
      <x:c r="K336" s="109" t="n">
        <x:f>'Weekly Points'!Z336</x:f>
        <x:v>5.800459354199733</x:v>
      </x:c>
      <x:c r="L336" s="173" t="n">
        <x:f>'Weekly Points'!AA336</x:f>
        <x:v>0.5122483585527037</x:v>
      </x:c>
      <x:c r="M336" s="173" t="n">
        <x:f>'Weekly Points'!AB336</x:f>
        <x:v>0.17647058823529413</x:v>
      </x:c>
      <x:c r="N336" s="109" t="n">
        <x:f>0.5*J336+0.3*I336+0.2*H336</x:f>
        <x:v>8.914705882352942</x:v>
      </x:c>
      <x:c r="O336" s="175" t="n">
        <x:v>17</x:v>
      </x:c>
      <x:c r="P336" s="175" t="n">
        <x:v>9</x:v>
      </x:c>
      <x:c r="Q336" s="175" t="n">
        <x:v>0</x:v>
      </x:c>
      <x:c r="R336" s="175" t="n">
        <x:v>0</x:v>
      </x:c>
      <x:c r="S336" s="175" t="n">
        <x:v>0</x:v>
      </x:c>
      <x:c r="T336" s="175" t="n">
        <x:v>0</x:v>
      </x:c>
      <x:c r="U336" s="175" t="n">
        <x:v>0</x:v>
      </x:c>
      <x:c r="V336" s="175" t="n">
        <x:f>SUM(S336:U336)</x:f>
        <x:v>0</x:v>
      </x:c>
      <x:c r="W336" s="108" t="str">
        <x:v>https://fantasy.espn.com/football/leaders?leagueId=555583&amp;lineupSlot=16&amp;scoringPeriodId=0&amp;statSplit=lastSeason</x:v>
      </x:c>
    </x:row>
    <x:row r="337">
      <x:c r="A337" s="108" t="str">
        <x:v>D/ST</x:v>
      </x:c>
      <x:c r="B337" s="175" t="n">
        <x:f>1+COUNTIFS($A$4:$A$356,A337,$J$4:$J$356,"&gt;"&amp;J337)</x:f>
        <x:v>11</x:v>
      </x:c>
      <x:c r="C337" s="175" t="n">
        <x:v>8</x:v>
      </x:c>
      <x:c r="D337" s="108" t="str">
        <x:v>Patriots D/ST</x:v>
      </x:c>
      <x:c r="E337" s="108" t="str">
        <x:v>NE</x:v>
      </x:c>
      <x:c r="F337" s="108" t="str">
        <x:v>NE</x:v>
      </x:c>
      <x:c r="G337" s="109" t="n">
        <x:v>201.5</x:v>
      </x:c>
      <x:c r="H337" s="109" t="n">
        <x:f>'Weekly Points'!W337</x:f>
        <x:v>11.852941176470589</x:v>
      </x:c>
      <x:c r="I337" s="109" t="n">
        <x:f>'Weekly Points'!X337</x:f>
        <x:v>13</x:v>
      </x:c>
      <x:c r="J337" s="109" t="n">
        <x:f>'Weekly Points'!Y337</x:f>
        <x:v>7</x:v>
      </x:c>
      <x:c r="K337" s="109" t="n">
        <x:f>'Weekly Points'!Z337</x:f>
        <x:v>6.274984663403694</x:v>
      </x:c>
      <x:c r="L337" s="173" t="n">
        <x:f>'Weekly Points'!AA337</x:f>
        <x:v>0.5294031725948526</x:v>
      </x:c>
      <x:c r="M337" s="173" t="n">
        <x:f>'Weekly Points'!AB337</x:f>
        <x:v>0.17647058823529413</x:v>
      </x:c>
      <x:c r="N337" s="109" t="n">
        <x:f>0.5*J337+0.3*I337+0.2*H337</x:f>
        <x:v>9.770588235294118</x:v>
      </x:c>
      <x:c r="O337" s="175" t="n">
        <x:v>17</x:v>
      </x:c>
      <x:c r="P337" s="175" t="n">
        <x:v>14</x:v>
      </x:c>
      <x:c r="Q337" s="175" t="n">
        <x:v>0</x:v>
      </x:c>
      <x:c r="R337" s="175" t="n">
        <x:v>0</x:v>
      </x:c>
      <x:c r="S337" s="175" t="n">
        <x:v>0</x:v>
      </x:c>
      <x:c r="T337" s="175" t="n">
        <x:v>0</x:v>
      </x:c>
      <x:c r="U337" s="175" t="n">
        <x:v>0</x:v>
      </x:c>
      <x:c r="V337" s="175" t="n">
        <x:f>SUM(S337:U337)</x:f>
        <x:v>0</x:v>
      </x:c>
      <x:c r="W337" s="108" t="str">
        <x:v>https://fantasy.espn.com/football/leaders?leagueId=555583&amp;lineupSlot=16&amp;scoringPeriodId=0&amp;statSplit=lastSeason</x:v>
      </x:c>
    </x:row>
    <x:row r="338">
      <x:c r="A338" s="108" t="str">
        <x:v>D/ST</x:v>
      </x:c>
      <x:c r="B338" s="175" t="n">
        <x:f>1+COUNTIFS($A$4:$A$356,A338,$J$4:$J$356,"&gt;"&amp;J338)</x:f>
        <x:v>11</x:v>
      </x:c>
      <x:c r="C338" s="175" t="n">
        <x:v>21</x:v>
      </x:c>
      <x:c r="D338" s="108" t="str">
        <x:v>Buccaneers D/ST</x:v>
      </x:c>
      <x:c r="E338" s="108" t="str">
        <x:v>TB</x:v>
      </x:c>
      <x:c r="F338" s="108" t="str">
        <x:v>TB</x:v>
      </x:c>
      <x:c r="G338" s="109" t="n">
        <x:v>171.5</x:v>
      </x:c>
      <x:c r="H338" s="109" t="n">
        <x:f>'Weekly Points'!W338</x:f>
        <x:v>10.088235294117647</x:v>
      </x:c>
      <x:c r="I338" s="109" t="n">
        <x:f>'Weekly Points'!X338</x:f>
        <x:v>9</x:v>
      </x:c>
      <x:c r="J338" s="109" t="n">
        <x:f>'Weekly Points'!Y338</x:f>
        <x:v>7</x:v>
      </x:c>
      <x:c r="K338" s="109" t="n">
        <x:f>'Weekly Points'!Z338</x:f>
        <x:v>6.582586864370999</x:v>
      </x:c>
      <x:c r="L338" s="173" t="n">
        <x:f>'Weekly Points'!AA338</x:f>
        <x:v>0.6525013218326938</x:v>
      </x:c>
      <x:c r="M338" s="173" t="n">
        <x:f>'Weekly Points'!AB338</x:f>
        <x:v>0.23529411764705882</x:v>
      </x:c>
      <x:c r="N338" s="109" t="n">
        <x:f>0.5*J338+0.3*I338+0.2*H338</x:f>
        <x:v>8.217647058823529</x:v>
      </x:c>
      <x:c r="O338" s="175" t="n">
        <x:v>17</x:v>
      </x:c>
      <x:c r="P338" s="175" t="n">
        <x:v>9</x:v>
      </x:c>
      <x:c r="Q338" s="175" t="n">
        <x:v>0</x:v>
      </x:c>
      <x:c r="R338" s="175" t="n">
        <x:v>0</x:v>
      </x:c>
      <x:c r="S338" s="175" t="n">
        <x:v>0</x:v>
      </x:c>
      <x:c r="T338" s="175" t="n">
        <x:v>0</x:v>
      </x:c>
      <x:c r="U338" s="175" t="n">
        <x:v>0</x:v>
      </x:c>
      <x:c r="V338" s="175" t="n">
        <x:f>SUM(S338:U338)</x:f>
        <x:v>0</x:v>
      </x:c>
      <x:c r="W338" s="108" t="str">
        <x:v>https://fantasy.espn.com/football/leaders?leagueId=555583&amp;lineupSlot=16&amp;scoringPeriodId=0&amp;statSplit=lastSeason</x:v>
      </x:c>
    </x:row>
    <x:row r="339">
      <x:c r="A339" s="108" t="str">
        <x:v>D/ST</x:v>
      </x:c>
      <x:c r="B339" s="175" t="n">
        <x:f>1+COUNTIFS($A$4:$A$356,A339,$J$4:$J$356,"&gt;"&amp;J339)</x:f>
        <x:v>15</x:v>
      </x:c>
      <x:c r="C339" s="175" t="n">
        <x:v>18</x:v>
      </x:c>
      <x:c r="D339" s="108" t="str">
        <x:v>Colts D/ST</x:v>
      </x:c>
      <x:c r="E339" s="108" t="str">
        <x:v>IND</x:v>
      </x:c>
      <x:c r="F339" s="108" t="str">
        <x:v>IND</x:v>
      </x:c>
      <x:c r="G339" s="109" t="n">
        <x:v>176.5</x:v>
      </x:c>
      <x:c r="H339" s="109" t="n">
        <x:f>'Weekly Points'!W339</x:f>
        <x:v>10.382352941176471</x:v>
      </x:c>
      <x:c r="I339" s="109" t="n">
        <x:f>'Weekly Points'!X339</x:f>
        <x:v>9</x:v>
      </x:c>
      <x:c r="J339" s="109" t="n">
        <x:f>'Weekly Points'!Y339</x:f>
        <x:v>6.5</x:v>
      </x:c>
      <x:c r="K339" s="109" t="n">
        <x:f>'Weekly Points'!Z339</x:f>
        <x:v>5.645220288945919</x:v>
      </x:c>
      <x:c r="L339" s="173" t="n">
        <x:f>'Weekly Points'!AA339</x:f>
        <x:v>0.543732265790825</x:v>
      </x:c>
      <x:c r="M339" s="173" t="n">
        <x:f>'Weekly Points'!AB339</x:f>
        <x:v>0.17647058823529413</x:v>
      </x:c>
      <x:c r="N339" s="109" t="n">
        <x:f>0.5*J339+0.3*I339+0.2*H339</x:f>
        <x:v>8.026470588235293</x:v>
      </x:c>
      <x:c r="O339" s="175" t="n">
        <x:v>17</x:v>
      </x:c>
      <x:c r="P339" s="175" t="n">
        <x:v>11</x:v>
      </x:c>
      <x:c r="Q339" s="175" t="n">
        <x:v>0</x:v>
      </x:c>
      <x:c r="R339" s="175" t="n">
        <x:v>0</x:v>
      </x:c>
      <x:c r="S339" s="175" t="n">
        <x:v>0</x:v>
      </x:c>
      <x:c r="T339" s="175" t="n">
        <x:v>0</x:v>
      </x:c>
      <x:c r="U339" s="175" t="n">
        <x:v>0</x:v>
      </x:c>
      <x:c r="V339" s="175" t="n">
        <x:f>SUM(S339:U339)</x:f>
        <x:v>0</x:v>
      </x:c>
      <x:c r="W339" s="108" t="str">
        <x:v>https://fantasy.espn.com/football/leaders?leagueId=555583&amp;lineupSlot=16&amp;scoringPeriodId=0&amp;statSplit=lastSeason</x:v>
      </x:c>
    </x:row>
    <x:row r="340">
      <x:c r="A340" s="108" t="str">
        <x:v>D/ST</x:v>
      </x:c>
      <x:c r="B340" s="175" t="n">
        <x:f>1+COUNTIFS($A$4:$A$356,A340,$J$4:$J$356,"&gt;"&amp;J340)</x:f>
        <x:v>16</x:v>
      </x:c>
      <x:c r="C340" s="175" t="n">
        <x:v>25</x:v>
      </x:c>
      <x:c r="D340" s="108" t="str">
        <x:v>Titans D/ST</x:v>
      </x:c>
      <x:c r="E340" s="108" t="str">
        <x:v>TEN</x:v>
      </x:c>
      <x:c r="F340" s="108" t="str">
        <x:v>TEN</x:v>
      </x:c>
      <x:c r="G340" s="109" t="n">
        <x:v>154.5</x:v>
      </x:c>
      <x:c r="H340" s="109" t="n">
        <x:f>'Weekly Points'!W340</x:f>
        <x:v>9.088235294117647</x:v>
      </x:c>
      <x:c r="I340" s="109" t="n">
        <x:f>'Weekly Points'!X340</x:f>
        <x:v>8.5</x:v>
      </x:c>
      <x:c r="J340" s="109" t="n">
        <x:f>'Weekly Points'!Y340</x:f>
        <x:v>6</x:v>
      </x:c>
      <x:c r="K340" s="109" t="n">
        <x:f>'Weekly Points'!Z340</x:f>
        <x:v>5.407607098603963</x:v>
      </x:c>
      <x:c r="L340" s="173" t="n">
        <x:f>'Weekly Points'!AA340</x:f>
        <x:v>0.5950117843124102</x:v>
      </x:c>
      <x:c r="M340" s="173" t="n">
        <x:f>'Weekly Points'!AB340</x:f>
        <x:v>0.17647058823529413</x:v>
      </x:c>
      <x:c r="N340" s="109" t="n">
        <x:f>0.5*J340+0.3*I340+0.2*H340</x:f>
        <x:v>7.367647058823529</x:v>
      </x:c>
      <x:c r="O340" s="175" t="n">
        <x:v>17</x:v>
      </x:c>
      <x:c r="P340" s="175" t="n">
        <x:v>10</x:v>
      </x:c>
      <x:c r="Q340" s="175" t="n">
        <x:v>0</x:v>
      </x:c>
      <x:c r="R340" s="175" t="n">
        <x:v>0</x:v>
      </x:c>
      <x:c r="S340" s="175" t="n">
        <x:v>0</x:v>
      </x:c>
      <x:c r="T340" s="175" t="n">
        <x:v>0</x:v>
      </x:c>
      <x:c r="U340" s="175" t="n">
        <x:v>0</x:v>
      </x:c>
      <x:c r="V340" s="175" t="n">
        <x:f>SUM(S340:U340)</x:f>
        <x:v>0</x:v>
      </x:c>
      <x:c r="W340" s="108" t="str">
        <x:v>https://fantasy.espn.com/football/leaders?leagueId=555583&amp;lineupSlot=16&amp;scoringPeriodId=0&amp;statSplit=lastSeason</x:v>
      </x:c>
    </x:row>
    <x:row r="341">
      <x:c r="A341" s="108" t="str">
        <x:v>D/ST</x:v>
      </x:c>
      <x:c r="B341" s="175" t="n">
        <x:f>1+COUNTIFS($A$4:$A$356,A341,$J$4:$J$356,"&gt;"&amp;J341)</x:f>
        <x:v>16</x:v>
      </x:c>
      <x:c r="C341" s="175" t="n">
        <x:v>26</x:v>
      </x:c>
      <x:c r="D341" s="108" t="str">
        <x:v>Commanders D/ST</x:v>
      </x:c>
      <x:c r="E341" s="108" t="str">
        <x:v>WSH</x:v>
      </x:c>
      <x:c r="F341" s="108" t="str">
        <x:v>WSH</x:v>
      </x:c>
      <x:c r="G341" s="109" t="n">
        <x:v>154.5</x:v>
      </x:c>
      <x:c r="H341" s="109" t="n">
        <x:f>'Weekly Points'!W341</x:f>
        <x:v>9.088235294117647</x:v>
      </x:c>
      <x:c r="I341" s="109" t="n">
        <x:f>'Weekly Points'!X341</x:f>
        <x:v>7</x:v>
      </x:c>
      <x:c r="J341" s="109" t="n">
        <x:f>'Weekly Points'!Y341</x:f>
        <x:v>6</x:v>
      </x:c>
      <x:c r="K341" s="109" t="n">
        <x:f>'Weekly Points'!Z341</x:f>
        <x:v>5.4671083176027695</x:v>
      </x:c>
      <x:c r="L341" s="173" t="n">
        <x:f>'Weekly Points'!AA341</x:f>
        <x:v>0.6015588440080717</x:v>
      </x:c>
      <x:c r="M341" s="173" t="n">
        <x:f>'Weekly Points'!AB341</x:f>
        <x:v>0.17647058823529413</x:v>
      </x:c>
      <x:c r="N341" s="109" t="n">
        <x:f>0.5*J341+0.3*I341+0.2*H341</x:f>
        <x:v>6.917647058823529</x:v>
      </x:c>
      <x:c r="O341" s="175" t="n">
        <x:v>17</x:v>
      </x:c>
      <x:c r="P341" s="175" t="n">
        <x:v>12</x:v>
      </x:c>
      <x:c r="Q341" s="175" t="n">
        <x:v>0</x:v>
      </x:c>
      <x:c r="R341" s="175" t="n">
        <x:v>0</x:v>
      </x:c>
      <x:c r="S341" s="175" t="n">
        <x:v>0</x:v>
      </x:c>
      <x:c r="T341" s="175" t="n">
        <x:v>0</x:v>
      </x:c>
      <x:c r="U341" s="175" t="n">
        <x:v>0</x:v>
      </x:c>
      <x:c r="V341" s="175" t="n">
        <x:f>SUM(S341:U341)</x:f>
        <x:v>0</x:v>
      </x:c>
      <x:c r="W341" s="108" t="str">
        <x:v>https://fantasy.espn.com/football/leaders?leagueId=555583&amp;lineupSlot=16&amp;scoringPeriodId=0&amp;statSplit=lastSeason</x:v>
      </x:c>
    </x:row>
    <x:row r="342">
      <x:c r="A342" s="108" t="str">
        <x:v>D/ST</x:v>
      </x:c>
      <x:c r="B342" s="175" t="n">
        <x:f>1+COUNTIFS($A$4:$A$356,A342,$J$4:$J$356,"&gt;"&amp;J342)</x:f>
        <x:v>16</x:v>
      </x:c>
      <x:c r="C342" s="175" t="n">
        <x:v>16</x:v>
      </x:c>
      <x:c r="D342" s="108" t="str">
        <x:v>Dolphins D/ST</x:v>
      </x:c>
      <x:c r="E342" s="108" t="str">
        <x:v>MIA</x:v>
      </x:c>
      <x:c r="F342" s="108" t="str">
        <x:v>MIA</x:v>
      </x:c>
      <x:c r="G342" s="109" t="n">
        <x:v>179.5</x:v>
      </x:c>
      <x:c r="H342" s="109" t="n">
        <x:f>'Weekly Points'!W342</x:f>
        <x:v>10.558823529411764</x:v>
      </x:c>
      <x:c r="I342" s="109" t="n">
        <x:f>'Weekly Points'!X342</x:f>
        <x:v>8</x:v>
      </x:c>
      <x:c r="J342" s="109" t="n">
        <x:f>'Weekly Points'!Y342</x:f>
        <x:v>6</x:v>
      </x:c>
      <x:c r="K342" s="109" t="n">
        <x:f>'Weekly Points'!Z342</x:f>
        <x:v>6.485010664740599</x:v>
      </x:c>
      <x:c r="L342" s="173" t="n">
        <x:f>'Weekly Points'!AA342</x:f>
        <x:v>0.6141792830116445</x:v>
      </x:c>
      <x:c r="M342" s="173" t="n">
        <x:f>'Weekly Points'!AB342</x:f>
        <x:v>0.23529411764705882</x:v>
      </x:c>
      <x:c r="N342" s="109" t="n">
        <x:f>0.5*J342+0.3*I342+0.2*H342</x:f>
        <x:v>7.511764705882353</x:v>
      </x:c>
      <x:c r="O342" s="175" t="n">
        <x:v>17</x:v>
      </x:c>
      <x:c r="P342" s="175" t="n">
        <x:v>12</x:v>
      </x:c>
      <x:c r="Q342" s="175" t="n">
        <x:v>0</x:v>
      </x:c>
      <x:c r="R342" s="175" t="n">
        <x:v>0</x:v>
      </x:c>
      <x:c r="S342" s="175" t="n">
        <x:v>0</x:v>
      </x:c>
      <x:c r="T342" s="175" t="n">
        <x:v>0</x:v>
      </x:c>
      <x:c r="U342" s="175" t="n">
        <x:v>0</x:v>
      </x:c>
      <x:c r="V342" s="175" t="n">
        <x:f>SUM(S342:U342)</x:f>
        <x:v>0</x:v>
      </x:c>
      <x:c r="W342" s="108" t="str">
        <x:v>https://fantasy.espn.com/football/leaders?leagueId=555583&amp;lineupSlot=16&amp;scoringPeriodId=0&amp;statSplit=lastSeason</x:v>
      </x:c>
    </x:row>
    <x:row r="343">
      <x:c r="A343" s="108" t="str">
        <x:v>D/ST</x:v>
      </x:c>
      <x:c r="B343" s="175" t="n">
        <x:f>1+COUNTIFS($A$4:$A$356,A343,$J$4:$J$356,"&gt;"&amp;J343)</x:f>
        <x:v>16</x:v>
      </x:c>
      <x:c r="C343" s="175" t="n">
        <x:v>20</x:v>
      </x:c>
      <x:c r="D343" s="108" t="str">
        <x:v>Raiders D/ST</x:v>
      </x:c>
      <x:c r="E343" s="108" t="str">
        <x:v>LV</x:v>
      </x:c>
      <x:c r="F343" s="108" t="str">
        <x:v>LV</x:v>
      </x:c>
      <x:c r="G343" s="109" t="n">
        <x:v>173</x:v>
      </x:c>
      <x:c r="H343" s="109" t="n">
        <x:f>'Weekly Points'!W343</x:f>
        <x:v>10.176470588235293</x:v>
      </x:c>
      <x:c r="I343" s="109" t="n">
        <x:f>'Weekly Points'!X343</x:f>
        <x:v>9.5</x:v>
      </x:c>
      <x:c r="J343" s="109" t="n">
        <x:f>'Weekly Points'!Y343</x:f>
        <x:v>6</x:v>
      </x:c>
      <x:c r="K343" s="109" t="n">
        <x:f>'Weekly Points'!Z343</x:f>
        <x:v>6.439631831982935</x:v>
      </x:c>
      <x:c r="L343" s="173" t="n">
        <x:f>'Weekly Points'!AA343</x:f>
        <x:v>0.6327961915821382</x:v>
      </x:c>
      <x:c r="M343" s="173" t="n">
        <x:f>'Weekly Points'!AB343</x:f>
        <x:v>0.17647058823529413</x:v>
      </x:c>
      <x:c r="N343" s="109" t="n">
        <x:f>0.5*J343+0.3*I343+0.2*H343</x:f>
        <x:v>7.885294117647058</x:v>
      </x:c>
      <x:c r="O343" s="175" t="n">
        <x:v>17</x:v>
      </x:c>
      <x:c r="P343" s="175" t="n">
        <x:v>8</x:v>
      </x:c>
      <x:c r="Q343" s="175" t="n">
        <x:v>0</x:v>
      </x:c>
      <x:c r="R343" s="175" t="n">
        <x:v>0</x:v>
      </x:c>
      <x:c r="S343" s="175" t="n">
        <x:v>0</x:v>
      </x:c>
      <x:c r="T343" s="175" t="n">
        <x:v>0</x:v>
      </x:c>
      <x:c r="U343" s="175" t="n">
        <x:v>0</x:v>
      </x:c>
      <x:c r="V343" s="175" t="n">
        <x:f>SUM(S343:U343)</x:f>
        <x:v>0</x:v>
      </x:c>
      <x:c r="W343" s="108" t="str">
        <x:v>https://fantasy.espn.com/football/leaders?leagueId=555583&amp;lineupSlot=16&amp;scoringPeriodId=0&amp;statSplit=lastSeason</x:v>
      </x:c>
    </x:row>
    <x:row r="344">
      <x:c r="A344" s="108" t="str">
        <x:v>D/ST</x:v>
      </x:c>
      <x:c r="B344" s="175" t="n">
        <x:f>1+COUNTIFS($A$4:$A$356,A344,$J$4:$J$356,"&gt;"&amp;J344)</x:f>
        <x:v>16</x:v>
      </x:c>
      <x:c r="C344" s="175" t="n">
        <x:v>5</x:v>
      </x:c>
      <x:c r="D344" s="108" t="str">
        <x:v>Browns D/ST</x:v>
      </x:c>
      <x:c r="E344" s="108" t="str">
        <x:v>CLE</x:v>
      </x:c>
      <x:c r="F344" s="108" t="str">
        <x:v>CLE</x:v>
      </x:c>
      <x:c r="G344" s="109" t="n">
        <x:v>229</x:v>
      </x:c>
      <x:c r="H344" s="109" t="n">
        <x:f>'Weekly Points'!W344</x:f>
        <x:v>13.470588235294118</x:v>
      </x:c>
      <x:c r="I344" s="109" t="n">
        <x:f>'Weekly Points'!X344</x:f>
        <x:v>11</x:v>
      </x:c>
      <x:c r="J344" s="109" t="n">
        <x:f>'Weekly Points'!Y344</x:f>
        <x:v>6</x:v>
      </x:c>
      <x:c r="K344" s="109" t="n">
        <x:f>'Weekly Points'!Z344</x:f>
        <x:v>9.130541167254021</x:v>
      </x:c>
      <x:c r="L344" s="173" t="n">
        <x:f>'Weekly Points'!AA344</x:f>
        <x:v>0.6778130997524819</x:v>
      </x:c>
      <x:c r="M344" s="173" t="n">
        <x:f>'Weekly Points'!AB344</x:f>
        <x:v>0.29411764705882354</x:v>
      </x:c>
      <x:c r="N344" s="109" t="n">
        <x:f>0.5*J344+0.3*I344+0.2*H344</x:f>
        <x:v>8.994117647058824</x:v>
      </x:c>
      <x:c r="O344" s="175" t="n">
        <x:v>17</x:v>
      </x:c>
      <x:c r="P344" s="175" t="n">
        <x:v>9</x:v>
      </x:c>
      <x:c r="Q344" s="175" t="n">
        <x:v>0</x:v>
      </x:c>
      <x:c r="R344" s="175" t="n">
        <x:v>0</x:v>
      </x:c>
      <x:c r="S344" s="175" t="n">
        <x:v>0</x:v>
      </x:c>
      <x:c r="T344" s="175" t="n">
        <x:v>0</x:v>
      </x:c>
      <x:c r="U344" s="175" t="n">
        <x:v>0</x:v>
      </x:c>
      <x:c r="V344" s="175" t="n">
        <x:f>SUM(S344:U344)</x:f>
        <x:v>0</x:v>
      </x:c>
      <x:c r="W344" s="108" t="str">
        <x:v>https://fantasy.espn.com/football/leaders?leagueId=555583&amp;lineupSlot=16&amp;scoringPeriodId=0&amp;statSplit=lastSeason</x:v>
      </x:c>
    </x:row>
    <x:row r="345">
      <x:c r="A345" s="108" t="str">
        <x:v>D/ST</x:v>
      </x:c>
      <x:c r="B345" s="175" t="n">
        <x:f>1+COUNTIFS($A$4:$A$356,A345,$J$4:$J$356,"&gt;"&amp;J345)</x:f>
        <x:v>21</x:v>
      </x:c>
      <x:c r="C345" s="175" t="n">
        <x:v>14</x:v>
      </x:c>
      <x:c r="D345" s="108" t="str">
        <x:v>Falcons D/ST</x:v>
      </x:c>
      <x:c r="E345" s="108" t="str">
        <x:v>ATL</x:v>
      </x:c>
      <x:c r="F345" s="108" t="str">
        <x:v>ATL</x:v>
      </x:c>
      <x:c r="G345" s="109" t="n">
        <x:v>183.5</x:v>
      </x:c>
      <x:c r="H345" s="109" t="n">
        <x:f>'Weekly Points'!W345</x:f>
        <x:v>10.794117647058824</x:v>
      </x:c>
      <x:c r="I345" s="109" t="n">
        <x:f>'Weekly Points'!X345</x:f>
        <x:v>8</x:v>
      </x:c>
      <x:c r="J345" s="109" t="n">
        <x:f>'Weekly Points'!Y345</x:f>
        <x:v>5.5</x:v>
      </x:c>
      <x:c r="K345" s="109" t="n">
        <x:f>'Weekly Points'!Z345</x:f>
        <x:v>6.747676775640051</x:v>
      </x:c>
      <x:c r="L345" s="173" t="n">
        <x:f>'Weekly Points'!AA345</x:f>
        <x:v>0.6251253688603862</x:v>
      </x:c>
      <x:c r="M345" s="173" t="n">
        <x:f>'Weekly Points'!AB345</x:f>
        <x:v>0.17647058823529413</x:v>
      </x:c>
      <x:c r="N345" s="109" t="n">
        <x:f>0.5*J345+0.3*I345+0.2*H345</x:f>
        <x:v>7.308823529411765</x:v>
      </x:c>
      <x:c r="O345" s="175" t="n">
        <x:v>17</x:v>
      </x:c>
      <x:c r="P345" s="175" t="n">
        <x:v>5</x:v>
      </x:c>
      <x:c r="Q345" s="175" t="n">
        <x:v>0</x:v>
      </x:c>
      <x:c r="R345" s="175" t="n">
        <x:v>0</x:v>
      </x:c>
      <x:c r="S345" s="175" t="n">
        <x:v>0</x:v>
      </x:c>
      <x:c r="T345" s="175" t="n">
        <x:v>0</x:v>
      </x:c>
      <x:c r="U345" s="175" t="n">
        <x:v>0</x:v>
      </x:c>
      <x:c r="V345" s="175" t="n">
        <x:f>SUM(S345:U345)</x:f>
        <x:v>0</x:v>
      </x:c>
      <x:c r="W345" s="108" t="str">
        <x:v>https://fantasy.espn.com/football/leaders?leagueId=555583&amp;lineupSlot=16&amp;scoringPeriodId=0&amp;statSplit=lastSeason</x:v>
      </x:c>
    </x:row>
    <x:row r="346">
      <x:c r="A346" s="108" t="str">
        <x:v>D/ST</x:v>
      </x:c>
      <x:c r="B346" s="175" t="n">
        <x:f>1+COUNTIFS($A$4:$A$356,A346,$J$4:$J$356,"&gt;"&amp;J346)</x:f>
        <x:v>21</x:v>
      </x:c>
      <x:c r="C346" s="175" t="n">
        <x:v>19</x:v>
      </x:c>
      <x:c r="D346" s="108" t="str">
        <x:v>Panthers D/ST</x:v>
      </x:c>
      <x:c r="E346" s="108" t="str">
        <x:v>CAR</x:v>
      </x:c>
      <x:c r="F346" s="108" t="str">
        <x:v>CAR</x:v>
      </x:c>
      <x:c r="G346" s="109" t="n">
        <x:v>176.5</x:v>
      </x:c>
      <x:c r="H346" s="109" t="n">
        <x:f>'Weekly Points'!W346</x:f>
        <x:v>10.382352941176471</x:v>
      </x:c>
      <x:c r="I346" s="109" t="n">
        <x:f>'Weekly Points'!X346</x:f>
        <x:v>9.5</x:v>
      </x:c>
      <x:c r="J346" s="109" t="n">
        <x:f>'Weekly Points'!Y346</x:f>
        <x:v>5.5</x:v>
      </x:c>
      <x:c r="K346" s="109" t="n">
        <x:f>'Weekly Points'!Z346</x:f>
        <x:v>6.969533303146475</x:v>
      </x:c>
      <x:c r="L346" s="173" t="n">
        <x:f>'Weekly Points'!AA346</x:f>
        <x:v>0.6712864937874792</x:v>
      </x:c>
      <x:c r="M346" s="173" t="n">
        <x:f>'Weekly Points'!AB346</x:f>
        <x:v>0.23529411764705882</x:v>
      </x:c>
      <x:c r="N346" s="109" t="n">
        <x:f>0.5*J346+0.3*I346+0.2*H346</x:f>
        <x:v>7.6764705882352935</x:v>
      </x:c>
      <x:c r="O346" s="175" t="n">
        <x:v>17</x:v>
      </x:c>
      <x:c r="P346" s="175" t="n">
        <x:v>14</x:v>
      </x:c>
      <x:c r="Q346" s="175" t="n">
        <x:v>0</x:v>
      </x:c>
      <x:c r="R346" s="175" t="n">
        <x:v>0</x:v>
      </x:c>
      <x:c r="S346" s="175" t="n">
        <x:v>0</x:v>
      </x:c>
      <x:c r="T346" s="175" t="n">
        <x:v>0</x:v>
      </x:c>
      <x:c r="U346" s="175" t="n">
        <x:v>0</x:v>
      </x:c>
      <x:c r="V346" s="175" t="n">
        <x:f>SUM(S346:U346)</x:f>
        <x:v>0</x:v>
      </x:c>
      <x:c r="W346" s="108" t="str">
        <x:v>https://fantasy.espn.com/football/leaders?leagueId=555583&amp;lineupSlot=16&amp;scoringPeriodId=0&amp;statSplit=lastSeason</x:v>
      </x:c>
    </x:row>
    <x:row r="347">
      <x:c r="A347" s="108" t="str">
        <x:v>D/ST</x:v>
      </x:c>
      <x:c r="B347" s="175" t="n">
        <x:f>1+COUNTIFS($A$4:$A$356,A347,$J$4:$J$356,"&gt;"&amp;J347)</x:f>
        <x:v>23</x:v>
      </x:c>
      <x:c r="C347" s="175" t="n">
        <x:v>23</x:v>
      </x:c>
      <x:c r="D347" s="108" t="str">
        <x:v>Chiefs D/ST</x:v>
      </x:c>
      <x:c r="E347" s="108" t="str">
        <x:v>KC</x:v>
      </x:c>
      <x:c r="F347" s="108" t="str">
        <x:v>KC</x:v>
      </x:c>
      <x:c r="G347" s="109" t="n">
        <x:v>164</x:v>
      </x:c>
      <x:c r="H347" s="109" t="n">
        <x:f>'Weekly Points'!W347</x:f>
        <x:v>9.647058823529411</x:v>
      </x:c>
      <x:c r="I347" s="109" t="n">
        <x:f>'Weekly Points'!X347</x:f>
        <x:v>8</x:v>
      </x:c>
      <x:c r="J347" s="109" t="n">
        <x:f>'Weekly Points'!Y347</x:f>
        <x:v>5</x:v>
      </x:c>
      <x:c r="K347" s="109" t="n">
        <x:f>'Weekly Points'!Z347</x:f>
        <x:v>5.362628596791692</x:v>
      </x:c>
      <x:c r="L347" s="173" t="n">
        <x:f>'Weekly Points'!AA347</x:f>
        <x:v>0.5558822325942607</x:v>
      </x:c>
      <x:c r="M347" s="173" t="n">
        <x:f>'Weekly Points'!AB347</x:f>
        <x:v>0.23529411764705882</x:v>
      </x:c>
      <x:c r="N347" s="109" t="n">
        <x:f>0.5*J347+0.3*I347+0.2*H347</x:f>
        <x:v>6.829411764705883</x:v>
      </x:c>
      <x:c r="O347" s="175" t="n">
        <x:v>17</x:v>
      </x:c>
      <x:c r="P347" s="175" t="n">
        <x:v>10</x:v>
      </x:c>
      <x:c r="Q347" s="175" t="n">
        <x:v>0</x:v>
      </x:c>
      <x:c r="R347" s="175" t="n">
        <x:v>0</x:v>
      </x:c>
      <x:c r="S347" s="175" t="n">
        <x:v>0</x:v>
      </x:c>
      <x:c r="T347" s="175" t="n">
        <x:v>0</x:v>
      </x:c>
      <x:c r="U347" s="175" t="n">
        <x:v>0</x:v>
      </x:c>
      <x:c r="V347" s="175" t="n">
        <x:f>SUM(S347:U347)</x:f>
        <x:v>0</x:v>
      </x:c>
      <x:c r="W347" s="108" t="str">
        <x:v>https://fantasy.espn.com/football/leaders?leagueId=555583&amp;lineupSlot=16&amp;scoringPeriodId=0&amp;statSplit=lastSeason</x:v>
      </x:c>
    </x:row>
    <x:row r="348">
      <x:c r="A348" s="108" t="str">
        <x:v>D/ST</x:v>
      </x:c>
      <x:c r="B348" s="175" t="n">
        <x:f>1+COUNTIFS($A$4:$A$356,A348,$J$4:$J$356,"&gt;"&amp;J348)</x:f>
        <x:v>23</x:v>
      </x:c>
      <x:c r="C348" s="175" t="n">
        <x:v>22</x:v>
      </x:c>
      <x:c r="D348" s="108" t="str">
        <x:v>Lions D/ST</x:v>
      </x:c>
      <x:c r="E348" s="108" t="str">
        <x:v>DET</x:v>
      </x:c>
      <x:c r="F348" s="108" t="str">
        <x:v>DET</x:v>
      </x:c>
      <x:c r="G348" s="109" t="n">
        <x:v>165.5</x:v>
      </x:c>
      <x:c r="H348" s="109" t="n">
        <x:f>'Weekly Points'!W348</x:f>
        <x:v>9.735294117647058</x:v>
      </x:c>
      <x:c r="I348" s="109" t="n">
        <x:f>'Weekly Points'!X348</x:f>
        <x:v>9</x:v>
      </x:c>
      <x:c r="J348" s="109" t="n">
        <x:f>'Weekly Points'!Y348</x:f>
        <x:v>5</x:v>
      </x:c>
      <x:c r="K348" s="109" t="n">
        <x:f>'Weekly Points'!Z348</x:f>
        <x:v>6.462829573024915</x:v>
      </x:c>
      <x:c r="L348" s="173" t="n">
        <x:f>'Weekly Points'!AA348</x:f>
        <x:v>0.6638556056883599</x:v>
      </x:c>
      <x:c r="M348" s="173" t="n">
        <x:f>'Weekly Points'!AB348</x:f>
        <x:v>0.23529411764705882</x:v>
      </x:c>
      <x:c r="N348" s="109" t="n">
        <x:f>0.5*J348+0.3*I348+0.2*H348</x:f>
        <x:v>7.147058823529411</x:v>
      </x:c>
      <x:c r="O348" s="175" t="n">
        <x:v>17</x:v>
      </x:c>
      <x:c r="P348" s="175" t="n">
        <x:v>8</x:v>
      </x:c>
      <x:c r="Q348" s="175" t="n">
        <x:v>0</x:v>
      </x:c>
      <x:c r="R348" s="175" t="n">
        <x:v>0</x:v>
      </x:c>
      <x:c r="S348" s="175" t="n">
        <x:v>0</x:v>
      </x:c>
      <x:c r="T348" s="175" t="n">
        <x:v>0</x:v>
      </x:c>
      <x:c r="U348" s="175" t="n">
        <x:v>0</x:v>
      </x:c>
      <x:c r="V348" s="175" t="n">
        <x:f>SUM(S348:U348)</x:f>
        <x:v>0</x:v>
      </x:c>
      <x:c r="W348" s="108" t="str">
        <x:v>https://fantasy.espn.com/football/leaders?leagueId=555583&amp;lineupSlot=16&amp;scoringPeriodId=0&amp;statSplit=lastSeason</x:v>
      </x:c>
    </x:row>
    <x:row r="349">
      <x:c r="A349" s="108" t="str">
        <x:v>D/ST</x:v>
      </x:c>
      <x:c r="B349" s="175" t="n">
        <x:f>1+COUNTIFS($A$4:$A$356,A349,$J$4:$J$356,"&gt;"&amp;J349)</x:f>
        <x:v>25</x:v>
      </x:c>
      <x:c r="C349" s="175" t="n">
        <x:v>17</x:v>
      </x:c>
      <x:c r="D349" s="108" t="str">
        <x:v>Ravens D/ST</x:v>
      </x:c>
      <x:c r="E349" s="108" t="str">
        <x:v>BAL</x:v>
      </x:c>
      <x:c r="F349" s="108" t="str">
        <x:v>BAL</x:v>
      </x:c>
      <x:c r="G349" s="109" t="n">
        <x:v>177.5</x:v>
      </x:c>
      <x:c r="H349" s="109" t="n">
        <x:f>'Weekly Points'!W349</x:f>
        <x:v>10.441176470588236</x:v>
      </x:c>
      <x:c r="I349" s="109" t="n">
        <x:f>'Weekly Points'!X349</x:f>
        <x:v>9.5</x:v>
      </x:c>
      <x:c r="J349" s="109" t="n">
        <x:f>'Weekly Points'!Y349</x:f>
        <x:v>4.5</x:v>
      </x:c>
      <x:c r="K349" s="109" t="n">
        <x:f>'Weekly Points'!Z349</x:f>
        <x:v>8.29755873548709</x:v>
      </x:c>
      <x:c r="L349" s="173" t="n">
        <x:f>'Weekly Points'!AA349</x:f>
        <x:v>0.794695766215665</x:v>
      </x:c>
      <x:c r="M349" s="173" t="n">
        <x:f>'Weekly Points'!AB349</x:f>
        <x:v>0.35294117647058826</x:v>
      </x:c>
      <x:c r="N349" s="109" t="n">
        <x:f>0.5*J349+0.3*I349+0.2*H349</x:f>
        <x:v>7.188235294117646</x:v>
      </x:c>
      <x:c r="O349" s="175" t="n">
        <x:v>17</x:v>
      </x:c>
      <x:c r="P349" s="175" t="n">
        <x:v>7</x:v>
      </x:c>
      <x:c r="Q349" s="175" t="n">
        <x:v>0</x:v>
      </x:c>
      <x:c r="R349" s="175" t="n">
        <x:v>0</x:v>
      </x:c>
      <x:c r="S349" s="175" t="n">
        <x:v>0</x:v>
      </x:c>
      <x:c r="T349" s="175" t="n">
        <x:v>0</x:v>
      </x:c>
      <x:c r="U349" s="175" t="n">
        <x:v>0</x:v>
      </x:c>
      <x:c r="V349" s="175" t="n">
        <x:f>SUM(S349:U349)</x:f>
        <x:v>0</x:v>
      </x:c>
      <x:c r="W349" s="108" t="str">
        <x:v>https://fantasy.espn.com/football/leaders?leagueId=555583&amp;lineupSlot=16&amp;scoringPeriodId=0&amp;statSplit=lastSeason</x:v>
      </x:c>
    </x:row>
    <x:row r="350">
      <x:c r="A350" s="108" t="str">
        <x:v>D/ST</x:v>
      </x:c>
      <x:c r="B350" s="175" t="n">
        <x:f>1+COUNTIFS($A$4:$A$356,A350,$J$4:$J$356,"&gt;"&amp;J350)</x:f>
        <x:v>25</x:v>
      </x:c>
      <x:c r="C350" s="175" t="n">
        <x:v>27</x:v>
      </x:c>
      <x:c r="D350" s="108" t="str">
        <x:v>Giants D/ST</x:v>
      </x:c>
      <x:c r="E350" s="108" t="str">
        <x:v>NYG</x:v>
      </x:c>
      <x:c r="F350" s="108" t="str">
        <x:v>NYG</x:v>
      </x:c>
      <x:c r="G350" s="109" t="n">
        <x:v>148.5</x:v>
      </x:c>
      <x:c r="H350" s="109" t="n">
        <x:f>'Weekly Points'!W350</x:f>
        <x:v>8.735294117647058</x:v>
      </x:c>
      <x:c r="I350" s="109" t="n">
        <x:f>'Weekly Points'!X350</x:f>
        <x:v>7</x:v>
      </x:c>
      <x:c r="J350" s="109" t="n">
        <x:f>'Weekly Points'!Y350</x:f>
        <x:v>4.5</x:v>
      </x:c>
      <x:c r="K350" s="109" t="n">
        <x:f>'Weekly Points'!Z350</x:f>
        <x:v>7.073391829406762</x:v>
      </x:c>
      <x:c r="L350" s="173" t="n">
        <x:f>'Weekly Points'!AA350</x:f>
        <x:v>0.8097485595953869</x:v>
      </x:c>
      <x:c r="M350" s="173" t="n">
        <x:f>'Weekly Points'!AB350</x:f>
        <x:v>0.23529411764705882</x:v>
      </x:c>
      <x:c r="N350" s="109" t="n">
        <x:f>0.5*J350+0.3*I350+0.2*H350</x:f>
        <x:v>6.097058823529411</x:v>
      </x:c>
      <x:c r="O350" s="175" t="n">
        <x:v>16</x:v>
      </x:c>
      <x:c r="P350" s="175" t="n">
        <x:v>14</x:v>
      </x:c>
      <x:c r="Q350" s="175" t="n">
        <x:v>0</x:v>
      </x:c>
      <x:c r="R350" s="175" t="n">
        <x:v>0</x:v>
      </x:c>
      <x:c r="S350" s="175" t="n">
        <x:v>0</x:v>
      </x:c>
      <x:c r="T350" s="175" t="n">
        <x:v>0</x:v>
      </x:c>
      <x:c r="U350" s="175" t="n">
        <x:v>0</x:v>
      </x:c>
      <x:c r="V350" s="175" t="n">
        <x:f>SUM(S350:U350)</x:f>
        <x:v>0</x:v>
      </x:c>
      <x:c r="W350" s="108" t="str">
        <x:v>https://fantasy.espn.com/football/leaders?leagueId=555583&amp;lineupSlot=16&amp;scoringPeriodId=0&amp;statSplit=lastSeason</x:v>
      </x:c>
    </x:row>
    <x:row r="351">
      <x:c r="A351" s="108" t="str">
        <x:v>D/ST</x:v>
      </x:c>
      <x:c r="B351" s="175" t="n">
        <x:f>1+COUNTIFS($A$4:$A$356,A351,$J$4:$J$356,"&gt;"&amp;J351)</x:f>
        <x:v>27</x:v>
      </x:c>
      <x:c r="C351" s="175" t="n">
        <x:v>32</x:v>
      </x:c>
      <x:c r="D351" s="108" t="str">
        <x:v>Cowboys D/ST</x:v>
      </x:c>
      <x:c r="E351" s="108" t="str">
        <x:v>DAL</x:v>
      </x:c>
      <x:c r="F351" s="108" t="str">
        <x:v>DAL</x:v>
      </x:c>
      <x:c r="G351" s="109" t="n">
        <x:v>134</x:v>
      </x:c>
      <x:c r="H351" s="109" t="n">
        <x:f>'Weekly Points'!W351</x:f>
        <x:v>7.882352941176471</x:v>
      </x:c>
      <x:c r="I351" s="109" t="n">
        <x:f>'Weekly Points'!X351</x:f>
        <x:v>6.5</x:v>
      </x:c>
      <x:c r="J351" s="109" t="n">
        <x:f>'Weekly Points'!Y351</x:f>
        <x:v>4</x:v>
      </x:c>
      <x:c r="K351" s="109" t="n">
        <x:f>'Weekly Points'!Z351</x:f>
        <x:v>4.986833876391577</x:v>
      </x:c>
      <x:c r="L351" s="173" t="n">
        <x:f>'Weekly Points'!AA351</x:f>
        <x:v>0.6326580290944538</x:v>
      </x:c>
      <x:c r="M351" s="173" t="n">
        <x:f>'Weekly Points'!AB351</x:f>
        <x:v>0.23529411764705882</x:v>
      </x:c>
      <x:c r="N351" s="109" t="n">
        <x:f>0.5*J351+0.3*I351+0.2*H351</x:f>
        <x:v>5.526470588235295</x:v>
      </x:c>
      <x:c r="O351" s="175" t="n">
        <x:v>17</x:v>
      </x:c>
      <x:c r="P351" s="175" t="n">
        <x:v>10</x:v>
      </x:c>
      <x:c r="Q351" s="175" t="n">
        <x:v>0</x:v>
      </x:c>
      <x:c r="R351" s="175" t="n">
        <x:v>0</x:v>
      </x:c>
      <x:c r="S351" s="175" t="n">
        <x:v>0</x:v>
      </x:c>
      <x:c r="T351" s="175" t="n">
        <x:v>0</x:v>
      </x:c>
      <x:c r="U351" s="175" t="n">
        <x:v>0</x:v>
      </x:c>
      <x:c r="V351" s="175" t="n">
        <x:f>SUM(S351:U351)</x:f>
        <x:v>0</x:v>
      </x:c>
      <x:c r="W351" s="108" t="str">
        <x:v>https://fantasy.espn.com/football/leaders?leagueId=555583&amp;lineupSlot=16&amp;scoringPeriodId=0&amp;statSplit=lastSeason</x:v>
      </x:c>
    </x:row>
    <x:row r="352">
      <x:c r="A352" s="108" t="str">
        <x:v>D/ST</x:v>
      </x:c>
      <x:c r="B352" s="175" t="n">
        <x:f>1+COUNTIFS($A$4:$A$356,A352,$J$4:$J$356,"&gt;"&amp;J352)</x:f>
        <x:v>27</x:v>
      </x:c>
      <x:c r="C352" s="175" t="n">
        <x:v>24</x:v>
      </x:c>
      <x:c r="D352" s="108" t="str">
        <x:v>Packers D/ST</x:v>
      </x:c>
      <x:c r="E352" s="108" t="str">
        <x:v>GB</x:v>
      </x:c>
      <x:c r="F352" s="108" t="str">
        <x:v>GB</x:v>
      </x:c>
      <x:c r="G352" s="109" t="n">
        <x:v>154.5</x:v>
      </x:c>
      <x:c r="H352" s="109" t="n">
        <x:f>'Weekly Points'!W352</x:f>
        <x:v>9.088235294117647</x:v>
      </x:c>
      <x:c r="I352" s="109" t="n">
        <x:f>'Weekly Points'!X352</x:f>
        <x:v>9</x:v>
      </x:c>
      <x:c r="J352" s="109" t="n">
        <x:f>'Weekly Points'!Y352</x:f>
        <x:v>4</x:v>
      </x:c>
      <x:c r="K352" s="109" t="n">
        <x:f>'Weekly Points'!Z352</x:f>
        <x:v>6.3088063896654605</x:v>
      </x:c>
      <x:c r="L352" s="173" t="n">
        <x:f>'Weekly Points'!AA352</x:f>
        <x:v>0.6941728713547756</x:v>
      </x:c>
      <x:c r="M352" s="173" t="n">
        <x:f>'Weekly Points'!AB352</x:f>
        <x:v>0.35294117647058826</x:v>
      </x:c>
      <x:c r="N352" s="109" t="n">
        <x:f>0.5*J352+0.3*I352+0.2*H352</x:f>
        <x:v>6.5176470588235285</x:v>
      </x:c>
      <x:c r="O352" s="175" t="n">
        <x:v>16</x:v>
      </x:c>
      <x:c r="P352" s="175" t="n">
        <x:v>5</x:v>
      </x:c>
      <x:c r="Q352" s="175" t="n">
        <x:v>0</x:v>
      </x:c>
      <x:c r="R352" s="175" t="n">
        <x:v>0</x:v>
      </x:c>
      <x:c r="S352" s="175" t="n">
        <x:v>0</x:v>
      </x:c>
      <x:c r="T352" s="175" t="n">
        <x:v>0</x:v>
      </x:c>
      <x:c r="U352" s="175" t="n">
        <x:v>0</x:v>
      </x:c>
      <x:c r="V352" s="175" t="n">
        <x:f>SUM(S352:U352)</x:f>
        <x:v>0</x:v>
      </x:c>
      <x:c r="W352" s="108" t="str">
        <x:v>https://fantasy.espn.com/football/leaders?leagueId=555583&amp;lineupSlot=16&amp;scoringPeriodId=0&amp;statSplit=lastSeason</x:v>
      </x:c>
    </x:row>
    <x:row r="353">
      <x:c r="A353" s="108" t="str">
        <x:v>D/ST</x:v>
      </x:c>
      <x:c r="B353" s="175" t="n">
        <x:f>1+COUNTIFS($A$4:$A$356,A353,$J$4:$J$356,"&gt;"&amp;J353)</x:f>
        <x:v>27</x:v>
      </x:c>
      <x:c r="C353" s="175" t="n">
        <x:v>30</x:v>
      </x:c>
      <x:c r="D353" s="108" t="str">
        <x:v>Jets D/ST</x:v>
      </x:c>
      <x:c r="E353" s="108" t="str">
        <x:v>NYJ</x:v>
      </x:c>
      <x:c r="F353" s="108" t="str">
        <x:v>NYJ</x:v>
      </x:c>
      <x:c r="G353" s="109" t="n">
        <x:v>140.5</x:v>
      </x:c>
      <x:c r="H353" s="109" t="n">
        <x:f>'Weekly Points'!W353</x:f>
        <x:v>8.264705882352942</x:v>
      </x:c>
      <x:c r="I353" s="109" t="n">
        <x:f>'Weekly Points'!X353</x:f>
        <x:v>6</x:v>
      </x:c>
      <x:c r="J353" s="109" t="n">
        <x:f>'Weekly Points'!Y353</x:f>
        <x:v>4</x:v>
      </x:c>
      <x:c r="K353" s="109" t="n">
        <x:f>'Weekly Points'!Z353</x:f>
        <x:v>6.769563473325083</x:v>
      </x:c>
      <x:c r="L353" s="173" t="n">
        <x:f>'Weekly Points'!AA353</x:f>
        <x:v>0.8190930892991203</x:v>
      </x:c>
      <x:c r="M353" s="173" t="n">
        <x:f>'Weekly Points'!AB353</x:f>
        <x:v>0.35294117647058826</x:v>
      </x:c>
      <x:c r="N353" s="109" t="n">
        <x:f>0.5*J353+0.3*I353+0.2*H353</x:f>
        <x:v>5.452941176470588</x:v>
      </x:c>
      <x:c r="O353" s="175" t="n">
        <x:v>16</x:v>
      </x:c>
      <x:c r="P353" s="175" t="n">
        <x:v>9</x:v>
      </x:c>
      <x:c r="Q353" s="175" t="n">
        <x:v>0</x:v>
      </x:c>
      <x:c r="R353" s="175" t="n">
        <x:v>0</x:v>
      </x:c>
      <x:c r="S353" s="175" t="n">
        <x:v>0</x:v>
      </x:c>
      <x:c r="T353" s="175" t="n">
        <x:v>0</x:v>
      </x:c>
      <x:c r="U353" s="175" t="n">
        <x:v>0</x:v>
      </x:c>
      <x:c r="V353" s="175" t="n">
        <x:f>SUM(S353:U353)</x:f>
        <x:v>0</x:v>
      </x:c>
      <x:c r="W353" s="108" t="str">
        <x:v>https://fantasy.espn.com/football/leaders?leagueId=555583&amp;lineupSlot=16&amp;scoringPeriodId=0&amp;statSplit=lastSeason</x:v>
      </x:c>
    </x:row>
    <x:row r="354">
      <x:c r="A354" s="108" t="str">
        <x:v>D/ST</x:v>
      </x:c>
      <x:c r="B354" s="175" t="n">
        <x:f>1+COUNTIFS($A$4:$A$356,A354,$J$4:$J$356,"&gt;"&amp;J354)</x:f>
        <x:v>30</x:v>
      </x:c>
      <x:c r="C354" s="175" t="n">
        <x:v>31</x:v>
      </x:c>
      <x:c r="D354" s="108" t="str">
        <x:v>Bengals D/ST</x:v>
      </x:c>
      <x:c r="E354" s="108" t="str">
        <x:v>CIN</x:v>
      </x:c>
      <x:c r="F354" s="108" t="str">
        <x:v>CIN</x:v>
      </x:c>
      <x:c r="G354" s="109" t="n">
        <x:v>135</x:v>
      </x:c>
      <x:c r="H354" s="109" t="n">
        <x:f>'Weekly Points'!W354</x:f>
        <x:v>7.9411764705882355</x:v>
      </x:c>
      <x:c r="I354" s="109" t="n">
        <x:f>'Weekly Points'!X354</x:f>
        <x:v>8</x:v>
      </x:c>
      <x:c r="J354" s="109" t="n">
        <x:f>'Weekly Points'!Y354</x:f>
        <x:v>3.5</x:v>
      </x:c>
      <x:c r="K354" s="109" t="n">
        <x:f>'Weekly Points'!Z354</x:f>
        <x:v>5.092908428685497</x:v>
      </x:c>
      <x:c r="L354" s="173" t="n">
        <x:f>'Weekly Points'!AA354</x:f>
        <x:v>0.6413292095381737</x:v>
      </x:c>
      <x:c r="M354" s="173" t="n">
        <x:f>'Weekly Points'!AB354</x:f>
        <x:v>0.29411764705882354</x:v>
      </x:c>
      <x:c r="N354" s="109" t="n">
        <x:f>0.5*J354+0.3*I354+0.2*H354</x:f>
        <x:v>5.738235294117647</x:v>
      </x:c>
      <x:c r="O354" s="175" t="n">
        <x:v>16</x:v>
      </x:c>
      <x:c r="P354" s="175" t="n">
        <x:v>10</x:v>
      </x:c>
      <x:c r="Q354" s="175" t="n">
        <x:v>0</x:v>
      </x:c>
      <x:c r="R354" s="175" t="n">
        <x:v>0</x:v>
      </x:c>
      <x:c r="S354" s="175" t="n">
        <x:v>0</x:v>
      </x:c>
      <x:c r="T354" s="175" t="n">
        <x:v>0</x:v>
      </x:c>
      <x:c r="U354" s="175" t="n">
        <x:v>0</x:v>
      </x:c>
      <x:c r="V354" s="175" t="n">
        <x:f>SUM(S354:U354)</x:f>
        <x:v>0</x:v>
      </x:c>
      <x:c r="W354" s="108" t="str">
        <x:v>https://fantasy.espn.com/football/leaders?leagueId=555583&amp;lineupSlot=16&amp;scoringPeriodId=0&amp;statSplit=lastSeason</x:v>
      </x:c>
    </x:row>
    <x:row r="355">
      <x:c r="A355" s="108" t="str">
        <x:v>D/ST</x:v>
      </x:c>
      <x:c r="B355" s="175" t="n">
        <x:f>1+COUNTIFS($A$4:$A$356,A355,$J$4:$J$356,"&gt;"&amp;J355)</x:f>
        <x:v>30</x:v>
      </x:c>
      <x:c r="C355" s="175" t="n">
        <x:v>29</x:v>
      </x:c>
      <x:c r="D355" s="108" t="str">
        <x:v>Cardinals D/ST</x:v>
      </x:c>
      <x:c r="E355" s="108" t="str">
        <x:v>ARI</x:v>
      </x:c>
      <x:c r="F355" s="108" t="str">
        <x:v>ARI</x:v>
      </x:c>
      <x:c r="G355" s="109" t="n">
        <x:v>143.5</x:v>
      </x:c>
      <x:c r="H355" s="109" t="n">
        <x:f>'Weekly Points'!W355</x:f>
        <x:v>8.441176470588236</x:v>
      </x:c>
      <x:c r="I355" s="109" t="n">
        <x:f>'Weekly Points'!X355</x:f>
        <x:v>8</x:v>
      </x:c>
      <x:c r="J355" s="109" t="n">
        <x:f>'Weekly Points'!Y355</x:f>
        <x:v>3.5</x:v>
      </x:c>
      <x:c r="K355" s="109" t="n">
        <x:f>'Weekly Points'!Z355</x:f>
        <x:v>5.95295861425021</x:v>
      </x:c>
      <x:c r="L355" s="173" t="n">
        <x:f>'Weekly Points'!AA355</x:f>
        <x:v>0.7052285466359133</x:v>
      </x:c>
      <x:c r="M355" s="173" t="n">
        <x:f>'Weekly Points'!AB355</x:f>
        <x:v>0.35294117647058826</x:v>
      </x:c>
      <x:c r="N355" s="109" t="n">
        <x:f>0.5*J355+0.3*I355+0.2*H355</x:f>
        <x:v>5.838235294117648</x:v>
      </x:c>
      <x:c r="O355" s="175" t="n">
        <x:v>17</x:v>
      </x:c>
      <x:c r="P355" s="175" t="n">
        <x:v>8</x:v>
      </x:c>
      <x:c r="Q355" s="175" t="n">
        <x:v>0</x:v>
      </x:c>
      <x:c r="R355" s="175" t="n">
        <x:v>0</x:v>
      </x:c>
      <x:c r="S355" s="175" t="n">
        <x:v>0</x:v>
      </x:c>
      <x:c r="T355" s="175" t="n">
        <x:v>0</x:v>
      </x:c>
      <x:c r="U355" s="175" t="n">
        <x:v>0</x:v>
      </x:c>
      <x:c r="V355" s="175" t="n">
        <x:f>SUM(S355:U355)</x:f>
        <x:v>0</x:v>
      </x:c>
      <x:c r="W355" s="108" t="str">
        <x:v>https://fantasy.espn.com/football/leaders?leagueId=555583&amp;lineupSlot=16&amp;scoringPeriodId=0&amp;statSplit=lastSeason</x:v>
      </x:c>
    </x:row>
    <x:row r="356">
      <x:c r="A356" s="108" t="str">
        <x:v>D/ST</x:v>
      </x:c>
      <x:c r="B356" s="175" t="n">
        <x:f>1+COUNTIFS($A$4:$A$356,A356,$J$4:$J$356,"&gt;"&amp;J356)</x:f>
        <x:v>32</x:v>
      </x:c>
      <x:c r="C356" s="175" t="n">
        <x:v>28</x:v>
      </x:c>
      <x:c r="D356" s="108" t="str">
        <x:v>49ers D/ST</x:v>
      </x:c>
      <x:c r="E356" s="108" t="str">
        <x:v>SF</x:v>
      </x:c>
      <x:c r="F356" s="108" t="str">
        <x:v>SF</x:v>
      </x:c>
      <x:c r="G356" s="109" t="n">
        <x:v>147.5</x:v>
      </x:c>
      <x:c r="H356" s="109" t="n">
        <x:f>'Weekly Points'!W356</x:f>
        <x:v>8.676470588235293</x:v>
      </x:c>
      <x:c r="I356" s="109" t="n">
        <x:f>'Weekly Points'!X356</x:f>
        <x:v>7</x:v>
      </x:c>
      <x:c r="J356" s="109" t="n">
        <x:f>'Weekly Points'!Y356</x:f>
        <x:v>3</x:v>
      </x:c>
      <x:c r="K356" s="109" t="n">
        <x:f>'Weekly Points'!Z356</x:f>
        <x:v>5.896013549725502</x:v>
      </x:c>
      <x:c r="L356" s="173" t="n">
        <x:f>'Weekly Points'!AA356</x:f>
        <x:v>0.6795405447141257</x:v>
      </x:c>
      <x:c r="M356" s="173" t="n">
        <x:f>'Weekly Points'!AB356</x:f>
        <x:v>0.29411764705882354</x:v>
      </x:c>
      <x:c r="N356" s="109" t="n">
        <x:f>0.5*J356+0.3*I356+0.2*H356</x:f>
        <x:v>5.335294117647059</x:v>
      </x:c>
      <x:c r="O356" s="175" t="n">
        <x:v>15</x:v>
      </x:c>
      <x:c r="P356" s="175" t="n">
        <x:v>14</x:v>
      </x:c>
      <x:c r="Q356" s="175" t="n">
        <x:v>0</x:v>
      </x:c>
      <x:c r="R356" s="175" t="n">
        <x:v>0</x:v>
      </x:c>
      <x:c r="S356" s="175" t="n">
        <x:v>0</x:v>
      </x:c>
      <x:c r="T356" s="175" t="n">
        <x:v>0</x:v>
      </x:c>
      <x:c r="U356" s="175" t="n">
        <x:v>0</x:v>
      </x:c>
      <x:c r="V356" s="175" t="n">
        <x:f>SUM(S356:U356)</x:f>
        <x:v>0</x:v>
      </x:c>
      <x:c r="W356" s="108" t="str">
        <x:v>https://fantasy.espn.com/football/leaders?leagueId=555583&amp;lineupSlot=16&amp;scoringPeriodId=0&amp;statSplit=lastSeason</x:v>
      </x:c>
    </x:row>
  </x:sheetData>
  <x:mergeCells>
    <x:mergeCell ref="A1:W1"/>
    <x:mergeCell ref="A2:W2"/>
  </x:mergeCells>
  <x:conditionalFormatting sqref="J4:J35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4:M356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N4:N356">
    <x:cfRule type="dataBar" priority="3">
      <x:dataBar>
        <x:cfvo type="min"/>
        <x:cfvo type="max"/>
        <x:color rgb="FF1B7F5A"/>
      </x:dataBar>
      <x:extLst>
        <x:ext xmlns:x14="http://schemas.microsoft.com/office/spreadsheetml/2009/9/main" uri="{B025F937-C7B1-47D3-B67F-A62EFF666E3E}">
          <x14:id>{8EC8A671-F1E4-62A5-688E-AC4BA4E61CF4}</x14:id>
        </x:ext>
      </x:extLst>
    </x:cfRule>
  </x:conditionalFormatting>
  <x:pageMargins left="0.7" right="0.7" top="0.75" bottom="0.75" header="0.3" footer="0.3"/>
  <x:legacyDrawing xmlns:r="http://schemas.openxmlformats.org/officeDocument/2006/relationships" r:id="R617bfd546b934be5"/>
  <x:tableParts count="1">
    <x:tablePart xmlns:r="http://schemas.openxmlformats.org/officeDocument/2006/relationships" r:id="Rd0eebab591d8446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8EC8A671-F1E4-62A5-688E-AC4BA4E61CF4}">
            <x14:dataBar gradient="1">
              <x14:cfvo type="min"/>
              <x14:cfvo type="max"/>
              <x14:fillColor rgb="FF1B7F5A"/>
            </x14:dataBar>
          </x14:cfRule>
          <xm:sqref>N4:N356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</x:cols>
  <x:sheetData>
    <x:row r="1" ht="32" customHeight="1">
      <x:c r="A1" s="3" t="str">
        <x:v>Weekly ESPN Fantasy Points</x:v>
      </x:c>
      <x:c r="B1" s="3" t="str">
        <x:v>Weekly ESPN Fantasy Points</x:v>
      </x:c>
      <x:c r="C1" s="3" t="str">
        <x:v>Weekly ESPN Fantasy Points</x:v>
      </x:c>
      <x:c r="D1" s="3" t="str">
        <x:v>Weekly ESPN Fantasy Points</x:v>
      </x:c>
      <x:c r="E1" s="3" t="str">
        <x:v>Weekly ESPN Fantasy Points</x:v>
      </x:c>
      <x:c r="F1" s="3" t="str">
        <x:v>Weekly ESPN Fantasy Points</x:v>
      </x:c>
      <x:c r="G1" s="3" t="str">
        <x:v>Weekly ESPN Fantasy Points</x:v>
      </x:c>
      <x:c r="H1" s="3" t="str">
        <x:v>Weekly ESPN Fantasy Points</x:v>
      </x:c>
      <x:c r="I1" s="3" t="str">
        <x:v>Weekly ESPN Fantasy Points</x:v>
      </x:c>
      <x:c r="J1" s="3" t="str">
        <x:v>Weekly ESPN Fantasy Points</x:v>
      </x:c>
      <x:c r="K1" s="3" t="str">
        <x:v>Weekly ESPN Fantasy Points</x:v>
      </x:c>
      <x:c r="L1" s="3" t="str">
        <x:v>Weekly ESPN Fantasy Points</x:v>
      </x:c>
      <x:c r="M1" s="3" t="str">
        <x:v>Weekly ESPN Fantasy Points</x:v>
      </x:c>
      <x:c r="N1" s="3" t="str">
        <x:v>Weekly ESPN Fantasy Points</x:v>
      </x:c>
      <x:c r="O1" s="3" t="str">
        <x:v>Weekly ESPN Fantasy Points</x:v>
      </x:c>
      <x:c r="P1" s="3" t="str">
        <x:v>Weekly ESPN Fantasy Points</x:v>
      </x:c>
      <x:c r="Q1" s="3" t="str">
        <x:v>Weekly ESPN Fantasy Points</x:v>
      </x:c>
      <x:c r="R1" s="3" t="str">
        <x:v>Weekly ESPN Fantasy Points</x:v>
      </x:c>
      <x:c r="S1" s="3" t="str">
        <x:v>Weekly ESPN Fantasy Points</x:v>
      </x:c>
      <x:c r="T1" s="3" t="str">
        <x:v>Weekly ESPN Fantasy Points</x:v>
      </x:c>
      <x:c r="U1" s="3" t="str">
        <x:v>Weekly ESPN Fantasy Points</x:v>
      </x:c>
      <x:c r="V1" s="3" t="str">
        <x:v>Weekly ESPN Fantasy Points</x:v>
      </x:c>
      <x:c r="W1" s="3" t="str">
        <x:v>Weekly ESPN Fantasy Points</x:v>
      </x:c>
      <x:c r="X1" s="3" t="str">
        <x:v>Weekly ESPN Fantasy Points</x:v>
      </x:c>
      <x:c r="Y1" s="3" t="str">
        <x:v>Weekly ESPN Fantasy Points</x:v>
      </x:c>
      <x:c r="Z1" s="3" t="str">
        <x:v>Weekly ESPN Fantasy Points</x:v>
      </x:c>
      <x:c r="AA1" s="3" t="str">
        <x:v>Weekly ESPN Fantasy Points</x:v>
      </x:c>
      <x:c r="AB1" s="3" t="str">
        <x:v>Weekly ESPN Fantasy Points</x:v>
      </x:c>
      <x:c r="AC1" s="3" t="str">
        <x:v>Weekly ESPN Fantasy Points</x:v>
      </x:c>
    </x:row>
    <x:row r="2" ht="30" customHeight="1">
      <x:c r="A2" s="7" t="str">
        <x:v>Blank = primary team bye; 0 = non-bye week with no fantasy points / inactive / no qualifying stats</x:v>
      </x:c>
      <x:c r="B2" s="7" t="str">
        <x:v>Blank = primary team bye; 0 = non-bye week with no fantasy points / inactive / no qualifying stats</x:v>
      </x:c>
      <x:c r="C2" s="7" t="str">
        <x:v>Blank = primary team bye; 0 = non-bye week with no fantasy points / inactive / no qualifying stats</x:v>
      </x:c>
      <x:c r="D2" s="7" t="str">
        <x:v>Blank = primary team bye; 0 = non-bye week with no fantasy points / inactive / no qualifying stats</x:v>
      </x:c>
      <x:c r="E2" s="7" t="str">
        <x:v>Blank = primary team bye; 0 = non-bye week with no fantasy points / inactive / no qualifying stats</x:v>
      </x:c>
      <x:c r="F2" s="7" t="str">
        <x:v>Blank = primary team bye; 0 = non-bye week with no fantasy points / inactive / no qualifying stats</x:v>
      </x:c>
      <x:c r="G2" s="7" t="str">
        <x:v>Blank = primary team bye; 0 = non-bye week with no fantasy points / inactive / no qualifying stats</x:v>
      </x:c>
      <x:c r="H2" s="7" t="str">
        <x:v>Blank = primary team bye; 0 = non-bye week with no fantasy points / inactive / no qualifying stats</x:v>
      </x:c>
      <x:c r="I2" s="7" t="str">
        <x:v>Blank = primary team bye; 0 = non-bye week with no fantasy points / inactive / no qualifying stats</x:v>
      </x:c>
      <x:c r="J2" s="7" t="str">
        <x:v>Blank = primary team bye; 0 = non-bye week with no fantasy points / inactive / no qualifying stats</x:v>
      </x:c>
      <x:c r="K2" s="7" t="str">
        <x:v>Blank = primary team bye; 0 = non-bye week with no fantasy points / inactive / no qualifying stats</x:v>
      </x:c>
      <x:c r="L2" s="7" t="str">
        <x:v>Blank = primary team bye; 0 = non-bye week with no fantasy points / inactive / no qualifying stats</x:v>
      </x:c>
      <x:c r="M2" s="7" t="str">
        <x:v>Blank = primary team bye; 0 = non-bye week with no fantasy points / inactive / no qualifying stats</x:v>
      </x:c>
      <x:c r="N2" s="7" t="str">
        <x:v>Blank = primary team bye; 0 = non-bye week with no fantasy points / inactive / no qualifying stats</x:v>
      </x:c>
      <x:c r="O2" s="7" t="str">
        <x:v>Blank = primary team bye; 0 = non-bye week with no fantasy points / inactive / no qualifying stats</x:v>
      </x:c>
      <x:c r="P2" s="7" t="str">
        <x:v>Blank = primary team bye; 0 = non-bye week with no fantasy points / inactive / no qualifying stats</x:v>
      </x:c>
      <x:c r="Q2" s="7" t="str">
        <x:v>Blank = primary team bye; 0 = non-bye week with no fantasy points / inactive / no qualifying stats</x:v>
      </x:c>
      <x:c r="R2" s="7" t="str">
        <x:v>Blank = primary team bye; 0 = non-bye week with no fantasy points / inactive / no qualifying stats</x:v>
      </x:c>
      <x:c r="S2" s="7" t="str">
        <x:v>Blank = primary team bye; 0 = non-bye week with no fantasy points / inactive / no qualifying stats</x:v>
      </x:c>
      <x:c r="T2" s="7" t="str">
        <x:v>Blank = primary team bye; 0 = non-bye week with no fantasy points / inactive / no qualifying stats</x:v>
      </x:c>
      <x:c r="U2" s="7" t="str">
        <x:v>Blank = primary team bye; 0 = non-bye week with no fantasy points / inactive / no qualifying stats</x:v>
      </x:c>
      <x:c r="V2" s="7" t="str">
        <x:v>Blank = primary team bye; 0 = non-bye week with no fantasy points / inactive / no qualifying stats</x:v>
      </x:c>
      <x:c r="W2" s="7" t="str">
        <x:v>Blank = primary team bye; 0 = non-bye week with no fantasy points / inactive / no qualifying stats</x:v>
      </x:c>
      <x:c r="X2" s="7" t="str">
        <x:v>Blank = primary team bye; 0 = non-bye week with no fantasy points / inactive / no qualifying stats</x:v>
      </x:c>
      <x:c r="Y2" s="7" t="str">
        <x:v>Blank = primary team bye; 0 = non-bye week with no fantasy points / inactive / no qualifying stats</x:v>
      </x:c>
      <x:c r="Z2" s="7" t="str">
        <x:v>Blank = primary team bye; 0 = non-bye week with no fantasy points / inactive / no qualifying stats</x:v>
      </x:c>
      <x:c r="AA2" s="7" t="str">
        <x:v>Blank = primary team bye; 0 = non-bye week with no fantasy points / inactive / no qualifying stats</x:v>
      </x:c>
      <x:c r="AB2" s="7" t="str">
        <x:v>Blank = primary team bye; 0 = non-bye week with no fantasy points / inactive / no qualifying stats</x:v>
      </x:c>
      <x:c r="AC2" s="7" t="str">
        <x:v>Blank = primary team bye; 0 = non-bye week with no fantasy points / inactive / no qualifying stats</x:v>
      </x:c>
    </x:row>
    <x:row r="3" ht="30" customHeight="1">
      <x:c r="A3" s="75" t="str">
        <x:v>Position</x:v>
      </x:c>
      <x:c r="B3" s="76" t="str">
        <x:v>Player</x:v>
      </x:c>
      <x:c r="C3" s="76" t="str">
        <x:v>Team (2025)</x:v>
      </x:c>
      <x:c r="D3" s="76" t="str">
        <x:v>Bye</x:v>
      </x:c>
      <x:c r="E3" s="76" t="str">
        <x:v>W1</x:v>
      </x:c>
      <x:c r="F3" s="76" t="str">
        <x:v>W2</x:v>
      </x:c>
      <x:c r="G3" s="76" t="str">
        <x:v>W3</x:v>
      </x:c>
      <x:c r="H3" s="76" t="str">
        <x:v>W4</x:v>
      </x:c>
      <x:c r="I3" s="76" t="str">
        <x:v>W5</x:v>
      </x:c>
      <x:c r="J3" s="76" t="str">
        <x:v>W6</x:v>
      </x:c>
      <x:c r="K3" s="76" t="str">
        <x:v>W7</x:v>
      </x:c>
      <x:c r="L3" s="76" t="str">
        <x:v>W8</x:v>
      </x:c>
      <x:c r="M3" s="76" t="str">
        <x:v>W9</x:v>
      </x:c>
      <x:c r="N3" s="76" t="str">
        <x:v>W10</x:v>
      </x:c>
      <x:c r="O3" s="76" t="str">
        <x:v>W11</x:v>
      </x:c>
      <x:c r="P3" s="76" t="str">
        <x:v>W12</x:v>
      </x:c>
      <x:c r="Q3" s="76" t="str">
        <x:v>W13</x:v>
      </x:c>
      <x:c r="R3" s="76" t="str">
        <x:v>W14</x:v>
      </x:c>
      <x:c r="S3" s="76" t="str">
        <x:v>W15</x:v>
      </x:c>
      <x:c r="T3" s="76" t="str">
        <x:v>W16</x:v>
      </x:c>
      <x:c r="U3" s="76" t="str">
        <x:v>W17</x:v>
      </x:c>
      <x:c r="V3" s="76" t="str">
        <x:v>W18</x:v>
      </x:c>
      <x:c r="W3" s="76" t="str">
        <x:v>Average</x:v>
      </x:c>
      <x:c r="X3" s="76" t="str">
        <x:v>Median</x:v>
      </x:c>
      <x:c r="Y3" s="76" t="str">
        <x:v>P25 Floor</x:v>
      </x:c>
      <x:c r="Z3" s="76" t="str">
        <x:v>StDev</x:v>
      </x:c>
      <x:c r="AA3" s="76" t="str">
        <x:v>CV</x:v>
      </x:c>
      <x:c r="AB3" s="76" t="str">
        <x:v>Bust Rate</x:v>
      </x:c>
      <x:c r="AC3" s="77" t="str">
        <x:v>Total</x:v>
      </x:c>
    </x:row>
    <x:row r="4">
      <x:c r="A4" s="108" t="str">
        <x:v>QB</x:v>
      </x:c>
      <x:c r="B4" s="108" t="str">
        <x:v>Drake Maye</x:v>
      </x:c>
      <x:c r="C4" s="108" t="str">
        <x:v>NE</x:v>
      </x:c>
      <x:c r="D4" s="108" t="n">
        <x:v>14</x:v>
      </x:c>
      <x:c r="E4" s="109" t="n">
        <x:v>15.65</x:v>
      </x:c>
      <x:c r="F4" s="109" t="n">
        <x:v>27.1</x:v>
      </x:c>
      <x:c r="G4" s="109" t="n">
        <x:v>19.4</x:v>
      </x:c>
      <x:c r="H4" s="109" t="n">
        <x:v>24.75</x:v>
      </x:c>
      <x:c r="I4" s="109" t="n">
        <x:v>12.85</x:v>
      </x:c>
      <x:c r="J4" s="109" t="n">
        <x:v>30.85</x:v>
      </x:c>
      <x:c r="K4" s="109" t="n">
        <x:v>23.3</x:v>
      </x:c>
      <x:c r="L4" s="109" t="n">
        <x:v>25.6</x:v>
      </x:c>
      <x:c r="M4" s="109" t="n">
        <x:v>15.45</x:v>
      </x:c>
      <x:c r="N4" s="109" t="n">
        <x:v>22.3</x:v>
      </x:c>
      <x:c r="O4" s="109" t="n">
        <x:v>17.75</x:v>
      </x:c>
      <x:c r="P4" s="109" t="n">
        <x:v>18.4</x:v>
      </x:c>
      <x:c r="Q4" s="109" t="n">
        <x:v>21.8</x:v>
      </x:c>
      <x:c r="R4" s="109"/>
      <x:c r="S4" s="109" t="n">
        <x:v>20.55</x:v>
      </x:c>
      <x:c r="T4" s="109" t="n">
        <x:v>24.83</x:v>
      </x:c>
      <x:c r="U4" s="109" t="n">
        <x:v>34.5</x:v>
      </x:c>
      <x:c r="V4" s="109" t="n">
        <x:v>17.65</x:v>
      </x:c>
      <x:c r="W4" s="109" t="n">
        <x:f>AVERAGE(E4:V4)</x:f>
        <x:v>21.925294117647056</x:v>
      </x:c>
      <x:c r="X4" s="109" t="n">
        <x:f>MEDIAN(E4:V4)</x:f>
        <x:v>21.8</x:v>
      </x:c>
      <x:c r="Y4" s="109" t="n">
        <x:f>PERCENTILE.INC(E4:V4,0.25)</x:f>
        <x:v>17.75</x:v>
      </x:c>
      <x:c r="Z4" s="109" t="n">
        <x:f>STDEV.P(E4:V4)</x:f>
        <x:v>5.512520633705077</x:v>
      </x:c>
      <x:c r="AA4" s="173" t="n">
        <x:f>IF(W4=0,"",Z4/ABS(W4))</x:f>
        <x:v>0.2514228819064372</x:v>
      </x:c>
      <x:c r="AB4" s="173" t="n">
        <x:f>IF(W4=0,0,(COUNTIF(E4:V4,"&lt;"&amp;0.5*W4)-COUNTBLANK(E4:V4))/COUNT(E4:V4))</x:f>
        <x:v>0</x:v>
      </x:c>
      <x:c r="AC4" s="109" t="n">
        <x:f>SUM(E4:V4)</x:f>
        <x:v>372.72999999999996</x:v>
      </x:c>
    </x:row>
    <x:row r="5">
      <x:c r="A5" s="108" t="str">
        <x:v>QB</x:v>
      </x:c>
      <x:c r="B5" s="108" t="str">
        <x:v>Trevor Lawrence</x:v>
      </x:c>
      <x:c r="C5" s="108" t="str">
        <x:v>JAX</x:v>
      </x:c>
      <x:c r="D5" s="108" t="n">
        <x:v>8</x:v>
      </x:c>
      <x:c r="E5" s="109" t="n">
        <x:v>12.1</x:v>
      </x:c>
      <x:c r="F5" s="109" t="n">
        <x:v>20.95</x:v>
      </x:c>
      <x:c r="G5" s="109" t="n">
        <x:v>9</x:v>
      </x:c>
      <x:c r="H5" s="109" t="n">
        <x:v>13.4</x:v>
      </x:c>
      <x:c r="I5" s="109" t="n">
        <x:v>26.95</x:v>
      </x:c>
      <x:c r="J5" s="109" t="n">
        <x:v>18.3</x:v>
      </x:c>
      <x:c r="K5" s="109" t="n">
        <x:v>17.1</x:v>
      </x:c>
      <x:c r="L5" s="109"/>
      <x:c r="M5" s="109" t="n">
        <x:v>22.9</x:v>
      </x:c>
      <x:c r="N5" s="109" t="n">
        <x:v>8.4</x:v>
      </x:c>
      <x:c r="O5" s="109" t="n">
        <x:v>16.55</x:v>
      </x:c>
      <x:c r="P5" s="109" t="n">
        <x:v>18.2</x:v>
      </x:c>
      <x:c r="Q5" s="109" t="n">
        <x:v>22.45</x:v>
      </x:c>
      <x:c r="R5" s="109" t="n">
        <x:v>21.8</x:v>
      </x:c>
      <x:c r="S5" s="109" t="n">
        <x:v>49.6</x:v>
      </x:c>
      <x:c r="T5" s="109" t="n">
        <x:v>31.45</x:v>
      </x:c>
      <x:c r="U5" s="109" t="n">
        <x:v>24.75</x:v>
      </x:c>
      <x:c r="V5" s="109" t="n">
        <x:v>24.85</x:v>
      </x:c>
      <x:c r="W5" s="109" t="n">
        <x:f>AVERAGE(E5:V5)</x:f>
        <x:v>21.102941176470587</x:v>
      </x:c>
      <x:c r="X5" s="109" t="n">
        <x:f>MEDIAN(E5:V5)</x:f>
        <x:v>20.95</x:v>
      </x:c>
      <x:c r="Y5" s="109" t="n">
        <x:f>PERCENTILE.INC(E5:V5,0.25)</x:f>
        <x:v>16.55</x:v>
      </x:c>
      <x:c r="Z5" s="109" t="n">
        <x:f>STDEV.P(E5:V5)</x:f>
        <x:v>9.354135143916697</x:v>
      </x:c>
      <x:c r="AA5" s="173" t="n">
        <x:f>IF(W5=0,"",Z5/ABS(W5))</x:f>
        <x:v>0.44326215316120937</x:v>
      </x:c>
      <x:c r="AB5" s="173" t="n">
        <x:f>IF(W5=0,0,(COUNTIF(E5:V5,"&lt;"&amp;0.5*W5)-COUNTBLANK(E5:V5))/COUNT(E5:V5))</x:f>
        <x:v>0.11764705882352941</x:v>
      </x:c>
      <x:c r="AC5" s="109" t="n">
        <x:f>SUM(E5:V5)</x:f>
        <x:v>358.75</x:v>
      </x:c>
    </x:row>
    <x:row r="6">
      <x:c r="A6" s="108" t="str">
        <x:v>QB</x:v>
      </x:c>
      <x:c r="B6" s="108" t="str">
        <x:v>Bo Nix</x:v>
      </x:c>
      <x:c r="C6" s="108" t="str">
        <x:v>DEN</x:v>
      </x:c>
      <x:c r="D6" s="108" t="n">
        <x:v>12</x:v>
      </x:c>
      <x:c r="E6" s="109" t="n">
        <x:v>8.1</x:v>
      </x:c>
      <x:c r="F6" s="109" t="n">
        <x:v>22.3</x:v>
      </x:c>
      <x:c r="G6" s="109" t="n">
        <x:v>15.95</x:v>
      </x:c>
      <x:c r="H6" s="109" t="n">
        <x:v>29</x:v>
      </x:c>
      <x:c r="I6" s="109" t="n">
        <x:v>18.63</x:v>
      </x:c>
      <x:c r="J6" s="109" t="n">
        <x:v>14.6</x:v>
      </x:c>
      <x:c r="K6" s="109" t="n">
        <x:v>39.91</x:v>
      </x:c>
      <x:c r="L6" s="109" t="n">
        <x:v>26.25</x:v>
      </x:c>
      <x:c r="M6" s="109" t="n">
        <x:v>19.08</x:v>
      </x:c>
      <x:c r="N6" s="109" t="n">
        <x:v>6.8</x:v>
      </x:c>
      <x:c r="O6" s="109" t="n">
        <x:v>14.55</x:v>
      </x:c>
      <x:c r="P6" s="109"/>
      <x:c r="Q6" s="109" t="n">
        <x:v>18.65</x:v>
      </x:c>
      <x:c r="R6" s="109" t="n">
        <x:v>16.6</x:v>
      </x:c>
      <x:c r="S6" s="109" t="n">
        <x:v>32.1</x:v>
      </x:c>
      <x:c r="T6" s="109" t="n">
        <x:v>18.2</x:v>
      </x:c>
      <x:c r="U6" s="109" t="n">
        <x:v>20.8</x:v>
      </x:c>
      <x:c r="V6" s="109" t="n">
        <x:v>9.95</x:v>
      </x:c>
      <x:c r="W6" s="109" t="n">
        <x:f>AVERAGE(E6:V6)</x:f>
        <x:v>19.49823529411765</x:v>
      </x:c>
      <x:c r="X6" s="109" t="n">
        <x:f>MEDIAN(E6:V6)</x:f>
        <x:v>18.63</x:v>
      </x:c>
      <x:c r="Y6" s="109" t="n">
        <x:f>PERCENTILE.INC(E6:V6,0.25)</x:f>
        <x:v>14.6</x:v>
      </x:c>
      <x:c r="Z6" s="109" t="n">
        <x:f>STDEV.P(E6:V6)</x:f>
        <x:v>8.317217602691361</x:v>
      </x:c>
      <x:c r="AA6" s="173" t="n">
        <x:f>IF(W6=0,"",Z6/ABS(W6))</x:f>
        <x:v>0.4265625825738472</x:v>
      </x:c>
      <x:c r="AB6" s="173" t="n">
        <x:f>IF(W6=0,0,(COUNTIF(E6:V6,"&lt;"&amp;0.5*W6)-COUNTBLANK(E6:V6))/COUNT(E6:V6))</x:f>
        <x:v>0.11764705882352941</x:v>
      </x:c>
      <x:c r="AC6" s="109" t="n">
        <x:f>SUM(E6:V6)</x:f>
        <x:v>331.47</x:v>
      </x:c>
    </x:row>
    <x:row r="7">
      <x:c r="A7" s="108" t="str">
        <x:v>QB</x:v>
      </x:c>
      <x:c r="B7" s="108" t="str">
        <x:v>Matthew Stafford</x:v>
      </x:c>
      <x:c r="C7" s="108" t="str">
        <x:v>LAR</x:v>
      </x:c>
      <x:c r="D7" s="108" t="n">
        <x:v>8</x:v>
      </x:c>
      <x:c r="E7" s="109" t="n">
        <x:v>14.05</x:v>
      </x:c>
      <x:c r="F7" s="109" t="n">
        <x:v>19.3</x:v>
      </x:c>
      <x:c r="G7" s="109" t="n">
        <x:v>17.3</x:v>
      </x:c>
      <x:c r="H7" s="109" t="n">
        <x:v>31.65</x:v>
      </x:c>
      <x:c r="I7" s="109" t="n">
        <x:v>28.95</x:v>
      </x:c>
      <x:c r="J7" s="109" t="n">
        <x:v>9.65</x:v>
      </x:c>
      <x:c r="K7" s="109" t="n">
        <x:v>29.2</x:v>
      </x:c>
      <x:c r="L7" s="109"/>
      <x:c r="M7" s="109" t="n">
        <x:v>28.65</x:v>
      </x:c>
      <x:c r="N7" s="109" t="n">
        <x:v>29.2</x:v>
      </x:c>
      <x:c r="O7" s="109" t="n">
        <x:v>14.5</x:v>
      </x:c>
      <x:c r="P7" s="109" t="n">
        <x:v>25.15</x:v>
      </x:c>
      <x:c r="Q7" s="109" t="n">
        <x:v>13.05</x:v>
      </x:c>
      <x:c r="R7" s="109" t="n">
        <x:v>26.05</x:v>
      </x:c>
      <x:c r="S7" s="109" t="n">
        <x:v>23.1</x:v>
      </x:c>
      <x:c r="T7" s="109" t="n">
        <x:v>37.45</x:v>
      </x:c>
      <x:c r="U7" s="109" t="n">
        <x:v>13.95</x:v>
      </x:c>
      <x:c r="V7" s="109" t="n">
        <x:v>28.75</x:v>
      </x:c>
      <x:c r="W7" s="109" t="n">
        <x:f>AVERAGE(E7:V7)</x:f>
        <x:v>22.93823529411765</x:v>
      </x:c>
      <x:c r="X7" s="109" t="n">
        <x:f>MEDIAN(E7:V7)</x:f>
        <x:v>25.15</x:v>
      </x:c>
      <x:c r="Y7" s="109" t="n">
        <x:f>PERCENTILE.INC(E7:V7,0.25)</x:f>
        <x:v>14.5</x:v>
      </x:c>
      <x:c r="Z7" s="109" t="n">
        <x:f>STDEV.P(E7:V7)</x:f>
        <x:v>7.792993259629876</x:v>
      </x:c>
      <x:c r="AA7" s="173" t="n">
        <x:f>IF(W7=0,"",Z7/ABS(W7))</x:f>
        <x:v>0.33973813415491183</x:v>
      </x:c>
      <x:c r="AB7" s="173" t="n">
        <x:f>IF(W7=0,0,(COUNTIF(E7:V7,"&lt;"&amp;0.5*W7)-COUNTBLANK(E7:V7))/COUNT(E7:V7))</x:f>
        <x:v>0.058823529411764705</x:v>
      </x:c>
      <x:c r="AC7" s="109" t="n">
        <x:f>SUM(E7:V7)</x:f>
        <x:v>389.95000000000005</x:v>
      </x:c>
    </x:row>
    <x:row r="8">
      <x:c r="A8" s="108" t="str">
        <x:v>QB</x:v>
      </x:c>
      <x:c r="B8" s="108" t="str">
        <x:v>Jared Goff</x:v>
      </x:c>
      <x:c r="C8" s="108" t="str">
        <x:v>DET</x:v>
      </x:c>
      <x:c r="D8" s="108" t="n">
        <x:v>8</x:v>
      </x:c>
      <x:c r="E8" s="109" t="n">
        <x:v>11.15</x:v>
      </x:c>
      <x:c r="F8" s="109" t="n">
        <x:v>39.3</x:v>
      </x:c>
      <x:c r="G8" s="109" t="n">
        <x:v>14.2</x:v>
      </x:c>
      <x:c r="H8" s="109" t="n">
        <x:v>14.4</x:v>
      </x:c>
      <x:c r="I8" s="109" t="n">
        <x:v>20.7</x:v>
      </x:c>
      <x:c r="J8" s="109" t="n">
        <x:v>18.35</x:v>
      </x:c>
      <x:c r="K8" s="109" t="n">
        <x:v>10.75</x:v>
      </x:c>
      <x:c r="L8" s="109"/>
      <x:c r="M8" s="109" t="n">
        <x:v>21.7</x:v>
      </x:c>
      <x:c r="N8" s="109" t="n">
        <x:v>28</x:v>
      </x:c>
      <x:c r="O8" s="109" t="n">
        <x:v>15.65</x:v>
      </x:c>
      <x:c r="P8" s="109" t="n">
        <x:v>18.45</x:v>
      </x:c>
      <x:c r="Q8" s="109" t="n">
        <x:v>21.7</x:v>
      </x:c>
      <x:c r="R8" s="109" t="n">
        <x:v>18.75</x:v>
      </x:c>
      <x:c r="S8" s="109" t="n">
        <x:v>28.4</x:v>
      </x:c>
      <x:c r="T8" s="109" t="n">
        <x:v>28.6</x:v>
      </x:c>
      <x:c r="U8" s="109" t="n">
        <x:v>1.55</x:v>
      </x:c>
      <x:c r="V8" s="109" t="n">
        <x:v>17.55</x:v>
      </x:c>
      <x:c r="W8" s="109" t="n">
        <x:f>AVERAGE(E8:V8)</x:f>
        <x:v>19.36470588235294</x:v>
      </x:c>
      <x:c r="X8" s="109" t="n">
        <x:f>MEDIAN(E8:V8)</x:f>
        <x:v>18.45</x:v>
      </x:c>
      <x:c r="Y8" s="109" t="n">
        <x:f>PERCENTILE.INC(E8:V8,0.25)</x:f>
        <x:v>14.4</x:v>
      </x:c>
      <x:c r="Z8" s="109" t="n">
        <x:f>STDEV.P(E8:V8)</x:f>
        <x:v>8.336026785018964</x:v>
      </x:c>
      <x:c r="AA8" s="173" t="n">
        <x:f>IF(W8=0,"",Z8/ABS(W8))</x:f>
        <x:v>0.4304752592506756</x:v>
      </x:c>
      <x:c r="AB8" s="173" t="n">
        <x:f>IF(W8=0,0,(COUNTIF(E8:V8,"&lt;"&amp;0.5*W8)-COUNTBLANK(E8:V8))/COUNT(E8:V8))</x:f>
        <x:v>0.058823529411764705</x:v>
      </x:c>
      <x:c r="AC8" s="109" t="n">
        <x:f>SUM(E8:V8)</x:f>
        <x:v>329.2</x:v>
      </x:c>
    </x:row>
    <x:row r="9">
      <x:c r="A9" s="108" t="str">
        <x:v>QB</x:v>
      </x:c>
      <x:c r="B9" s="108" t="str">
        <x:v>Josh Allen</x:v>
      </x:c>
      <x:c r="C9" s="108" t="str">
        <x:v>BUF</x:v>
      </x:c>
      <x:c r="D9" s="108" t="n">
        <x:v>7</x:v>
      </x:c>
      <x:c r="E9" s="109" t="n">
        <x:v>42.2</x:v>
      </x:c>
      <x:c r="F9" s="109" t="n">
        <x:v>12.8</x:v>
      </x:c>
      <x:c r="G9" s="109" t="n">
        <x:v>23.65</x:v>
      </x:c>
      <x:c r="H9" s="109" t="n">
        <x:v>27.45</x:v>
      </x:c>
      <x:c r="I9" s="109" t="n">
        <x:v>21.45</x:v>
      </x:c>
      <x:c r="J9" s="109" t="n">
        <x:v>14.2</x:v>
      </x:c>
      <x:c r="K9" s="109"/>
      <x:c r="L9" s="109" t="n">
        <x:v>25.85</x:v>
      </x:c>
      <x:c r="M9" s="109" t="n">
        <x:v>30.05</x:v>
      </x:c>
      <x:c r="N9" s="109" t="n">
        <x:v>20.9</x:v>
      </x:c>
      <x:c r="O9" s="109" t="n">
        <x:v>49.85</x:v>
      </x:c>
      <x:c r="P9" s="109" t="n">
        <x:v>6.65</x:v>
      </x:c>
      <x:c r="Q9" s="109" t="n">
        <x:v>17.95</x:v>
      </x:c>
      <x:c r="R9" s="109" t="n">
        <x:v>40.18</x:v>
      </x:c>
      <x:c r="S9" s="109" t="n">
        <x:v>25.45</x:v>
      </x:c>
      <x:c r="T9" s="109" t="n">
        <x:v>7.2</x:v>
      </x:c>
      <x:c r="U9" s="109" t="n">
        <x:v>22.8</x:v>
      </x:c>
      <x:c r="V9" s="109" t="n">
        <x:v>0</x:v>
      </x:c>
      <x:c r="W9" s="109" t="n">
        <x:f>AVERAGE(E9:V9)</x:f>
        <x:v>22.860588235294117</x:v>
      </x:c>
      <x:c r="X9" s="109" t="n">
        <x:f>MEDIAN(E9:V9)</x:f>
        <x:v>22.8</x:v>
      </x:c>
      <x:c r="Y9" s="109" t="n">
        <x:f>PERCENTILE.INC(E9:V9,0.25)</x:f>
        <x:v>14.2</x:v>
      </x:c>
      <x:c r="Z9" s="109" t="n">
        <x:f>STDEV.P(E9:V9)</x:f>
        <x:v>12.66824305130433</x:v>
      </x:c>
      <x:c r="AA9" s="173" t="n">
        <x:f>IF(W9=0,"",Z9/ABS(W9))</x:f>
        <x:v>0.5541521032143005</x:v>
      </x:c>
      <x:c r="AB9" s="173" t="n">
        <x:f>IF(W9=0,0,(COUNTIF(E9:V9,"&lt;"&amp;0.5*W9)-COUNTBLANK(E9:V9))/COUNT(E9:V9))</x:f>
        <x:v>0.17647058823529413</x:v>
      </x:c>
      <x:c r="AC9" s="109" t="n">
        <x:f>SUM(E9:V9)</x:f>
        <x:v>388.63</x:v>
      </x:c>
    </x:row>
    <x:row r="10">
      <x:c r="A10" s="108" t="str">
        <x:v>QB</x:v>
      </x:c>
      <x:c r="B10" s="108" t="str">
        <x:v>Caleb Williams</x:v>
      </x:c>
      <x:c r="C10" s="108" t="str">
        <x:v>CHI</x:v>
      </x:c>
      <x:c r="D10" s="108" t="n">
        <x:v>5</x:v>
      </x:c>
      <x:c r="E10" s="109" t="n">
        <x:v>25.3</x:v>
      </x:c>
      <x:c r="F10" s="109" t="n">
        <x:v>17.05</x:v>
      </x:c>
      <x:c r="G10" s="109" t="n">
        <x:v>34.1</x:v>
      </x:c>
      <x:c r="H10" s="109" t="n">
        <x:v>12.4</x:v>
      </x:c>
      <x:c r="I10" s="109"/>
      <x:c r="J10" s="109" t="n">
        <x:v>22.9</x:v>
      </x:c>
      <x:c r="K10" s="109" t="n">
        <x:v>4.9</x:v>
      </x:c>
      <x:c r="L10" s="109" t="n">
        <x:v>14.15</x:v>
      </x:c>
      <x:c r="M10" s="109" t="n">
        <x:v>41.5</x:v>
      </x:c>
      <x:c r="N10" s="109" t="n">
        <x:v>27.3</x:v>
      </x:c>
      <x:c r="O10" s="109" t="n">
        <x:v>10.75</x:v>
      </x:c>
      <x:c r="P10" s="109" t="n">
        <x:v>23.55</x:v>
      </x:c>
      <x:c r="Q10" s="109" t="n">
        <x:v>10</x:v>
      </x:c>
      <x:c r="R10" s="109" t="n">
        <x:v>16.3</x:v>
      </x:c>
      <x:c r="S10" s="109" t="n">
        <x:v>19.4</x:v>
      </x:c>
      <x:c r="T10" s="109" t="n">
        <x:v>25.5</x:v>
      </x:c>
      <x:c r="U10" s="109" t="n">
        <x:v>26.3</x:v>
      </x:c>
      <x:c r="V10" s="109" t="n">
        <x:v>17.03</x:v>
      </x:c>
      <x:c r="W10" s="109" t="n">
        <x:f>AVERAGE(E10:V10)</x:f>
        <x:v>20.49588235294118</x:v>
      </x:c>
      <x:c r="X10" s="109" t="n">
        <x:f>MEDIAN(E10:V10)</x:f>
        <x:v>19.4</x:v>
      </x:c>
      <x:c r="Y10" s="109" t="n">
        <x:f>PERCENTILE.INC(E10:V10,0.25)</x:f>
        <x:v>14.15</x:v>
      </x:c>
      <x:c r="Z10" s="109" t="n">
        <x:f>STDEV.P(E10:V10)</x:f>
        <x:v>8.965097721867274</x:v>
      </x:c>
      <x:c r="AA10" s="173" t="n">
        <x:f>IF(W10=0,"",Z10/ABS(W10))</x:f>
        <x:v>0.43740969856712575</x:v>
      </x:c>
      <x:c r="AB10" s="173" t="n">
        <x:f>IF(W10=0,0,(COUNTIF(E10:V10,"&lt;"&amp;0.5*W10)-COUNTBLANK(E10:V10))/COUNT(E10:V10))</x:f>
        <x:v>0.11764705882352941</x:v>
      </x:c>
      <x:c r="AC10" s="109" t="n">
        <x:f>SUM(E10:V10)</x:f>
        <x:v>348.43000000000006</x:v>
      </x:c>
    </x:row>
    <x:row r="11">
      <x:c r="A11" s="108" t="str">
        <x:v>QB</x:v>
      </x:c>
      <x:c r="B11" s="108" t="str">
        <x:v>Dak Prescott</x:v>
      </x:c>
      <x:c r="C11" s="108" t="str">
        <x:v>DAL</x:v>
      </x:c>
      <x:c r="D11" s="108" t="n">
        <x:v>10</x:v>
      </x:c>
      <x:c r="E11" s="109" t="n">
        <x:v>9.7</x:v>
      </x:c>
      <x:c r="F11" s="109" t="n">
        <x:v>23.75</x:v>
      </x:c>
      <x:c r="G11" s="109" t="n">
        <x:v>12.88</x:v>
      </x:c>
      <x:c r="H11" s="109" t="n">
        <x:v>33.65</x:v>
      </x:c>
      <x:c r="I11" s="109" t="n">
        <x:v>32.15</x:v>
      </x:c>
      <x:c r="J11" s="109" t="n">
        <x:v>24.45</x:v>
      </x:c>
      <x:c r="K11" s="109" t="n">
        <x:v>26.9</x:v>
      </x:c>
      <x:c r="L11" s="109" t="n">
        <x:v>7.5</x:v>
      </x:c>
      <x:c r="M11" s="109" t="n">
        <x:v>15.4</x:v>
      </x:c>
      <x:c r="N11" s="109"/>
      <x:c r="O11" s="109" t="n">
        <x:v>26.5</x:v>
      </x:c>
      <x:c r="P11" s="109" t="n">
        <x:v>30.1</x:v>
      </x:c>
      <x:c r="Q11" s="109" t="n">
        <x:v>23.13</x:v>
      </x:c>
      <x:c r="R11" s="109" t="n">
        <x:v>20.53</x:v>
      </x:c>
      <x:c r="S11" s="109" t="n">
        <x:v>13.9</x:v>
      </x:c>
      <x:c r="T11" s="109" t="n">
        <x:v>21.1</x:v>
      </x:c>
      <x:c r="U11" s="109" t="n">
        <x:v>24.75</x:v>
      </x:c>
      <x:c r="V11" s="109" t="n">
        <x:v>1.4</x:v>
      </x:c>
      <x:c r="W11" s="109" t="n">
        <x:f>AVERAGE(E11:V11)</x:f>
        <x:v>20.458235294117646</x:v>
      </x:c>
      <x:c r="X11" s="109" t="n">
        <x:f>MEDIAN(E11:V11)</x:f>
        <x:v>23.13</x:v>
      </x:c>
      <x:c r="Y11" s="109" t="n">
        <x:f>PERCENTILE.INC(E11:V11,0.25)</x:f>
        <x:v>13.9</x:v>
      </x:c>
      <x:c r="Z11" s="109" t="n">
        <x:f>STDEV.P(E11:V11)</x:f>
        <x:v>8.76934851379516</x:v>
      </x:c>
      <x:c r="AA11" s="173" t="n">
        <x:f>IF(W11=0,"",Z11/ABS(W11))</x:f>
        <x:v>0.4286463806737334</x:v>
      </x:c>
      <x:c r="AB11" s="173" t="n">
        <x:f>IF(W11=0,0,(COUNTIF(E11:V11,"&lt;"&amp;0.5*W11)-COUNTBLANK(E11:V11))/COUNT(E11:V11))</x:f>
        <x:v>0.17647058823529413</x:v>
      </x:c>
      <x:c r="AC11" s="109" t="n">
        <x:f>SUM(E11:V11)</x:f>
        <x:v>347.78999999999996</x:v>
      </x:c>
    </x:row>
    <x:row r="12">
      <x:c r="A12" s="108" t="str">
        <x:v>QB</x:v>
      </x:c>
      <x:c r="B12" s="108" t="str">
        <x:v>Jalen Hurts</x:v>
      </x:c>
      <x:c r="C12" s="108" t="str">
        <x:v>PHI</x:v>
      </x:c>
      <x:c r="D12" s="108" t="n">
        <x:v>9</x:v>
      </x:c>
      <x:c r="E12" s="109" t="n">
        <x:v>25.3</x:v>
      </x:c>
      <x:c r="F12" s="109" t="n">
        <x:v>11.05</x:v>
      </x:c>
      <x:c r="G12" s="109" t="n">
        <x:v>29.3</x:v>
      </x:c>
      <x:c r="H12" s="109" t="n">
        <x:v>19.2</x:v>
      </x:c>
      <x:c r="I12" s="109" t="n">
        <x:v>21.3</x:v>
      </x:c>
      <x:c r="J12" s="109" t="n">
        <x:v>21.95</x:v>
      </x:c>
      <x:c r="K12" s="109" t="n">
        <x:v>27.8</x:v>
      </x:c>
      <x:c r="L12" s="109" t="n">
        <x:v>27.15</x:v>
      </x:c>
      <x:c r="M12" s="109"/>
      <x:c r="N12" s="109" t="n">
        <x:v>13.85</x:v>
      </x:c>
      <x:c r="O12" s="109" t="n">
        <x:v>14.85</x:v>
      </x:c>
      <x:c r="P12" s="109" t="n">
        <x:v>33.25</x:v>
      </x:c>
      <x:c r="Q12" s="109" t="n">
        <x:v>18.6</x:v>
      </x:c>
      <x:c r="R12" s="109" t="n">
        <x:v>2.3</x:v>
      </x:c>
      <x:c r="S12" s="109" t="n">
        <x:v>24.15</x:v>
      </x:c>
      <x:c r="T12" s="109" t="n">
        <x:v>19.75</x:v>
      </x:c>
      <x:c r="U12" s="109" t="n">
        <x:v>9.5</x:v>
      </x:c>
      <x:c r="V12" s="109" t="n">
        <x:v>0</x:v>
      </x:c>
      <x:c r="W12" s="109" t="n">
        <x:f>AVERAGE(E12:V12)</x:f>
        <x:v>18.78235294117647</x:v>
      </x:c>
      <x:c r="X12" s="109" t="n">
        <x:f>MEDIAN(E12:V12)</x:f>
        <x:v>19.75</x:v>
      </x:c>
      <x:c r="Y12" s="109" t="n">
        <x:f>PERCENTILE.INC(E12:V12,0.25)</x:f>
        <x:v>13.85</x:v>
      </x:c>
      <x:c r="Z12" s="109" t="n">
        <x:f>STDEV.P(E12:V12)</x:f>
        <x:v>8.977962253672805</x:v>
      </x:c>
      <x:c r="AA12" s="173" t="n">
        <x:f>IF(W12=0,"",Z12/ABS(W12))</x:f>
        <x:v>0.4779998694407695</x:v>
      </x:c>
      <x:c r="AB12" s="173" t="n">
        <x:f>IF(W12=0,0,(COUNTIF(E12:V12,"&lt;"&amp;0.5*W12)-COUNTBLANK(E12:V12))/COUNT(E12:V12))</x:f>
        <x:v>0.11764705882352941</x:v>
      </x:c>
      <x:c r="AC12" s="109" t="n">
        <x:f>SUM(E12:V12)</x:f>
        <x:v>319.3</x:v>
      </x:c>
    </x:row>
    <x:row r="13">
      <x:c r="A13" s="108" t="str">
        <x:v>QB</x:v>
      </x:c>
      <x:c r="B13" s="108" t="str">
        <x:v>Baker Mayfield</x:v>
      </x:c>
      <x:c r="C13" s="108" t="str">
        <x:v>TB</x:v>
      </x:c>
      <x:c r="D13" s="108" t="n">
        <x:v>9</x:v>
      </x:c>
      <x:c r="E13" s="109" t="n">
        <x:v>23.75</x:v>
      </x:c>
      <x:c r="F13" s="109" t="n">
        <x:v>19.55</x:v>
      </x:c>
      <x:c r="G13" s="109" t="n">
        <x:v>19.05</x:v>
      </x:c>
      <x:c r="H13" s="109" t="n">
        <x:v>24.25</x:v>
      </x:c>
      <x:c r="I13" s="109" t="n">
        <x:v>29.28</x:v>
      </x:c>
      <x:c r="J13" s="109" t="n">
        <x:v>23.2</x:v>
      </x:c>
      <x:c r="K13" s="109" t="n">
        <x:v>10.9</x:v>
      </x:c>
      <x:c r="L13" s="109" t="n">
        <x:v>4.1</x:v>
      </x:c>
      <x:c r="M13" s="109"/>
      <x:c r="N13" s="109" t="n">
        <x:v>24.65</x:v>
      </x:c>
      <x:c r="O13" s="109" t="n">
        <x:v>18.05</x:v>
      </x:c>
      <x:c r="P13" s="109" t="n">
        <x:v>2.95</x:v>
      </x:c>
      <x:c r="Q13" s="109" t="n">
        <x:v>14.9</x:v>
      </x:c>
      <x:c r="R13" s="109" t="n">
        <x:v>12.3</x:v>
      </x:c>
      <x:c r="S13" s="109" t="n">
        <x:v>18.78</x:v>
      </x:c>
      <x:c r="T13" s="109" t="n">
        <x:v>13.15</x:v>
      </x:c>
      <x:c r="U13" s="109" t="n">
        <x:v>18.9</x:v>
      </x:c>
      <x:c r="V13" s="109" t="n">
        <x:v>13.75</x:v>
      </x:c>
      <x:c r="W13" s="109" t="n">
        <x:f>AVERAGE(E13:V13)</x:f>
        <x:v>17.14764705882353</x:v>
      </x:c>
      <x:c r="X13" s="109" t="n">
        <x:f>MEDIAN(E13:V13)</x:f>
        <x:v>18.78</x:v>
      </x:c>
      <x:c r="Y13" s="109" t="n">
        <x:f>PERCENTILE.INC(E13:V13,0.25)</x:f>
        <x:v>13.15</x:v>
      </x:c>
      <x:c r="Z13" s="109" t="n">
        <x:f>STDEV.P(E13:V13)</x:f>
        <x:v>6.932484088704309</x:v>
      </x:c>
      <x:c r="AA13" s="173" t="n">
        <x:f>IF(W13=0,"",Z13/ABS(W13))</x:f>
        <x:v>0.4042819440429942</x:v>
      </x:c>
      <x:c r="AB13" s="173" t="n">
        <x:f>IF(W13=0,0,(COUNTIF(E13:V13,"&lt;"&amp;0.5*W13)-COUNTBLANK(E13:V13))/COUNT(E13:V13))</x:f>
        <x:v>0.11764705882352941</x:v>
      </x:c>
      <x:c r="AC13" s="109" t="n">
        <x:f>SUM(E13:V13)</x:f>
        <x:v>291.51</x:v>
      </x:c>
    </x:row>
    <x:row r="14">
      <x:c r="A14" s="108" t="str">
        <x:v>QB</x:v>
      </x:c>
      <x:c r="B14" s="108" t="str">
        <x:v>Justin Herbert</x:v>
      </x:c>
      <x:c r="C14" s="108" t="str">
        <x:v>LAC</x:v>
      </x:c>
      <x:c r="D14" s="108" t="n">
        <x:v>12</x:v>
      </x:c>
      <x:c r="E14" s="109" t="n">
        <x:v>29.6</x:v>
      </x:c>
      <x:c r="F14" s="109" t="n">
        <x:v>21.7</x:v>
      </x:c>
      <x:c r="G14" s="109" t="n">
        <x:v>15.1</x:v>
      </x:c>
      <x:c r="H14" s="109" t="n">
        <x:v>13.55</x:v>
      </x:c>
      <x:c r="I14" s="109" t="n">
        <x:v>14.3</x:v>
      </x:c>
      <x:c r="J14" s="109" t="n">
        <x:v>20.9</x:v>
      </x:c>
      <x:c r="K14" s="109" t="n">
        <x:v>30.6</x:v>
      </x:c>
      <x:c r="L14" s="109" t="n">
        <x:v>26.55</x:v>
      </x:c>
      <x:c r="M14" s="109" t="n">
        <x:v>27.2</x:v>
      </x:c>
      <x:c r="N14" s="109" t="n">
        <x:v>14.4</x:v>
      </x:c>
      <x:c r="O14" s="109" t="n">
        <x:v>3.15</x:v>
      </x:c>
      <x:c r="P14" s="109"/>
      <x:c r="Q14" s="109" t="n">
        <x:v>12.85</x:v>
      </x:c>
      <x:c r="R14" s="109" t="n">
        <x:v>9.55</x:v>
      </x:c>
      <x:c r="S14" s="109" t="n">
        <x:v>10.5</x:v>
      </x:c>
      <x:c r="T14" s="109" t="n">
        <x:v>32.7</x:v>
      </x:c>
      <x:c r="U14" s="109" t="n">
        <x:v>14</x:v>
      </x:c>
      <x:c r="V14" s="109" t="n">
        <x:v>0</x:v>
      </x:c>
      <x:c r="W14" s="109" t="n">
        <x:f>AVERAGE(E14:V14)</x:f>
        <x:v>17.45</x:v>
      </x:c>
      <x:c r="X14" s="109" t="n">
        <x:f>MEDIAN(E14:V14)</x:f>
        <x:v>14.4</x:v>
      </x:c>
      <x:c r="Y14" s="109" t="n">
        <x:f>PERCENTILE.INC(E14:V14,0.25)</x:f>
        <x:v>12.85</x:v>
      </x:c>
      <x:c r="Z14" s="109" t="n">
        <x:f>STDEV.P(E14:V14)</x:f>
        <x:v>9.247161726713772</x:v>
      </x:c>
      <x:c r="AA14" s="173" t="n">
        <x:f>IF(W14=0,"",Z14/ABS(W14))</x:f>
        <x:v>0.5299233081211331</x:v>
      </x:c>
      <x:c r="AB14" s="173" t="n">
        <x:f>IF(W14=0,0,(COUNTIF(E14:V14,"&lt;"&amp;0.5*W14)-COUNTBLANK(E14:V14))/COUNT(E14:V14))</x:f>
        <x:v>0.11764705882352941</x:v>
      </x:c>
      <x:c r="AC14" s="109" t="n">
        <x:f>SUM(E14:V14)</x:f>
        <x:v>296.65</x:v>
      </x:c>
    </x:row>
    <x:row r="15">
      <x:c r="A15" s="108" t="str">
        <x:v>QB</x:v>
      </x:c>
      <x:c r="B15" s="108" t="str">
        <x:v>Patrick Mahomes</x:v>
      </x:c>
      <x:c r="C15" s="108" t="str">
        <x:v>KC</x:v>
      </x:c>
      <x:c r="D15" s="108" t="n">
        <x:v>10</x:v>
      </x:c>
      <x:c r="E15" s="109" t="n">
        <x:v>27.6</x:v>
      </x:c>
      <x:c r="F15" s="109" t="n">
        <x:v>24.95</x:v>
      </x:c>
      <x:c r="G15" s="109" t="n">
        <x:v>13.4</x:v>
      </x:c>
      <x:c r="H15" s="109" t="n">
        <x:v>29.5</x:v>
      </x:c>
      <x:c r="I15" s="109" t="n">
        <x:v>29.9</x:v>
      </x:c>
      <x:c r="J15" s="109" t="n">
        <x:v>32.05</x:v>
      </x:c>
      <x:c r="K15" s="109" t="n">
        <x:v>28.6</x:v>
      </x:c>
      <x:c r="L15" s="109" t="n">
        <x:v>24.45</x:v>
      </x:c>
      <x:c r="M15" s="109" t="n">
        <x:v>10.83</x:v>
      </x:c>
      <x:c r="N15" s="109"/>
      <x:c r="O15" s="109" t="n">
        <x:v>14.6</x:v>
      </x:c>
      <x:c r="P15" s="109" t="n">
        <x:v>17.93</x:v>
      </x:c>
      <x:c r="Q15" s="109" t="n">
        <x:v>30.55</x:v>
      </x:c>
      <x:c r="R15" s="109" t="n">
        <x:v>6.4</x:v>
      </x:c>
      <x:c r="S15" s="109" t="n">
        <x:v>12.45</x:v>
      </x:c>
      <x:c r="T15" s="109" t="n">
        <x:v>0</x:v>
      </x:c>
      <x:c r="U15" s="109" t="n">
        <x:v>0</x:v>
      </x:c>
      <x:c r="V15" s="109" t="n">
        <x:v>0</x:v>
      </x:c>
      <x:c r="W15" s="109" t="n">
        <x:f>AVERAGE(E15:V15)</x:f>
        <x:v>17.835882352941173</x:v>
      </x:c>
      <x:c r="X15" s="109" t="n">
        <x:f>MEDIAN(E15:V15)</x:f>
        <x:v>17.93</x:v>
      </x:c>
      <x:c r="Y15" s="109" t="n">
        <x:f>PERCENTILE.INC(E15:V15,0.25)</x:f>
        <x:v>10.83</x:v>
      </x:c>
      <x:c r="Z15" s="109" t="n">
        <x:f>STDEV.P(E15:V15)</x:f>
        <x:v>11.230809545397104</x:v>
      </x:c>
      <x:c r="AA15" s="173" t="n">
        <x:f>IF(W15=0,"",Z15/ABS(W15))</x:f>
        <x:v>0.6296750182109786</x:v>
      </x:c>
      <x:c r="AB15" s="173" t="n">
        <x:f>IF(W15=0,0,(COUNTIF(E15:V15,"&lt;"&amp;0.5*W15)-COUNTBLANK(E15:V15))/COUNT(E15:V15))</x:f>
        <x:v>0.23529411764705882</x:v>
      </x:c>
      <x:c r="AC15" s="109" t="n">
        <x:f>SUM(E15:V15)</x:f>
        <x:v>303.2099999999999</x:v>
      </x:c>
    </x:row>
    <x:row r="16">
      <x:c r="A16" s="108" t="str">
        <x:v>QB</x:v>
      </x:c>
      <x:c r="B16" s="108" t="str">
        <x:v>Aaron Rodgers</x:v>
      </x:c>
      <x:c r="C16" s="108" t="str">
        <x:v>PIT</x:v>
      </x:c>
      <x:c r="D16" s="108" t="n">
        <x:v>5</x:v>
      </x:c>
      <x:c r="E16" s="109" t="n">
        <x:v>26.1</x:v>
      </x:c>
      <x:c r="F16" s="109" t="n">
        <x:v>10.28</x:v>
      </x:c>
      <x:c r="G16" s="109" t="n">
        <x:v>13.05</x:v>
      </x:c>
      <x:c r="H16" s="109" t="n">
        <x:v>15.3</x:v>
      </x:c>
      <x:c r="I16" s="109"/>
      <x:c r="J16" s="109" t="n">
        <x:v>19.85</x:v>
      </x:c>
      <x:c r="K16" s="109" t="n">
        <x:v>27.05</x:v>
      </x:c>
      <x:c r="L16" s="109" t="n">
        <x:v>17.45</x:v>
      </x:c>
      <x:c r="M16" s="109" t="n">
        <x:v>12.65</x:v>
      </x:c>
      <x:c r="N16" s="109" t="n">
        <x:v>6.05</x:v>
      </x:c>
      <x:c r="O16" s="109" t="n">
        <x:v>10.1</x:v>
      </x:c>
      <x:c r="P16" s="109" t="n">
        <x:v>0</x:v>
      </x:c>
      <x:c r="Q16" s="109" t="n">
        <x:v>3.35</x:v>
      </x:c>
      <x:c r="R16" s="109" t="n">
        <x:v>23.8</x:v>
      </x:c>
      <x:c r="S16" s="109" t="n">
        <x:v>17.7</x:v>
      </x:c>
      <x:c r="T16" s="109" t="n">
        <x:v>19.2</x:v>
      </x:c>
      <x:c r="U16" s="109" t="n">
        <x:v>7.5</x:v>
      </x:c>
      <x:c r="V16" s="109" t="n">
        <x:v>19.7</x:v>
      </x:c>
      <x:c r="W16" s="109" t="n">
        <x:f>AVERAGE(E16:V16)</x:f>
        <x:v>14.65470588235294</x:v>
      </x:c>
      <x:c r="X16" s="109" t="n">
        <x:f>MEDIAN(E16:V16)</x:f>
        <x:v>15.3</x:v>
      </x:c>
      <x:c r="Y16" s="109" t="n">
        <x:f>PERCENTILE.INC(E16:V16,0.25)</x:f>
        <x:v>10.1</x:v>
      </x:c>
      <x:c r="Z16" s="109" t="n">
        <x:f>STDEV.P(E16:V16)</x:f>
        <x:v>7.565980452500023</x:v>
      </x:c>
      <x:c r="AA16" s="173" t="n">
        <x:f>IF(W16=0,"",Z16/ABS(W16))</x:f>
        <x:v>0.5162833367820029</x:v>
      </x:c>
      <x:c r="AB16" s="173" t="n">
        <x:f>IF(W16=0,0,(COUNTIF(E16:V16,"&lt;"&amp;0.5*W16)-COUNTBLANK(E16:V16))/COUNT(E16:V16))</x:f>
        <x:v>0.17647058823529413</x:v>
      </x:c>
      <x:c r="AC16" s="109" t="n">
        <x:f>SUM(E16:V16)</x:f>
        <x:v>249.13</x:v>
      </x:c>
    </x:row>
    <x:row r="17">
      <x:c r="A17" s="108" t="str">
        <x:v>QB</x:v>
      </x:c>
      <x:c r="B17" s="108" t="str">
        <x:v>Bryce Young</x:v>
      </x:c>
      <x:c r="C17" s="108" t="str">
        <x:v>CAR</x:v>
      </x:c>
      <x:c r="D17" s="108" t="n">
        <x:v>14</x:v>
      </x:c>
      <x:c r="E17" s="109" t="n">
        <x:v>9.2</x:v>
      </x:c>
      <x:c r="F17" s="109" t="n">
        <x:v>23.1</x:v>
      </x:c>
      <x:c r="G17" s="109" t="n">
        <x:v>12.35</x:v>
      </x:c>
      <x:c r="H17" s="109" t="n">
        <x:v>11.3</x:v>
      </x:c>
      <x:c r="I17" s="109" t="n">
        <x:v>12.5</x:v>
      </x:c>
      <x:c r="J17" s="109" t="n">
        <x:v>19.95</x:v>
      </x:c>
      <x:c r="K17" s="109" t="n">
        <x:v>10.9</x:v>
      </x:c>
      <x:c r="L17" s="109" t="n">
        <x:v>0</x:v>
      </x:c>
      <x:c r="M17" s="109" t="n">
        <x:v>3</x:v>
      </x:c>
      <x:c r="N17" s="109" t="n">
        <x:v>1.8</x:v>
      </x:c>
      <x:c r="O17" s="109" t="n">
        <x:v>33.13</x:v>
      </x:c>
      <x:c r="P17" s="109" t="n">
        <x:v>9.45</x:v>
      </x:c>
      <x:c r="Q17" s="109" t="n">
        <x:v>25.6</x:v>
      </x:c>
      <x:c r="R17" s="109"/>
      <x:c r="S17" s="109" t="n">
        <x:v>16.55</x:v>
      </x:c>
      <x:c r="T17" s="109" t="n">
        <x:v>18.55</x:v>
      </x:c>
      <x:c r="U17" s="109" t="n">
        <x:v>8.4</x:v>
      </x:c>
      <x:c r="V17" s="109" t="n">
        <x:v>18.7</x:v>
      </x:c>
      <x:c r="W17" s="109" t="n">
        <x:f>AVERAGE(E17:V17)</x:f>
        <x:v>13.79294117647059</x:v>
      </x:c>
      <x:c r="X17" s="109" t="n">
        <x:f>MEDIAN(E17:V17)</x:f>
        <x:v>12.35</x:v>
      </x:c>
      <x:c r="Y17" s="109" t="n">
        <x:f>PERCENTILE.INC(E17:V17,0.25)</x:f>
        <x:v>9.2</x:v>
      </x:c>
      <x:c r="Z17" s="109" t="n">
        <x:f>STDEV.P(E17:V17)</x:f>
        <x:v>8.506435463262942</x:v>
      </x:c>
      <x:c r="AA17" s="173" t="n">
        <x:f>IF(W17=0,"",Z17/ABS(W17))</x:f>
        <x:v>0.6167238266609946</x:v>
      </x:c>
      <x:c r="AB17" s="173" t="n">
        <x:f>IF(W17=0,0,(COUNTIF(E17:V17,"&lt;"&amp;0.5*W17)-COUNTBLANK(E17:V17))/COUNT(E17:V17))</x:f>
        <x:v>0.17647058823529413</x:v>
      </x:c>
      <x:c r="AC17" s="109" t="n">
        <x:f>SUM(E17:V17)</x:f>
        <x:v>234.48000000000002</x:v>
      </x:c>
    </x:row>
    <x:row r="18">
      <x:c r="A18" s="108" t="str">
        <x:v>QB</x:v>
      </x:c>
      <x:c r="B18" s="108" t="str">
        <x:v>C.J. Stroud</x:v>
      </x:c>
      <x:c r="C18" s="108" t="str">
        <x:v>HOU</x:v>
      </x:c>
      <x:c r="D18" s="108" t="n">
        <x:v>6</x:v>
      </x:c>
      <x:c r="E18" s="109" t="n">
        <x:v>9.1</x:v>
      </x:c>
      <x:c r="F18" s="109" t="n">
        <x:v>15.55</x:v>
      </x:c>
      <x:c r="G18" s="109" t="n">
        <x:v>13.4</x:v>
      </x:c>
      <x:c r="H18" s="109" t="n">
        <x:v>19.75</x:v>
      </x:c>
      <x:c r="I18" s="109" t="n">
        <x:v>30.2</x:v>
      </x:c>
      <x:c r="J18" s="109"/>
      <x:c r="K18" s="109" t="n">
        <x:v>14.45</x:v>
      </x:c>
      <x:c r="L18" s="109" t="n">
        <x:v>24.9</x:v>
      </x:c>
      <x:c r="M18" s="109" t="n">
        <x:v>4.15</x:v>
      </x:c>
      <x:c r="N18" s="109" t="n">
        <x:v>0</x:v>
      </x:c>
      <x:c r="O18" s="109" t="n">
        <x:v>0</x:v>
      </x:c>
      <x:c r="P18" s="109" t="n">
        <x:v>0</x:v>
      </x:c>
      <x:c r="Q18" s="109" t="n">
        <x:v>10.8</x:v>
      </x:c>
      <x:c r="R18" s="109" t="n">
        <x:v>13.15</x:v>
      </x:c>
      <x:c r="S18" s="109" t="n">
        <x:v>27</x:v>
      </x:c>
      <x:c r="T18" s="109" t="n">
        <x:v>12.85</x:v>
      </x:c>
      <x:c r="U18" s="109" t="n">
        <x:v>20.2</x:v>
      </x:c>
      <x:c r="V18" s="109" t="n">
        <x:v>18.95</x:v>
      </x:c>
      <x:c r="W18" s="109" t="n">
        <x:f>AVERAGE(E18:V18)</x:f>
        <x:v>13.791176470588235</x:v>
      </x:c>
      <x:c r="X18" s="109" t="n">
        <x:f>MEDIAN(E18:V18)</x:f>
        <x:v>13.4</x:v>
      </x:c>
      <x:c r="Y18" s="109" t="n">
        <x:f>PERCENTILE.INC(E18:V18,0.25)</x:f>
        <x:v>9.1</x:v>
      </x:c>
      <x:c r="Z18" s="109" t="n">
        <x:f>STDEV.P(E18:V18)</x:f>
        <x:v>8.976427222160298</x:v>
      </x:c>
      <x:c r="AA18" s="173" t="n">
        <x:f>IF(W18=0,"",Z18/ABS(W18))</x:f>
        <x:v>0.6508819056375563</x:v>
      </x:c>
      <x:c r="AB18" s="173" t="n">
        <x:f>IF(W18=0,0,(COUNTIF(E18:V18,"&lt;"&amp;0.5*W18)-COUNTBLANK(E18:V18))/COUNT(E18:V18))</x:f>
        <x:v>0.23529411764705882</x:v>
      </x:c>
      <x:c r="AC18" s="109" t="n">
        <x:f>SUM(E18:V18)</x:f>
        <x:v>234.45</x:v>
      </x:c>
    </x:row>
    <x:row r="19">
      <x:c r="A19" s="108" t="str">
        <x:v>QB</x:v>
      </x:c>
      <x:c r="B19" s="108" t="str">
        <x:v>Sam Darnold</x:v>
      </x:c>
      <x:c r="C19" s="108" t="str">
        <x:v>SEA</x:v>
      </x:c>
      <x:c r="D19" s="108" t="n">
        <x:v>8</x:v>
      </x:c>
      <x:c r="E19" s="109" t="n">
        <x:v>6.4</x:v>
      </x:c>
      <x:c r="F19" s="109" t="n">
        <x:v>17.75</x:v>
      </x:c>
      <x:c r="G19" s="109" t="n">
        <x:v>18.9</x:v>
      </x:c>
      <x:c r="H19" s="109" t="n">
        <x:v>16.5</x:v>
      </x:c>
      <x:c r="I19" s="109" t="n">
        <x:v>31.05</x:v>
      </x:c>
      <x:c r="J19" s="109" t="n">
        <x:v>24.45</x:v>
      </x:c>
      <x:c r="K19" s="109" t="n">
        <x:v>9.75</x:v>
      </x:c>
      <x:c r="L19" s="109"/>
      <x:c r="M19" s="109" t="n">
        <x:v>32.5</x:v>
      </x:c>
      <x:c r="N19" s="109" t="n">
        <x:v>8.2</x:v>
      </x:c>
      <x:c r="O19" s="109" t="n">
        <x:v>7.05</x:v>
      </x:c>
      <x:c r="P19" s="109" t="n">
        <x:v>21.6</x:v>
      </x:c>
      <x:c r="Q19" s="109" t="n">
        <x:v>1.9</x:v>
      </x:c>
      <x:c r="R19" s="109" t="n">
        <x:v>23.75</x:v>
      </x:c>
      <x:c r="S19" s="109" t="n">
        <x:v>13.05</x:v>
      </x:c>
      <x:c r="T19" s="109" t="n">
        <x:v>18.86</x:v>
      </x:c>
      <x:c r="U19" s="109" t="n">
        <x:v>5.55</x:v>
      </x:c>
      <x:c r="V19" s="109" t="n">
        <x:v>9.3</x:v>
      </x:c>
      <x:c r="W19" s="109" t="n">
        <x:f>AVERAGE(E19:V19)</x:f>
        <x:v>15.680000000000003</x:v>
      </x:c>
      <x:c r="X19" s="109" t="n">
        <x:f>MEDIAN(E19:V19)</x:f>
        <x:v>16.5</x:v>
      </x:c>
      <x:c r="Y19" s="109" t="n">
        <x:f>PERCENTILE.INC(E19:V19,0.25)</x:f>
        <x:v>8.2</x:v>
      </x:c>
      <x:c r="Z19" s="109" t="n">
        <x:f>STDEV.P(E19:V19)</x:f>
        <x:v>8.79006390929052</x:v>
      </x:c>
      <x:c r="AA19" s="173" t="n">
        <x:f>IF(W19=0,"",Z19/ABS(W19))</x:f>
        <x:v>0.5605908105414872</x:v>
      </x:c>
      <x:c r="AB19" s="173" t="n">
        <x:f>IF(W19=0,0,(COUNTIF(E19:V19,"&lt;"&amp;0.5*W19)-COUNTBLANK(E19:V19))/COUNT(E19:V19))</x:f>
        <x:v>0.23529411764705882</x:v>
      </x:c>
      <x:c r="AC19" s="109" t="n">
        <x:f>SUM(E19:V19)</x:f>
        <x:v>266.56000000000006</x:v>
      </x:c>
    </x:row>
    <x:row r="20">
      <x:c r="A20" s="108" t="str">
        <x:v>QB</x:v>
      </x:c>
      <x:c r="B20" s="108" t="str">
        <x:v>Jordan Love</x:v>
      </x:c>
      <x:c r="C20" s="108" t="str">
        <x:v>GB</x:v>
      </x:c>
      <x:c r="D20" s="108" t="n">
        <x:v>5</x:v>
      </x:c>
      <x:c r="E20" s="109" t="n">
        <x:v>17.8</x:v>
      </x:c>
      <x:c r="F20" s="109" t="n">
        <x:v>22.8</x:v>
      </x:c>
      <x:c r="G20" s="109" t="n">
        <x:v>10.45</x:v>
      </x:c>
      <x:c r="H20" s="109" t="n">
        <x:v>29.15</x:v>
      </x:c>
      <x:c r="I20" s="109"/>
      <x:c r="J20" s="109" t="n">
        <x:v>17.05</x:v>
      </x:c>
      <x:c r="K20" s="109" t="n">
        <x:v>13.65</x:v>
      </x:c>
      <x:c r="L20" s="109" t="n">
        <x:v>31.23</x:v>
      </x:c>
      <x:c r="M20" s="109" t="n">
        <x:v>11.25</x:v>
      </x:c>
      <x:c r="N20" s="109" t="n">
        <x:v>7.6</x:v>
      </x:c>
      <x:c r="O20" s="109" t="n">
        <x:v>17.73</x:v>
      </x:c>
      <x:c r="P20" s="109" t="n">
        <x:v>7.95</x:v>
      </x:c>
      <x:c r="Q20" s="109" t="n">
        <x:v>29.6</x:v>
      </x:c>
      <x:c r="R20" s="109" t="n">
        <x:v>25.1</x:v>
      </x:c>
      <x:c r="S20" s="109" t="n">
        <x:v>15.2</x:v>
      </x:c>
      <x:c r="T20" s="109" t="n">
        <x:v>4.05</x:v>
      </x:c>
      <x:c r="U20" s="109" t="n">
        <x:v>0</x:v>
      </x:c>
      <x:c r="V20" s="109" t="n">
        <x:v>0</x:v>
      </x:c>
      <x:c r="W20" s="109" t="n">
        <x:f>AVERAGE(E20:V20)</x:f>
        <x:v>15.329999999999998</x:v>
      </x:c>
      <x:c r="X20" s="109" t="n">
        <x:f>MEDIAN(E20:V20)</x:f>
        <x:v>15.2</x:v>
      </x:c>
      <x:c r="Y20" s="109" t="n">
        <x:f>PERCENTILE.INC(E20:V20,0.25)</x:f>
        <x:v>7.95</x:v>
      </x:c>
      <x:c r="Z20" s="109" t="n">
        <x:f>STDEV.P(E20:V20)</x:f>
        <x:v>9.60478434702941</x:v>
      </x:c>
      <x:c r="AA20" s="173" t="n">
        <x:f>IF(W20=0,"",Z20/ABS(W20))</x:f>
        <x:v>0.6265351824546257</x:v>
      </x:c>
      <x:c r="AB20" s="173" t="n">
        <x:f>IF(W20=0,0,(COUNTIF(E20:V20,"&lt;"&amp;0.5*W20)-COUNTBLANK(E20:V20))/COUNT(E20:V20))</x:f>
        <x:v>0.23529411764705882</x:v>
      </x:c>
      <x:c r="AC20" s="109" t="n">
        <x:f>SUM(E20:V20)</x:f>
        <x:v>260.60999999999996</x:v>
      </x:c>
    </x:row>
    <x:row r="21">
      <x:c r="A21" s="108" t="str">
        <x:v>QB</x:v>
      </x:c>
      <x:c r="B21" s="108" t="str">
        <x:v>Cam Ward</x:v>
      </x:c>
      <x:c r="C21" s="108" t="str">
        <x:v>TEN</x:v>
      </x:c>
      <x:c r="D21" s="108" t="n">
        <x:v>10</x:v>
      </x:c>
      <x:c r="E21" s="109" t="n">
        <x:v>0.6</x:v>
      </x:c>
      <x:c r="F21" s="109" t="n">
        <x:v>9.05</x:v>
      </x:c>
      <x:c r="G21" s="109" t="n">
        <x:v>12.15</x:v>
      </x:c>
      <x:c r="H21" s="109" t="n">
        <x:v>4.6</x:v>
      </x:c>
      <x:c r="I21" s="109" t="n">
        <x:v>9.65</x:v>
      </x:c>
      <x:c r="J21" s="109" t="n">
        <x:v>6.1</x:v>
      </x:c>
      <x:c r="K21" s="109" t="n">
        <x:v>10.25</x:v>
      </x:c>
      <x:c r="L21" s="109" t="n">
        <x:v>13.35</x:v>
      </x:c>
      <x:c r="M21" s="109" t="n">
        <x:v>4.85</x:v>
      </x:c>
      <x:c r="N21" s="109"/>
      <x:c r="O21" s="109" t="n">
        <x:v>13.5</x:v>
      </x:c>
      <x:c r="P21" s="109" t="n">
        <x:v>24.5</x:v>
      </x:c>
      <x:c r="Q21" s="109" t="n">
        <x:v>5.75</x:v>
      </x:c>
      <x:c r="R21" s="109" t="n">
        <x:v>11.75</x:v>
      </x:c>
      <x:c r="S21" s="109" t="n">
        <x:v>16.7</x:v>
      </x:c>
      <x:c r="T21" s="109" t="n">
        <x:v>19.3</x:v>
      </x:c>
      <x:c r="U21" s="109" t="n">
        <x:v>19.05</x:v>
      </x:c>
      <x:c r="V21" s="109" t="n">
        <x:v>9.7</x:v>
      </x:c>
      <x:c r="W21" s="109" t="n">
        <x:f>AVERAGE(E21:V21)</x:f>
        <x:v>11.226470588235294</x:v>
      </x:c>
      <x:c r="X21" s="109" t="n">
        <x:f>MEDIAN(E21:V21)</x:f>
        <x:v>10.25</x:v>
      </x:c>
      <x:c r="Y21" s="109" t="n">
        <x:f>PERCENTILE.INC(E21:V21,0.25)</x:f>
        <x:v>6.1</x:v>
      </x:c>
      <x:c r="Z21" s="109" t="n">
        <x:f>STDEV.P(E21:V21)</x:f>
        <x:v>5.978444555899007</x:v>
      </x:c>
      <x:c r="AA21" s="173" t="n">
        <x:f>IF(W21=0,"",Z21/ABS(W21))</x:f>
        <x:v>0.5325310843609281</x:v>
      </x:c>
      <x:c r="AB21" s="173" t="n">
        <x:f>IF(W21=0,0,(COUNTIF(E21:V21,"&lt;"&amp;0.5*W21)-COUNTBLANK(E21:V21))/COUNT(E21:V21))</x:f>
        <x:v>0.17647058823529413</x:v>
      </x:c>
      <x:c r="AC21" s="109" t="n">
        <x:f>SUM(E21:V21)</x:f>
        <x:v>190.85</x:v>
      </x:c>
    </x:row>
    <x:row r="22">
      <x:c r="A22" s="108" t="str">
        <x:v>QB</x:v>
      </x:c>
      <x:c r="B22" s="108" t="str">
        <x:v>Lamar Jackson</x:v>
      </x:c>
      <x:c r="C22" s="108" t="str">
        <x:v>BAL</x:v>
      </x:c>
      <x:c r="D22" s="108" t="n">
        <x:v>7</x:v>
      </x:c>
      <x:c r="E22" s="109" t="n">
        <x:v>30.45</x:v>
      </x:c>
      <x:c r="F22" s="109" t="n">
        <x:v>27.05</x:v>
      </x:c>
      <x:c r="G22" s="109" t="n">
        <x:v>25.9</x:v>
      </x:c>
      <x:c r="H22" s="109" t="n">
        <x:v>10.65</x:v>
      </x:c>
      <x:c r="I22" s="109" t="n">
        <x:v>0</x:v>
      </x:c>
      <x:c r="J22" s="109" t="n">
        <x:v>0</x:v>
      </x:c>
      <x:c r="K22" s="109"/>
      <x:c r="L22" s="109" t="n">
        <x:v>0</x:v>
      </x:c>
      <x:c r="M22" s="109" t="n">
        <x:v>26.6</x:v>
      </x:c>
      <x:c r="N22" s="109" t="n">
        <x:v>16.73</x:v>
      </x:c>
      <x:c r="O22" s="109" t="n">
        <x:v>4.15</x:v>
      </x:c>
      <x:c r="P22" s="109" t="n">
        <x:v>7.75</x:v>
      </x:c>
      <x:c r="Q22" s="109" t="n">
        <x:v>7.5</x:v>
      </x:c>
      <x:c r="R22" s="109" t="n">
        <x:v>22.25</x:v>
      </x:c>
      <x:c r="S22" s="109" t="n">
        <x:v>13.6</x:v>
      </x:c>
      <x:c r="T22" s="109" t="n">
        <x:v>5.75</x:v>
      </x:c>
      <x:c r="U22" s="109" t="n">
        <x:v>0</x:v>
      </x:c>
      <x:c r="V22" s="109" t="n">
        <x:v>25.3</x:v>
      </x:c>
      <x:c r="W22" s="109" t="n">
        <x:f>AVERAGE(E22:V22)</x:f>
        <x:v>13.15764705882353</x:v>
      </x:c>
      <x:c r="X22" s="109" t="n">
        <x:f>MEDIAN(E22:V22)</x:f>
        <x:v>10.65</x:v>
      </x:c>
      <x:c r="Y22" s="109" t="n">
        <x:f>PERCENTILE.INC(E22:V22,0.25)</x:f>
        <x:v>4.15</x:v>
      </x:c>
      <x:c r="Z22" s="109" t="n">
        <x:f>STDEV.P(E22:V22)</x:f>
        <x:v>10.77633001449542</x:v>
      </x:c>
      <x:c r="AA22" s="173" t="n">
        <x:f>IF(W22=0,"",Z22/ABS(W22))</x:f>
        <x:v>0.8190164978827885</x:v>
      </x:c>
      <x:c r="AB22" s="173" t="n">
        <x:f>IF(W22=0,0,(COUNTIF(E22:V22,"&lt;"&amp;0.5*W22)-COUNTBLANK(E22:V22))/COUNT(E22:V22))</x:f>
        <x:v>0.35294117647058826</x:v>
      </x:c>
      <x:c r="AC22" s="109" t="n">
        <x:f>SUM(E22:V22)</x:f>
        <x:v>223.68</x:v>
      </x:c>
    </x:row>
    <x:row r="23">
      <x:c r="A23" s="108" t="str">
        <x:v>QB</x:v>
      </x:c>
      <x:c r="B23" s="108" t="str">
        <x:v>Tua Tagovailoa</x:v>
      </x:c>
      <x:c r="C23" s="108" t="str">
        <x:v>MIA</x:v>
      </x:c>
      <x:c r="D23" s="108" t="n">
        <x:v>12</x:v>
      </x:c>
      <x:c r="E23" s="109" t="n">
        <x:v>4.23</x:v>
      </x:c>
      <x:c r="F23" s="109" t="n">
        <x:v>19.25</x:v>
      </x:c>
      <x:c r="G23" s="109" t="n">
        <x:v>13.8</x:v>
      </x:c>
      <x:c r="H23" s="109" t="n">
        <x:v>16.95</x:v>
      </x:c>
      <x:c r="I23" s="109" t="n">
        <x:v>25.8</x:v>
      </x:c>
      <x:c r="J23" s="109" t="n">
        <x:v>7.65</x:v>
      </x:c>
      <x:c r="K23" s="109" t="n">
        <x:v>-2.9</x:v>
      </x:c>
      <x:c r="L23" s="109" t="n">
        <x:v>27.75</x:v>
      </x:c>
      <x:c r="M23" s="109" t="n">
        <x:v>10.15</x:v>
      </x:c>
      <x:c r="N23" s="109" t="n">
        <x:v>12.55</x:v>
      </x:c>
      <x:c r="O23" s="109" t="n">
        <x:v>7.05</x:v>
      </x:c>
      <x:c r="P23" s="109"/>
      <x:c r="Q23" s="109" t="n">
        <x:v>3.75</x:v>
      </x:c>
      <x:c r="R23" s="109" t="n">
        <x:v>9.35</x:v>
      </x:c>
      <x:c r="S23" s="109" t="n">
        <x:v>16.75</x:v>
      </x:c>
      <x:c r="T23" s="109" t="n">
        <x:v>0</x:v>
      </x:c>
      <x:c r="U23" s="109" t="n">
        <x:v>0</x:v>
      </x:c>
      <x:c r="V23" s="109" t="n">
        <x:v>0</x:v>
      </x:c>
      <x:c r="W23" s="109" t="n">
        <x:f>AVERAGE(E23:V23)</x:f>
        <x:v>10.12529411764706</x:v>
      </x:c>
      <x:c r="X23" s="109" t="n">
        <x:f>MEDIAN(E23:V23)</x:f>
        <x:v>9.35</x:v>
      </x:c>
      <x:c r="Y23" s="109" t="n">
        <x:f>PERCENTILE.INC(E23:V23,0.25)</x:f>
        <x:v>3.75</x:v>
      </x:c>
      <x:c r="Z23" s="109" t="n">
        <x:f>STDEV.P(E23:V23)</x:f>
        <x:v>8.805883806829225</x:v>
      </x:c>
      <x:c r="AA23" s="173" t="n">
        <x:f>IF(W23=0,"",Z23/ABS(W23))</x:f>
        <x:v>0.8696916558188393</x:v>
      </x:c>
      <x:c r="AB23" s="173" t="n">
        <x:f>IF(W23=0,0,(COUNTIF(E23:V23,"&lt;"&amp;0.5*W23)-COUNTBLANK(E23:V23))/COUNT(E23:V23))</x:f>
        <x:v>0.35294117647058826</x:v>
      </x:c>
      <x:c r="AC23" s="109" t="n">
        <x:f>SUM(E23:V23)</x:f>
        <x:v>172.13000000000002</x:v>
      </x:c>
    </x:row>
    <x:row r="24">
      <x:c r="A24" s="108" t="str">
        <x:v>QB</x:v>
      </x:c>
      <x:c r="B24" s="108" t="str">
        <x:v>Geno Smith</x:v>
      </x:c>
      <x:c r="C24" s="108" t="str">
        <x:v>LV</x:v>
      </x:c>
      <x:c r="D24" s="108" t="n">
        <x:v>8</x:v>
      </x:c>
      <x:c r="E24" s="109" t="n">
        <x:v>19.1</x:v>
      </x:c>
      <x:c r="F24" s="109" t="n">
        <x:v>3.5</x:v>
      </x:c>
      <x:c r="G24" s="109" t="n">
        <x:v>27.78</x:v>
      </x:c>
      <x:c r="H24" s="109" t="n">
        <x:v>10.95</x:v>
      </x:c>
      <x:c r="I24" s="109" t="n">
        <x:v>6.2</x:v>
      </x:c>
      <x:c r="J24" s="109" t="n">
        <x:v>9.4</x:v>
      </x:c>
      <x:c r="K24" s="109" t="n">
        <x:v>2.45</x:v>
      </x:c>
      <x:c r="L24" s="109"/>
      <x:c r="M24" s="109" t="n">
        <x:v>28.1</x:v>
      </x:c>
      <x:c r="N24" s="109" t="n">
        <x:v>2.85</x:v>
      </x:c>
      <x:c r="O24" s="109" t="n">
        <x:v>13.3</x:v>
      </x:c>
      <x:c r="P24" s="109" t="n">
        <x:v>11.55</x:v>
      </x:c>
      <x:c r="Q24" s="109" t="n">
        <x:v>10.65</x:v>
      </x:c>
      <x:c r="R24" s="109" t="n">
        <x:v>8.7</x:v>
      </x:c>
      <x:c r="S24" s="109" t="n">
        <x:v>0</x:v>
      </x:c>
      <x:c r="T24" s="109" t="n">
        <x:v>16.55</x:v>
      </x:c>
      <x:c r="U24" s="109" t="n">
        <x:v>7.4</x:v>
      </x:c>
      <x:c r="V24" s="109" t="n">
        <x:v>0</x:v>
      </x:c>
      <x:c r="W24" s="109" t="n">
        <x:f>AVERAGE(E24:V24)</x:f>
        <x:v>10.498823529411766</x:v>
      </x:c>
      <x:c r="X24" s="109" t="n">
        <x:f>MEDIAN(E24:V24)</x:f>
        <x:v>9.4</x:v>
      </x:c>
      <x:c r="Y24" s="109" t="n">
        <x:f>PERCENTILE.INC(E24:V24,0.25)</x:f>
        <x:v>3.5</x:v>
      </x:c>
      <x:c r="Z24" s="109" t="n">
        <x:f>STDEV.P(E24:V24)</x:f>
        <x:v>8.237158906516923</x:v>
      </x:c>
      <x:c r="AA24" s="173" t="n">
        <x:f>IF(W24=0,"",Z24/ABS(W24))</x:f>
        <x:v>0.7845792324674343</x:v>
      </x:c>
      <x:c r="AB24" s="173" t="n">
        <x:f>IF(W24=0,0,(COUNTIF(E24:V24,"&lt;"&amp;0.5*W24)-COUNTBLANK(E24:V24))/COUNT(E24:V24))</x:f>
        <x:v>0.29411764705882354</x:v>
      </x:c>
      <x:c r="AC24" s="109" t="n">
        <x:f>SUM(E24:V24)</x:f>
        <x:v>178.48000000000002</x:v>
      </x:c>
    </x:row>
    <x:row r="25">
      <x:c r="A25" s="108" t="str">
        <x:v>QB</x:v>
      </x:c>
      <x:c r="B25" s="108" t="str">
        <x:v>Daniel Jones</x:v>
      </x:c>
      <x:c r="C25" s="108" t="str">
        <x:v>IND</x:v>
      </x:c>
      <x:c r="D25" s="108" t="n">
        <x:v>11</x:v>
      </x:c>
      <x:c r="E25" s="109" t="n">
        <x:v>31.7</x:v>
      </x:c>
      <x:c r="F25" s="109" t="n">
        <x:v>25.5</x:v>
      </x:c>
      <x:c r="G25" s="109" t="n">
        <x:v>18.1</x:v>
      </x:c>
      <x:c r="H25" s="109" t="n">
        <x:v>11.5</x:v>
      </x:c>
      <x:c r="I25" s="109" t="n">
        <x:v>18.3</x:v>
      </x:c>
      <x:c r="J25" s="109" t="n">
        <x:v>24.1</x:v>
      </x:c>
      <x:c r="K25" s="109" t="n">
        <x:v>23.93</x:v>
      </x:c>
      <x:c r="L25" s="109" t="n">
        <x:v>24.4</x:v>
      </x:c>
      <x:c r="M25" s="109" t="n">
        <x:v>14.5</x:v>
      </x:c>
      <x:c r="N25" s="109" t="n">
        <x:v>13.55</x:v>
      </x:c>
      <x:c r="O25" s="109"/>
      <x:c r="P25" s="109" t="n">
        <x:v>18.65</x:v>
      </x:c>
      <x:c r="Q25" s="109" t="n">
        <x:v>17.15</x:v>
      </x:c>
      <x:c r="R25" s="109" t="n">
        <x:v>1.4</x:v>
      </x:c>
      <x:c r="S25" s="109" t="n">
        <x:v>0</x:v>
      </x:c>
      <x:c r="T25" s="109" t="n">
        <x:v>0</x:v>
      </x:c>
      <x:c r="U25" s="109" t="n">
        <x:v>0</x:v>
      </x:c>
      <x:c r="V25" s="109" t="n">
        <x:v>0</x:v>
      </x:c>
      <x:c r="W25" s="109" t="n">
        <x:f>AVERAGE(E25:V25)</x:f>
        <x:v>14.281176470588239</x:v>
      </x:c>
      <x:c r="X25" s="109" t="n">
        <x:f>MEDIAN(E25:V25)</x:f>
        <x:v>17.15</x:v>
      </x:c>
      <x:c r="Y25" s="109" t="n">
        <x:f>PERCENTILE.INC(E25:V25,0.25)</x:f>
        <x:v>1.4</x:v>
      </x:c>
      <x:c r="Z25" s="109" t="n">
        <x:f>STDEV.P(E25:V25)</x:f>
        <x:v>10.201725276438145</x:v>
      </x:c>
      <x:c r="AA25" s="173" t="n">
        <x:f>IF(W25=0,"",Z25/ABS(W25))</x:f>
        <x:v>0.7143476797901327</x:v>
      </x:c>
      <x:c r="AB25" s="173" t="n">
        <x:f>IF(W25=0,0,(COUNTIF(E25:V25,"&lt;"&amp;0.5*W25)-COUNTBLANK(E25:V25))/COUNT(E25:V25))</x:f>
        <x:v>0.29411764705882354</x:v>
      </x:c>
      <x:c r="AC25" s="109" t="n">
        <x:f>SUM(E25:V25)</x:f>
        <x:v>242.78000000000006</x:v>
      </x:c>
    </x:row>
    <x:row r="26">
      <x:c r="A26" s="108" t="str">
        <x:v>QB</x:v>
      </x:c>
      <x:c r="B26" s="108" t="str">
        <x:v>Jacoby Brissett</x:v>
      </x:c>
      <x:c r="C26" s="108" t="str">
        <x:v>ARI</x:v>
      </x:c>
      <x:c r="D26" s="108" t="n">
        <x:v>8</x:v>
      </x:c>
      <x:c r="E26" s="109" t="n">
        <x:v>0</x:v>
      </x:c>
      <x:c r="F26" s="109" t="n">
        <x:v>0.2</x:v>
      </x:c>
      <x:c r="G26" s="109" t="n">
        <x:v>0</x:v>
      </x:c>
      <x:c r="H26" s="109" t="n">
        <x:v>0</x:v>
      </x:c>
      <x:c r="I26" s="109" t="n">
        <x:v>0</x:v>
      </x:c>
      <x:c r="J26" s="109" t="n">
        <x:v>22.9</x:v>
      </x:c>
      <x:c r="K26" s="109" t="n">
        <x:v>19.55</x:v>
      </x:c>
      <x:c r="L26" s="109"/>
      <x:c r="M26" s="109" t="n">
        <x:v>24.45</x:v>
      </x:c>
      <x:c r="N26" s="109" t="n">
        <x:v>18.83</x:v>
      </x:c>
      <x:c r="O26" s="109" t="n">
        <x:v>26.4</x:v>
      </x:c>
      <x:c r="P26" s="109" t="n">
        <x:v>18.85</x:v>
      </x:c>
      <x:c r="Q26" s="109" t="n">
        <x:v>21.65</x:v>
      </x:c>
      <x:c r="R26" s="109" t="n">
        <x:v>20.25</x:v>
      </x:c>
      <x:c r="S26" s="109" t="n">
        <x:v>22.05</x:v>
      </x:c>
      <x:c r="T26" s="109" t="n">
        <x:v>11.65</x:v>
      </x:c>
      <x:c r="U26" s="109" t="n">
        <x:v>16.6</x:v>
      </x:c>
      <x:c r="V26" s="109" t="n">
        <x:v>17.05</x:v>
      </x:c>
      <x:c r="W26" s="109" t="n">
        <x:f>AVERAGE(E26:V26)</x:f>
        <x:v>14.142941176470588</x:v>
      </x:c>
      <x:c r="X26" s="109" t="n">
        <x:f>MEDIAN(E26:V26)</x:f>
        <x:v>18.83</x:v>
      </x:c>
      <x:c r="Y26" s="109" t="n">
        <x:f>PERCENTILE.INC(E26:V26,0.25)</x:f>
        <x:v>0.2</x:v>
      </x:c>
      <x:c r="Z26" s="109" t="n">
        <x:f>STDEV.P(E26:V26)</x:f>
        <x:v>9.634165774627837</x:v>
      </x:c>
      <x:c r="AA26" s="173" t="n">
        <x:f>IF(W26=0,"",Z26/ABS(W26))</x:f>
        <x:v>0.6811995930985036</x:v>
      </x:c>
      <x:c r="AB26" s="173" t="n">
        <x:f>IF(W26=0,0,(COUNTIF(E26:V26,"&lt;"&amp;0.5*W26)-COUNTBLANK(E26:V26))/COUNT(E26:V26))</x:f>
        <x:v>0.29411764705882354</x:v>
      </x:c>
      <x:c r="AC26" s="109" t="n">
        <x:f>SUM(E26:V26)</x:f>
        <x:v>240.43</x:v>
      </x:c>
    </x:row>
    <x:row r="27">
      <x:c r="A27" s="108" t="str">
        <x:v>QB</x:v>
      </x:c>
      <x:c r="B27" s="108" t="str">
        <x:v>Joe Flacco</x:v>
      </x:c>
      <x:c r="C27" s="108" t="str">
        <x:v>CIN/CLE</x:v>
      </x:c>
      <x:c r="D27" s="108" t="n">
        <x:v>10</x:v>
      </x:c>
      <x:c r="E27" s="109" t="n">
        <x:v>14.1</x:v>
      </x:c>
      <x:c r="F27" s="109" t="n">
        <x:v>9.75</x:v>
      </x:c>
      <x:c r="G27" s="109" t="n">
        <x:v>4.1</x:v>
      </x:c>
      <x:c r="H27" s="109" t="n">
        <x:v>1.6</x:v>
      </x:c>
      <x:c r="I27" s="109" t="n">
        <x:v>0</x:v>
      </x:c>
      <x:c r="J27" s="109" t="n">
        <x:v>19.78</x:v>
      </x:c>
      <x:c r="K27" s="109" t="n">
        <x:v>28.4</x:v>
      </x:c>
      <x:c r="L27" s="109" t="n">
        <x:v>28.05</x:v>
      </x:c>
      <x:c r="M27" s="109" t="n">
        <x:v>35.23</x:v>
      </x:c>
      <x:c r="N27" s="109"/>
      <x:c r="O27" s="109" t="n">
        <x:v>11.35</x:v>
      </x:c>
      <x:c r="P27" s="109" t="n">
        <x:v>10.95</x:v>
      </x:c>
      <x:c r="Q27" s="109" t="n">
        <x:v>0</x:v>
      </x:c>
      <x:c r="R27" s="109" t="n">
        <x:v>0</x:v>
      </x:c>
      <x:c r="S27" s="109" t="n">
        <x:v>0</x:v>
      </x:c>
      <x:c r="T27" s="109" t="n">
        <x:v>0.2</x:v>
      </x:c>
      <x:c r="U27" s="109" t="n">
        <x:v>1.4</x:v>
      </x:c>
      <x:c r="V27" s="109" t="n">
        <x:v>0.2</x:v>
      </x:c>
      <x:c r="W27" s="109" t="n">
        <x:f>AVERAGE(E27:V27)</x:f>
        <x:v>9.712352941176468</x:v>
      </x:c>
      <x:c r="X27" s="109" t="n">
        <x:f>MEDIAN(E27:V27)</x:f>
        <x:v>4.1</x:v>
      </x:c>
      <x:c r="Y27" s="109" t="n">
        <x:f>PERCENTILE.INC(E27:V27,0.25)</x:f>
        <x:v>0.2</x:v>
      </x:c>
      <x:c r="Z27" s="109" t="n">
        <x:f>STDEV.P(E27:V27)</x:f>
        <x:v>11.340102463180504</x:v>
      </x:c>
      <x:c r="AA27" s="173" t="n">
        <x:f>IF(W27=0,"",Z27/ABS(W27))</x:f>
        <x:v>1.1675957959788543</x:v>
      </x:c>
      <x:c r="AB27" s="173" t="n">
        <x:f>IF(W27=0,0,(COUNTIF(E27:V27,"&lt;"&amp;0.5*W27)-COUNTBLANK(E27:V27))/COUNT(E27:V27))</x:f>
        <x:v>0.5294117647058824</x:v>
      </x:c>
      <x:c r="AC27" s="109" t="n">
        <x:f>SUM(E27:V27)</x:f>
        <x:v>165.10999999999996</x:v>
      </x:c>
    </x:row>
    <x:row r="28">
      <x:c r="A28" s="108" t="str">
        <x:v>QB</x:v>
      </x:c>
      <x:c r="B28" s="108" t="str">
        <x:v>Jaxson Dart</x:v>
      </x:c>
      <x:c r="C28" s="108" t="str">
        <x:v>NYG</x:v>
      </x:c>
      <x:c r="D28" s="108" t="n">
        <x:v>14</x:v>
      </x:c>
      <x:c r="E28" s="109" t="n">
        <x:v>0</x:v>
      </x:c>
      <x:c r="F28" s="109" t="n">
        <x:v>-0.3</x:v>
      </x:c>
      <x:c r="G28" s="109" t="n">
        <x:v>0.3</x:v>
      </x:c>
      <x:c r="H28" s="109" t="n">
        <x:v>17.95</x:v>
      </x:c>
      <x:c r="I28" s="109" t="n">
        <x:v>17.1</x:v>
      </x:c>
      <x:c r="J28" s="109" t="n">
        <x:v>24.55</x:v>
      </x:c>
      <x:c r="K28" s="109" t="n">
        <x:v>33.25</x:v>
      </x:c>
      <x:c r="L28" s="109" t="n">
        <x:v>18.85</x:v>
      </x:c>
      <x:c r="M28" s="109" t="n">
        <x:v>28.15</x:v>
      </x:c>
      <x:c r="N28" s="109" t="n">
        <x:v>27.7</x:v>
      </x:c>
      <x:c r="O28" s="109" t="n">
        <x:v>0</x:v>
      </x:c>
      <x:c r="P28" s="109" t="n">
        <x:v>0</x:v>
      </x:c>
      <x:c r="Q28" s="109" t="n">
        <x:v>13.28</x:v>
      </x:c>
      <x:c r="R28" s="109"/>
      <x:c r="S28" s="109" t="n">
        <x:v>23.6</x:v>
      </x:c>
      <x:c r="T28" s="109" t="n">
        <x:v>-2.15</x:v>
      </x:c>
      <x:c r="U28" s="109" t="n">
        <x:v>26.15</x:v>
      </x:c>
      <x:c r="V28" s="109" t="n">
        <x:v>20.2</x:v>
      </x:c>
      <x:c r="W28" s="109" t="n">
        <x:f>AVERAGE(E28:V28)</x:f>
        <x:v>14.625294117647057</x:v>
      </x:c>
      <x:c r="X28" s="109" t="n">
        <x:f>MEDIAN(E28:V28)</x:f>
        <x:v>17.95</x:v>
      </x:c>
      <x:c r="Y28" s="109" t="n">
        <x:f>PERCENTILE.INC(E28:V28,0.25)</x:f>
        <x:v>0</x:v>
      </x:c>
      <x:c r="Z28" s="109" t="n">
        <x:f>STDEV.P(E28:V28)</x:f>
        <x:v>11.959758564180751</x:v>
      </x:c>
      <x:c r="AA28" s="173" t="n">
        <x:f>IF(W28=0,"",Z28/ABS(W28))</x:f>
        <x:v>0.8177448239998102</x:v>
      </x:c>
      <x:c r="AB28" s="173" t="n">
        <x:f>IF(W28=0,0,(COUNTIF(E28:V28,"&lt;"&amp;0.5*W28)-COUNTBLANK(E28:V28))/COUNT(E28:V28))</x:f>
        <x:v>0.35294117647058826</x:v>
      </x:c>
      <x:c r="AC28" s="109" t="n">
        <x:f>SUM(E28:V28)</x:f>
        <x:v>248.62999999999997</x:v>
      </x:c>
    </x:row>
    <x:row r="29">
      <x:c r="A29" s="108" t="str">
        <x:v>QB</x:v>
      </x:c>
      <x:c r="B29" s="108" t="str">
        <x:v>Tyler Shough</x:v>
      </x:c>
      <x:c r="C29" s="108" t="str">
        <x:v>NO</x:v>
      </x:c>
      <x:c r="D29" s="108" t="n">
        <x:v>11</x:v>
      </x:c>
      <x:c r="E29" s="109" t="n">
        <x:v>0</x:v>
      </x:c>
      <x:c r="F29" s="109" t="n">
        <x:v>0</x:v>
      </x:c>
      <x:c r="G29" s="109" t="n">
        <x:v>0</x:v>
      </x:c>
      <x:c r="H29" s="109" t="n">
        <x:v>0</x:v>
      </x:c>
      <x:c r="I29" s="109" t="n">
        <x:v>0</x:v>
      </x:c>
      <x:c r="J29" s="109" t="n">
        <x:v>0</x:v>
      </x:c>
      <x:c r="K29" s="109" t="n">
        <x:v>0</x:v>
      </x:c>
      <x:c r="L29" s="109" t="n">
        <x:v>4.6</x:v>
      </x:c>
      <x:c r="M29" s="109" t="n">
        <x:v>10.5</x:v>
      </x:c>
      <x:c r="N29" s="109" t="n">
        <x:v>22.8</x:v>
      </x:c>
      <x:c r="O29" s="109"/>
      <x:c r="P29" s="109" t="n">
        <x:v>7.85</x:v>
      </x:c>
      <x:c r="Q29" s="109" t="n">
        <x:v>17.75</x:v>
      </x:c>
      <x:c r="R29" s="109" t="n">
        <x:v>21.2</x:v>
      </x:c>
      <x:c r="S29" s="109" t="n">
        <x:v>18.3</x:v>
      </x:c>
      <x:c r="T29" s="109" t="n">
        <x:v>18.7</x:v>
      </x:c>
      <x:c r="U29" s="109" t="n">
        <x:v>23.75</x:v>
      </x:c>
      <x:c r="V29" s="109" t="n">
        <x:v>22.35</x:v>
      </x:c>
      <x:c r="W29" s="109" t="n">
        <x:f>AVERAGE(E29:V29)</x:f>
        <x:v>9.870588235294116</x:v>
      </x:c>
      <x:c r="X29" s="109" t="n">
        <x:f>MEDIAN(E29:V29)</x:f>
        <x:v>7.85</x:v>
      </x:c>
      <x:c r="Y29" s="109" t="n">
        <x:f>PERCENTILE.INC(E29:V29,0.25)</x:f>
        <x:v>0</x:v>
      </x:c>
      <x:c r="Z29" s="109" t="n">
        <x:f>STDEV.P(E29:V29)</x:f>
        <x:v>9.607764305398883</x:v>
      </x:c>
      <x:c r="AA29" s="173" t="n">
        <x:f>IF(W29=0,"",Z29/ABS(W29))</x:f>
        <x:v>0.9733730225970264</x:v>
      </x:c>
      <x:c r="AB29" s="173" t="n">
        <x:f>IF(W29=0,0,(COUNTIF(E29:V29,"&lt;"&amp;0.5*W29)-COUNTBLANK(E29:V29))/COUNT(E29:V29))</x:f>
        <x:v>0.47058823529411764</x:v>
      </x:c>
      <x:c r="AC29" s="109" t="n">
        <x:f>SUM(E29:V29)</x:f>
        <x:v>167.79999999999998</x:v>
      </x:c>
    </x:row>
    <x:row r="30">
      <x:c r="A30" s="108" t="str">
        <x:v>QB</x:v>
      </x:c>
      <x:c r="B30" s="108" t="str">
        <x:v>Brock Purdy</x:v>
      </x:c>
      <x:c r="C30" s="108" t="str">
        <x:v>SF</x:v>
      </x:c>
      <x:c r="D30" s="108" t="n">
        <x:v>14</x:v>
      </x:c>
      <x:c r="E30" s="109" t="n">
        <x:v>19.05</x:v>
      </x:c>
      <x:c r="F30" s="109" t="n">
        <x:v>0</x:v>
      </x:c>
      <x:c r="G30" s="109" t="n">
        <x:v>0</x:v>
      </x:c>
      <x:c r="H30" s="109" t="n">
        <x:v>19.58</x:v>
      </x:c>
      <x:c r="I30" s="109" t="n">
        <x:v>0</x:v>
      </x:c>
      <x:c r="J30" s="109" t="n">
        <x:v>0</x:v>
      </x:c>
      <x:c r="K30" s="109" t="n">
        <x:v>0</x:v>
      </x:c>
      <x:c r="L30" s="109" t="n">
        <x:v>0</x:v>
      </x:c>
      <x:c r="M30" s="109" t="n">
        <x:v>0</x:v>
      </x:c>
      <x:c r="N30" s="109" t="n">
        <x:v>0</x:v>
      </x:c>
      <x:c r="O30" s="109" t="n">
        <x:v>20.8</x:v>
      </x:c>
      <x:c r="P30" s="109" t="n">
        <x:v>9.25</x:v>
      </x:c>
      <x:c r="Q30" s="109" t="n">
        <x:v>18.3</x:v>
      </x:c>
      <x:c r="R30" s="109"/>
      <x:c r="S30" s="109" t="n">
        <x:v>28.15</x:v>
      </x:c>
      <x:c r="T30" s="109" t="n">
        <x:v>32.85</x:v>
      </x:c>
      <x:c r="U30" s="109" t="n">
        <x:v>39.45</x:v>
      </x:c>
      <x:c r="V30" s="109" t="n">
        <x:v>4.95</x:v>
      </x:c>
      <x:c r="W30" s="109" t="n">
        <x:f>AVERAGE(E30:V30)</x:f>
        <x:v>11.316470588235294</x:v>
      </x:c>
      <x:c r="X30" s="109" t="n">
        <x:f>MEDIAN(E30:V30)</x:f>
        <x:v>4.95</x:v>
      </x:c>
      <x:c r="Y30" s="109" t="n">
        <x:f>PERCENTILE.INC(E30:V30,0.25)</x:f>
        <x:v>0</x:v>
      </x:c>
      <x:c r="Z30" s="109" t="n">
        <x:f>STDEV.P(E30:V30)</x:f>
        <x:v>13.003752373009366</x:v>
      </x:c>
      <x:c r="AA30" s="173" t="n">
        <x:f>IF(W30=0,"",Z30/ABS(W30))</x:f>
        <x:v>1.1490996483062648</x:v>
      </x:c>
      <x:c r="AB30" s="173" t="n">
        <x:f>IF(W30=0,0,(COUNTIF(E30:V30,"&lt;"&amp;0.5*W30)-COUNTBLANK(E30:V30))/COUNT(E30:V30))</x:f>
        <x:v>0.5294117647058824</x:v>
      </x:c>
      <x:c r="AC30" s="109" t="n">
        <x:f>SUM(E30:V30)</x:f>
        <x:v>192.38</x:v>
      </x:c>
    </x:row>
    <x:row r="31">
      <x:c r="A31" s="108" t="str">
        <x:v>QB</x:v>
      </x:c>
      <x:c r="B31" s="108" t="str">
        <x:v>Marcus Mariota</x:v>
      </x:c>
      <x:c r="C31" s="108" t="str">
        <x:v>WSH</x:v>
      </x:c>
      <x:c r="D31" s="108" t="n">
        <x:v>12</x:v>
      </x:c>
      <x:c r="E31" s="109" t="n">
        <x:v>0</x:v>
      </x:c>
      <x:c r="F31" s="109" t="n">
        <x:v>0</x:v>
      </x:c>
      <x:c r="G31" s="109" t="n">
        <x:v>23.85</x:v>
      </x:c>
      <x:c r="H31" s="109" t="n">
        <x:v>16.13</x:v>
      </x:c>
      <x:c r="I31" s="109" t="n">
        <x:v>0</x:v>
      </x:c>
      <x:c r="J31" s="109" t="n">
        <x:v>0</x:v>
      </x:c>
      <x:c r="K31" s="109" t="n">
        <x:v>3.55</x:v>
      </x:c>
      <x:c r="L31" s="109" t="n">
        <x:v>11.95</x:v>
      </x:c>
      <x:c r="M31" s="109" t="n">
        <x:v>0</x:v>
      </x:c>
      <x:c r="N31" s="109" t="n">
        <x:v>19.85</x:v>
      </x:c>
      <x:c r="O31" s="109" t="n">
        <x:v>17.05</x:v>
      </x:c>
      <x:c r="P31" s="109"/>
      <x:c r="Q31" s="109" t="n">
        <x:v>24.7</x:v>
      </x:c>
      <x:c r="R31" s="109" t="n">
        <x:v>-2.3</x:v>
      </x:c>
      <x:c r="S31" s="109" t="n">
        <x:v>17.35</x:v>
      </x:c>
      <x:c r="T31" s="109" t="n">
        <x:v>4.15</x:v>
      </x:c>
      <x:c r="U31" s="109" t="n">
        <x:v>0</x:v>
      </x:c>
      <x:c r="V31" s="109" t="n">
        <x:v>0</x:v>
      </x:c>
      <x:c r="W31" s="109" t="n">
        <x:f>AVERAGE(E31:V31)</x:f>
        <x:v>8.016470588235295</x:v>
      </x:c>
      <x:c r="X31" s="109" t="n">
        <x:f>MEDIAN(E31:V31)</x:f>
        <x:v>3.55</x:v>
      </x:c>
      <x:c r="Y31" s="109" t="n">
        <x:f>PERCENTILE.INC(E31:V31,0.25)</x:f>
        <x:v>0</x:v>
      </x:c>
      <x:c r="Z31" s="109" t="n">
        <x:f>STDEV.P(E31:V31)</x:f>
        <x:v>9.425465469034325</x:v>
      </x:c>
      <x:c r="AA31" s="173" t="n">
        <x:f>IF(W31=0,"",Z31/ABS(W31))</x:f>
        <x:v>1.1757624961372433</x:v>
      </x:c>
      <x:c r="AB31" s="173" t="n">
        <x:f>IF(W31=0,0,(COUNTIF(E31:V31,"&lt;"&amp;0.5*W31)-COUNTBLANK(E31:V31))/COUNT(E31:V31))</x:f>
        <x:v>0.5294117647058824</x:v>
      </x:c>
      <x:c r="AC31" s="109" t="n">
        <x:f>SUM(E31:V31)</x:f>
        <x:v>136.28000000000003</x:v>
      </x:c>
    </x:row>
    <x:row r="32">
      <x:c r="A32" s="108" t="str">
        <x:v>QB</x:v>
      </x:c>
      <x:c r="B32" s="108" t="str">
        <x:v>Michael Penix Jr.</x:v>
      </x:c>
      <x:c r="C32" s="108" t="str">
        <x:v>ATL</x:v>
      </x:c>
      <x:c r="D32" s="108" t="n">
        <x:v>5</x:v>
      </x:c>
      <x:c r="E32" s="109" t="n">
        <x:v>28</x:v>
      </x:c>
      <x:c r="F32" s="109" t="n">
        <x:v>5.15</x:v>
      </x:c>
      <x:c r="G32" s="109" t="n">
        <x:v>5.5</x:v>
      </x:c>
      <x:c r="H32" s="109" t="n">
        <x:v>21.35</x:v>
      </x:c>
      <x:c r="I32" s="109"/>
      <x:c r="J32" s="109" t="n">
        <x:v>16.1</x:v>
      </x:c>
      <x:c r="K32" s="109" t="n">
        <x:v>13.65</x:v>
      </x:c>
      <x:c r="L32" s="109" t="n">
        <x:v>0</x:v>
      </x:c>
      <x:c r="M32" s="109" t="n">
        <x:v>23.95</x:v>
      </x:c>
      <x:c r="N32" s="109" t="n">
        <x:v>10.58</x:v>
      </x:c>
      <x:c r="O32" s="109" t="n">
        <x:v>9.65</x:v>
      </x:c>
      <x:c r="P32" s="109" t="n">
        <x:v>0</x:v>
      </x:c>
      <x:c r="Q32" s="109" t="n">
        <x:v>0</x:v>
      </x:c>
      <x:c r="R32" s="109" t="n">
        <x:v>0</x:v>
      </x:c>
      <x:c r="S32" s="109" t="n">
        <x:v>0</x:v>
      </x:c>
      <x:c r="T32" s="109" t="n">
        <x:v>0</x:v>
      </x:c>
      <x:c r="U32" s="109" t="n">
        <x:v>0</x:v>
      </x:c>
      <x:c r="V32" s="109" t="n">
        <x:v>0</x:v>
      </x:c>
      <x:c r="W32" s="109" t="n">
        <x:f>AVERAGE(E32:V32)</x:f>
        <x:v>7.878235294117648</x:v>
      </x:c>
      <x:c r="X32" s="109" t="n">
        <x:f>MEDIAN(E32:V32)</x:f>
        <x:v>5.15</x:v>
      </x:c>
      <x:c r="Y32" s="109" t="n">
        <x:f>PERCENTILE.INC(E32:V32,0.25)</x:f>
        <x:v>0</x:v>
      </x:c>
      <x:c r="Z32" s="109" t="n">
        <x:f>STDEV.P(E32:V32)</x:f>
        <x:v>9.28520913337546</x:v>
      </x:c>
      <x:c r="AA32" s="173" t="n">
        <x:f>IF(W32=0,"",Z32/ABS(W32))</x:f>
        <x:v>1.178589974370065</x:v>
      </x:c>
      <x:c r="AB32" s="173" t="n">
        <x:f>IF(W32=0,0,(COUNTIF(E32:V32,"&lt;"&amp;0.5*W32)-COUNTBLANK(E32:V32))/COUNT(E32:V32))</x:f>
        <x:v>0.47058823529411764</x:v>
      </x:c>
      <x:c r="AC32" s="109" t="n">
        <x:f>SUM(E32:V32)</x:f>
        <x:v>133.93</x:v>
      </x:c>
    </x:row>
    <x:row r="33">
      <x:c r="A33" s="108" t="str">
        <x:v>QB</x:v>
      </x:c>
      <x:c r="B33" s="108" t="str">
        <x:v>Mac Jones</x:v>
      </x:c>
      <x:c r="C33" s="108" t="str">
        <x:v>SF</x:v>
      </x:c>
      <x:c r="D33" s="108" t="n">
        <x:v>14</x:v>
      </x:c>
      <x:c r="E33" s="109" t="n">
        <x:v>0</x:v>
      </x:c>
      <x:c r="F33" s="109" t="n">
        <x:v>24.55</x:v>
      </x:c>
      <x:c r="G33" s="109" t="n">
        <x:v>15.6</x:v>
      </x:c>
      <x:c r="H33" s="109" t="n">
        <x:v>0</x:v>
      </x:c>
      <x:c r="I33" s="109" t="n">
        <x:v>25.1</x:v>
      </x:c>
      <x:c r="J33" s="109" t="n">
        <x:v>11.15</x:v>
      </x:c>
      <x:c r="K33" s="109" t="n">
        <x:v>6.2</x:v>
      </x:c>
      <x:c r="L33" s="109" t="n">
        <x:v>18.28</x:v>
      </x:c>
      <x:c r="M33" s="109" t="n">
        <x:v>17.15</x:v>
      </x:c>
      <x:c r="N33" s="109" t="n">
        <x:v>26.25</x:v>
      </x:c>
      <x:c r="O33" s="109" t="n">
        <x:v>-0.3</x:v>
      </x:c>
      <x:c r="P33" s="109" t="n">
        <x:v>0</x:v>
      </x:c>
      <x:c r="Q33" s="109" t="n">
        <x:v>0.2</x:v>
      </x:c>
      <x:c r="R33" s="109"/>
      <x:c r="S33" s="109" t="n">
        <x:v>0</x:v>
      </x:c>
      <x:c r="T33" s="109" t="n">
        <x:v>-0.3</x:v>
      </x:c>
      <x:c r="U33" s="109" t="n">
        <x:v>0</x:v>
      </x:c>
      <x:c r="V33" s="109" t="n">
        <x:v>0</x:v>
      </x:c>
      <x:c r="W33" s="109" t="n">
        <x:f>AVERAGE(E33:V33)</x:f>
        <x:v>8.463529411764704</x:v>
      </x:c>
      <x:c r="X33" s="109" t="n">
        <x:f>MEDIAN(E33:V33)</x:f>
        <x:v>0.2</x:v>
      </x:c>
      <x:c r="Y33" s="109" t="n">
        <x:f>PERCENTILE.INC(E33:V33,0.25)</x:f>
        <x:v>0</x:v>
      </x:c>
      <x:c r="Z33" s="109" t="n">
        <x:f>STDEV.P(E33:V33)</x:f>
        <x:v>10.113083512534043</x:v>
      </x:c>
      <x:c r="AA33" s="173" t="n">
        <x:f>IF(W33=0,"",Z33/ABS(W33))</x:f>
        <x:v>1.1949014436549819</x:v>
      </x:c>
      <x:c r="AB33" s="173" t="n">
        <x:f>IF(W33=0,0,(COUNTIF(E33:V33,"&lt;"&amp;0.5*W33)-COUNTBLANK(E33:V33))/COUNT(E33:V33))</x:f>
        <x:v>0.5294117647058824</x:v>
      </x:c>
      <x:c r="AC33" s="109" t="n">
        <x:f>SUM(E33:V33)</x:f>
        <x:v>143.87999999999997</x:v>
      </x:c>
    </x:row>
    <x:row r="34">
      <x:c r="A34" s="108" t="str">
        <x:v>QB</x:v>
      </x:c>
      <x:c r="B34" s="108" t="str">
        <x:v>J.J. McCarthy</x:v>
      </x:c>
      <x:c r="C34" s="108" t="str">
        <x:v>MIN</x:v>
      </x:c>
      <x:c r="D34" s="108" t="n">
        <x:v>6</x:v>
      </x:c>
      <x:c r="E34" s="109" t="n">
        <x:v>21.48</x:v>
      </x:c>
      <x:c r="F34" s="109" t="n">
        <x:v>0.4</x:v>
      </x:c>
      <x:c r="G34" s="109" t="n">
        <x:v>0</x:v>
      </x:c>
      <x:c r="H34" s="109" t="n">
        <x:v>0</x:v>
      </x:c>
      <x:c r="I34" s="109" t="n">
        <x:v>0</x:v>
      </x:c>
      <x:c r="J34" s="109"/>
      <x:c r="K34" s="109" t="n">
        <x:v>0</x:v>
      </x:c>
      <x:c r="L34" s="109" t="n">
        <x:v>0</x:v>
      </x:c>
      <x:c r="M34" s="109" t="n">
        <x:v>17.35</x:v>
      </x:c>
      <x:c r="N34" s="109" t="n">
        <x:v>16.7</x:v>
      </x:c>
      <x:c r="O34" s="109" t="n">
        <x:v>7.5</x:v>
      </x:c>
      <x:c r="P34" s="109" t="n">
        <x:v>-1.65</x:v>
      </x:c>
      <x:c r="Q34" s="109" t="n">
        <x:v>0</x:v>
      </x:c>
      <x:c r="R34" s="109" t="n">
        <x:v>20.05</x:v>
      </x:c>
      <x:c r="S34" s="109" t="n">
        <x:v>26</x:v>
      </x:c>
      <x:c r="T34" s="109" t="n">
        <x:v>7.9</x:v>
      </x:c>
      <x:c r="U34" s="109" t="n">
        <x:v>0</x:v>
      </x:c>
      <x:c r="V34" s="109" t="n">
        <x:v>9.8</x:v>
      </x:c>
      <x:c r="W34" s="109" t="n">
        <x:f>AVERAGE(E34:V34)</x:f>
        <x:v>7.384117647058824</x:v>
      </x:c>
      <x:c r="X34" s="109" t="n">
        <x:f>MEDIAN(E34:V34)</x:f>
        <x:v>0.4</x:v>
      </x:c>
      <x:c r="Y34" s="109" t="n">
        <x:f>PERCENTILE.INC(E34:V34,0.25)</x:f>
        <x:v>0</x:v>
      </x:c>
      <x:c r="Z34" s="109" t="n">
        <x:f>STDEV.P(E34:V34)</x:f>
        <x:v>9.107074211405193</x:v>
      </x:c>
      <x:c r="AA34" s="173" t="n">
        <x:f>IF(W34=0,"",Z34/ABS(W34))</x:f>
        <x:v>1.2333327618409007</x:v>
      </x:c>
      <x:c r="AB34" s="173" t="n">
        <x:f>IF(W34=0,0,(COUNTIF(E34:V34,"&lt;"&amp;0.5*W34)-COUNTBLANK(E34:V34))/COUNT(E34:V34))</x:f>
        <x:v>0.5294117647058824</x:v>
      </x:c>
      <x:c r="AC34" s="109" t="n">
        <x:f>SUM(E34:V34)</x:f>
        <x:v>125.53000000000002</x:v>
      </x:c>
    </x:row>
    <x:row r="35">
      <x:c r="A35" s="108" t="str">
        <x:v>QB</x:v>
      </x:c>
      <x:c r="B35" s="108" t="str">
        <x:v>Joe Burrow</x:v>
      </x:c>
      <x:c r="C35" s="108" t="str">
        <x:v>CIN</x:v>
      </x:c>
      <x:c r="D35" s="108" t="n">
        <x:v>10</x:v>
      </x:c>
      <x:c r="E35" s="109" t="n">
        <x:v>8.45</x:v>
      </x:c>
      <x:c r="F35" s="109" t="n">
        <x:v>6.8</x:v>
      </x:c>
      <x:c r="G35" s="109" t="n">
        <x:v>0</x:v>
      </x:c>
      <x:c r="H35" s="109" t="n">
        <x:v>0</x:v>
      </x:c>
      <x:c r="I35" s="109" t="n">
        <x:v>0</x:v>
      </x:c>
      <x:c r="J35" s="109" t="n">
        <x:v>0</x:v>
      </x:c>
      <x:c r="K35" s="109" t="n">
        <x:v>0</x:v>
      </x:c>
      <x:c r="L35" s="109" t="n">
        <x:v>0</x:v>
      </x:c>
      <x:c r="M35" s="109" t="n">
        <x:v>0</x:v>
      </x:c>
      <x:c r="N35" s="109"/>
      <x:c r="O35" s="109" t="n">
        <x:v>0</x:v>
      </x:c>
      <x:c r="P35" s="109" t="n">
        <x:v>0</x:v>
      </x:c>
      <x:c r="Q35" s="109" t="n">
        <x:v>21.35</x:v>
      </x:c>
      <x:c r="R35" s="109" t="n">
        <x:v>25.7</x:v>
      </x:c>
      <x:c r="S35" s="109" t="n">
        <x:v>6.25</x:v>
      </x:c>
      <x:c r="T35" s="109" t="n">
        <x:v>31.05</x:v>
      </x:c>
      <x:c r="U35" s="109" t="n">
        <x:v>21.95</x:v>
      </x:c>
      <x:c r="V35" s="109" t="n">
        <x:v>22.5</x:v>
      </x:c>
      <x:c r="W35" s="109" t="n">
        <x:f>AVERAGE(E35:V35)</x:f>
        <x:v>8.473529411764707</x:v>
      </x:c>
      <x:c r="X35" s="109" t="n">
        <x:f>MEDIAN(E35:V35)</x:f>
        <x:v>0</x:v>
      </x:c>
      <x:c r="Y35" s="109" t="n">
        <x:f>PERCENTILE.INC(E35:V35,0.25)</x:f>
        <x:v>0</x:v>
      </x:c>
      <x:c r="Z35" s="109" t="n">
        <x:f>STDEV.P(E35:V35)</x:f>
        <x:v>10.858882480242762</x:v>
      </x:c>
      <x:c r="AA35" s="173" t="n">
        <x:f>IF(W35=0,"",Z35/ABS(W35))</x:f>
        <x:v>1.2815064364049076</x:v>
      </x:c>
      <x:c r="AB35" s="173" t="n">
        <x:f>IF(W35=0,0,(COUNTIF(E35:V35,"&lt;"&amp;0.5*W35)-COUNTBLANK(E35:V35))/COUNT(E35:V35))</x:f>
        <x:v>0.5294117647058824</x:v>
      </x:c>
      <x:c r="AC35" s="109" t="n">
        <x:f>SUM(E35:V35)</x:f>
        <x:v>144.05</x:v>
      </x:c>
    </x:row>
    <x:row r="36">
      <x:c r="A36" s="108" t="str">
        <x:v>QB</x:v>
      </x:c>
      <x:c r="B36" s="108" t="str">
        <x:v>Jayden Daniels</x:v>
      </x:c>
      <x:c r="C36" s="108" t="str">
        <x:v>WSH</x:v>
      </x:c>
      <x:c r="D36" s="108" t="n">
        <x:v>12</x:v>
      </x:c>
      <x:c r="E36" s="109" t="n">
        <x:v>20.95</x:v>
      </x:c>
      <x:c r="F36" s="109" t="n">
        <x:v>19.03</x:v>
      </x:c>
      <x:c r="G36" s="109" t="n">
        <x:v>0</x:v>
      </x:c>
      <x:c r="H36" s="109" t="n">
        <x:v>0</x:v>
      </x:c>
      <x:c r="I36" s="109" t="n">
        <x:v>18.95</x:v>
      </x:c>
      <x:c r="J36" s="109" t="n">
        <x:v>21.75</x:v>
      </x:c>
      <x:c r="K36" s="109" t="n">
        <x:v>18.3</x:v>
      </x:c>
      <x:c r="L36" s="109" t="n">
        <x:v>0</x:v>
      </x:c>
      <x:c r="M36" s="109" t="n">
        <x:v>14.75</x:v>
      </x:c>
      <x:c r="N36" s="109" t="n">
        <x:v>0</x:v>
      </x:c>
      <x:c r="O36" s="109" t="n">
        <x:v>0</x:v>
      </x:c>
      <x:c r="P36" s="109"/>
      <x:c r="Q36" s="109" t="n">
        <x:v>0</x:v>
      </x:c>
      <x:c r="R36" s="109" t="n">
        <x:v>3</x:v>
      </x:c>
      <x:c r="S36" s="109" t="n">
        <x:v>0</x:v>
      </x:c>
      <x:c r="T36" s="109" t="n">
        <x:v>0</x:v>
      </x:c>
      <x:c r="U36" s="109" t="n">
        <x:v>0</x:v>
      </x:c>
      <x:c r="V36" s="109" t="n">
        <x:v>0</x:v>
      </x:c>
      <x:c r="W36" s="109" t="n">
        <x:f>AVERAGE(E36:V36)</x:f>
        <x:v>6.866470588235295</x:v>
      </x:c>
      <x:c r="X36" s="109" t="n">
        <x:f>MEDIAN(E36:V36)</x:f>
        <x:v>0</x:v>
      </x:c>
      <x:c r="Y36" s="109" t="n">
        <x:f>PERCENTILE.INC(E36:V36,0.25)</x:f>
        <x:v>0</x:v>
      </x:c>
      <x:c r="Z36" s="109" t="n">
        <x:f>STDEV.P(E36:V36)</x:f>
        <x:v>9.052584253178736</x:v>
      </x:c>
      <x:c r="AA36" s="173" t="n">
        <x:f>IF(W36=0,"",Z36/ABS(W36))</x:f>
        <x:v>1.3183751589483295</x:v>
      </x:c>
      <x:c r="AB36" s="173" t="n">
        <x:f>IF(W36=0,0,(COUNTIF(E36:V36,"&lt;"&amp;0.5*W36)-COUNTBLANK(E36:V36))/COUNT(E36:V36))</x:f>
        <x:v>0.6470588235294118</x:v>
      </x:c>
      <x:c r="AC36" s="109" t="n">
        <x:f>SUM(E36:V36)</x:f>
        <x:v>116.73</x:v>
      </x:c>
    </x:row>
    <x:row r="37">
      <x:c r="A37" s="108" t="str">
        <x:v>QB</x:v>
      </x:c>
      <x:c r="B37" s="108" t="str">
        <x:v>Justin Fields</x:v>
      </x:c>
      <x:c r="C37" s="108" t="str">
        <x:v>NYJ</x:v>
      </x:c>
      <x:c r="D37" s="108" t="n">
        <x:v>9</x:v>
      </x:c>
      <x:c r="E37" s="109" t="n">
        <x:v>31.2</x:v>
      </x:c>
      <x:c r="F37" s="109" t="n">
        <x:v>2.75</x:v>
      </x:c>
      <x:c r="G37" s="109" t="n">
        <x:v>0</x:v>
      </x:c>
      <x:c r="H37" s="109" t="n">
        <x:v>30.4</x:v>
      </x:c>
      <x:c r="I37" s="109" t="n">
        <x:v>24.91</x:v>
      </x:c>
      <x:c r="J37" s="109" t="n">
        <x:v>0.85</x:v>
      </x:c>
      <x:c r="K37" s="109" t="n">
        <x:v>3</x:v>
      </x:c>
      <x:c r="L37" s="109" t="n">
        <x:v>22.63</x:v>
      </x:c>
      <x:c r="M37" s="109"/>
      <x:c r="N37" s="109" t="n">
        <x:v>8</x:v>
      </x:c>
      <x:c r="O37" s="109" t="n">
        <x:v>19.5</x:v>
      </x:c>
      <x:c r="P37" s="109" t="n">
        <x:v>0</x:v>
      </x:c>
      <x:c r="Q37" s="109" t="n">
        <x:v>0</x:v>
      </x:c>
      <x:c r="R37" s="109" t="n">
        <x:v>0</x:v>
      </x:c>
      <x:c r="S37" s="109" t="n">
        <x:v>0</x:v>
      </x:c>
      <x:c r="T37" s="109" t="n">
        <x:v>0</x:v>
      </x:c>
      <x:c r="U37" s="109" t="n">
        <x:v>0</x:v>
      </x:c>
      <x:c r="V37" s="109" t="n">
        <x:v>0</x:v>
      </x:c>
      <x:c r="W37" s="109" t="n">
        <x:f>AVERAGE(E37:V37)</x:f>
        <x:v>8.425882352941175</x:v>
      </x:c>
      <x:c r="X37" s="109" t="n">
        <x:f>MEDIAN(E37:V37)</x:f>
        <x:v>0.85</x:v>
      </x:c>
      <x:c r="Y37" s="109" t="n">
        <x:f>PERCENTILE.INC(E37:V37,0.25)</x:f>
        <x:v>0</x:v>
      </x:c>
      <x:c r="Z37" s="109" t="n">
        <x:f>STDEV.P(E37:V37)</x:f>
        <x:v>11.593194280836409</x:v>
      </x:c>
      <x:c r="AA37" s="173" t="n">
        <x:f>IF(W37=0,"",Z37/ABS(W37))</x:f>
        <x:v>1.3759027001830424</x:v>
      </x:c>
      <x:c r="AB37" s="173" t="n">
        <x:f>IF(W37=0,0,(COUNTIF(E37:V37,"&lt;"&amp;0.5*W37)-COUNTBLANK(E37:V37))/COUNT(E37:V37))</x:f>
        <x:v>0.6470588235294118</x:v>
      </x:c>
      <x:c r="AC37" s="109" t="n">
        <x:f>SUM(E37:V37)</x:f>
        <x:v>143.23999999999998</x:v>
      </x:c>
    </x:row>
    <x:row r="38">
      <x:c r="A38" s="108" t="str">
        <x:v>RB</x:v>
      </x:c>
      <x:c r="B38" s="108" t="str">
        <x:v>Christian McCaffrey</x:v>
      </x:c>
      <x:c r="C38" s="108" t="str">
        <x:v>SF</x:v>
      </x:c>
      <x:c r="D38" s="108" t="n">
        <x:v>14</x:v>
      </x:c>
      <x:c r="E38" s="109" t="n">
        <x:v>18.7</x:v>
      </x:c>
      <x:c r="F38" s="109" t="n">
        <x:v>19.7</x:v>
      </x:c>
      <x:c r="G38" s="109" t="n">
        <x:v>19</x:v>
      </x:c>
      <x:c r="H38" s="109" t="n">
        <x:v>22.6</x:v>
      </x:c>
      <x:c r="I38" s="109" t="n">
        <x:v>23.9</x:v>
      </x:c>
      <x:c r="J38" s="109" t="n">
        <x:v>20.6</x:v>
      </x:c>
      <x:c r="K38" s="109" t="n">
        <x:v>35.6</x:v>
      </x:c>
      <x:c r="L38" s="109" t="n">
        <x:v>8.3</x:v>
      </x:c>
      <x:c r="M38" s="109" t="n">
        <x:v>31.8</x:v>
      </x:c>
      <x:c r="N38" s="109" t="n">
        <x:v>13.6</x:v>
      </x:c>
      <x:c r="O38" s="109" t="n">
        <x:v>32.6</x:v>
      </x:c>
      <x:c r="P38" s="109" t="n">
        <x:v>23.2</x:v>
      </x:c>
      <x:c r="Q38" s="109" t="n">
        <x:v>15.4</x:v>
      </x:c>
      <x:c r="R38" s="109"/>
      <x:c r="S38" s="109" t="n">
        <x:v>15.2</x:v>
      </x:c>
      <x:c r="T38" s="109" t="n">
        <x:v>29.6</x:v>
      </x:c>
      <x:c r="U38" s="109" t="n">
        <x:v>26.1</x:v>
      </x:c>
      <x:c r="V38" s="109" t="n">
        <x:v>8.7</x:v>
      </x:c>
      <x:c r="W38" s="109" t="n">
        <x:f>AVERAGE(E38:V38)</x:f>
        <x:v>21.447058823529414</x:v>
      </x:c>
      <x:c r="X38" s="109" t="n">
        <x:f>MEDIAN(E38:V38)</x:f>
        <x:v>20.6</x:v>
      </x:c>
      <x:c r="Y38" s="109" t="n">
        <x:f>PERCENTILE.INC(E38:V38,0.25)</x:f>
        <x:v>15.4</x:v>
      </x:c>
      <x:c r="Z38" s="109" t="n">
        <x:f>STDEV.P(E38:V38)</x:f>
        <x:v>7.746810929974676</x:v>
      </x:c>
      <x:c r="AA38" s="173" t="n">
        <x:f>IF(W38=0,"",Z38/ABS(W38))</x:f>
        <x:v>0.3612062145078702</x:v>
      </x:c>
      <x:c r="AB38" s="173" t="n">
        <x:f>IF(W38=0,0,(COUNTIF(E38:V38,"&lt;"&amp;0.5*W38)-COUNTBLANK(E38:V38))/COUNT(E38:V38))</x:f>
        <x:v>0.11764705882352941</x:v>
      </x:c>
      <x:c r="AC38" s="109" t="n">
        <x:f>SUM(E38:V38)</x:f>
        <x:v>364.6</x:v>
      </x:c>
    </x:row>
    <x:row r="39">
      <x:c r="A39" s="108" t="str">
        <x:v>RB</x:v>
      </x:c>
      <x:c r="B39" s="108" t="str">
        <x:v>De'Von Achane</x:v>
      </x:c>
      <x:c r="C39" s="108" t="str">
        <x:v>MIA</x:v>
      </x:c>
      <x:c r="D39" s="108" t="n">
        <x:v>12</x:v>
      </x:c>
      <x:c r="E39" s="109" t="n">
        <x:v>15</x:v>
      </x:c>
      <x:c r="F39" s="109" t="n">
        <x:v>22.2</x:v>
      </x:c>
      <x:c r="G39" s="109" t="n">
        <x:v>12.6</x:v>
      </x:c>
      <x:c r="H39" s="109" t="n">
        <x:v>16.1</x:v>
      </x:c>
      <x:c r="I39" s="109" t="n">
        <x:v>13.6</x:v>
      </x:c>
      <x:c r="J39" s="109" t="n">
        <x:v>31</x:v>
      </x:c>
      <x:c r="K39" s="109" t="n">
        <x:v>11.3</x:v>
      </x:c>
      <x:c r="L39" s="109" t="n">
        <x:v>17.6</x:v>
      </x:c>
      <x:c r="M39" s="109" t="n">
        <x:v>13.6</x:v>
      </x:c>
      <x:c r="N39" s="109" t="n">
        <x:v>39.5</x:v>
      </x:c>
      <x:c r="O39" s="109" t="n">
        <x:v>19</x:v>
      </x:c>
      <x:c r="P39" s="109"/>
      <x:c r="Q39" s="109" t="n">
        <x:v>19.4</x:v>
      </x:c>
      <x:c r="R39" s="109" t="n">
        <x:v>17</x:v>
      </x:c>
      <x:c r="S39" s="109" t="n">
        <x:v>15.7</x:v>
      </x:c>
      <x:c r="T39" s="109" t="n">
        <x:v>18.5</x:v>
      </x:c>
      <x:c r="U39" s="109" t="n">
        <x:v>12.7</x:v>
      </x:c>
      <x:c r="V39" s="109" t="n">
        <x:v>0</x:v>
      </x:c>
      <x:c r="W39" s="109" t="n">
        <x:f>AVERAGE(E39:V39)</x:f>
        <x:v>17.341176470588238</x:v>
      </x:c>
      <x:c r="X39" s="109" t="n">
        <x:f>MEDIAN(E39:V39)</x:f>
        <x:v>16.1</x:v>
      </x:c>
      <x:c r="Y39" s="109" t="n">
        <x:f>PERCENTILE.INC(E39:V39,0.25)</x:f>
        <x:v>13.6</x:v>
      </x:c>
      <x:c r="Z39" s="109" t="n">
        <x:f>STDEV.P(E39:V39)</x:f>
        <x:v>8.148046234493663</x:v>
      </x:c>
      <x:c r="AA39" s="173" t="n">
        <x:f>IF(W39=0,"",Z39/ABS(W39))</x:f>
        <x:v>0.4698669809579113</x:v>
      </x:c>
      <x:c r="AB39" s="173" t="n">
        <x:f>IF(W39=0,0,(COUNTIF(E39:V39,"&lt;"&amp;0.5*W39)-COUNTBLANK(E39:V39))/COUNT(E39:V39))</x:f>
        <x:v>0.058823529411764705</x:v>
      </x:c>
      <x:c r="AC39" s="109" t="n">
        <x:f>SUM(E39:V39)</x:f>
        <x:v>294.8</x:v>
      </x:c>
    </x:row>
    <x:row r="40">
      <x:c r="A40" s="108" t="str">
        <x:v>RB</x:v>
      </x:c>
      <x:c r="B40" s="108" t="str">
        <x:v>Bijan Robinson</x:v>
      </x:c>
      <x:c r="C40" s="108" t="str">
        <x:v>ATL</x:v>
      </x:c>
      <x:c r="D40" s="108" t="n">
        <x:v>5</x:v>
      </x:c>
      <x:c r="E40" s="109" t="n">
        <x:v>23.4</x:v>
      </x:c>
      <x:c r="F40" s="109" t="n">
        <x:v>18.3</x:v>
      </x:c>
      <x:c r="G40" s="109" t="n">
        <x:v>13.6</x:v>
      </x:c>
      <x:c r="H40" s="109" t="n">
        <x:v>25.6</x:v>
      </x:c>
      <x:c r="I40" s="109"/>
      <x:c r="J40" s="109" t="n">
        <x:v>34.8</x:v>
      </x:c>
      <x:c r="K40" s="109" t="n">
        <x:v>18.2</x:v>
      </x:c>
      <x:c r="L40" s="109" t="n">
        <x:v>4.3</x:v>
      </x:c>
      <x:c r="M40" s="109" t="n">
        <x:v>13.6</x:v>
      </x:c>
      <x:c r="N40" s="109" t="n">
        <x:v>9.8</x:v>
      </x:c>
      <x:c r="O40" s="109" t="n">
        <x:v>28.3</x:v>
      </x:c>
      <x:c r="P40" s="109" t="n">
        <x:v>13.7</x:v>
      </x:c>
      <x:c r="Q40" s="109" t="n">
        <x:v>27.8</x:v>
      </x:c>
      <x:c r="R40" s="109" t="n">
        <x:v>8.4</x:v>
      </x:c>
      <x:c r="S40" s="109" t="n">
        <x:v>25.5</x:v>
      </x:c>
      <x:c r="T40" s="109" t="n">
        <x:v>26.3</x:v>
      </x:c>
      <x:c r="U40" s="109" t="n">
        <x:v>39.4</x:v>
      </x:c>
      <x:c r="V40" s="109" t="n">
        <x:v>5.8</x:v>
      </x:c>
      <x:c r="W40" s="109" t="n">
        <x:f>AVERAGE(E40:V40)</x:f>
        <x:v>19.811764705882357</x:v>
      </x:c>
      <x:c r="X40" s="109" t="n">
        <x:f>MEDIAN(E40:V40)</x:f>
        <x:v>18.3</x:v>
      </x:c>
      <x:c r="Y40" s="109" t="n">
        <x:f>PERCENTILE.INC(E40:V40,0.25)</x:f>
        <x:v>13.6</x:v>
      </x:c>
      <x:c r="Z40" s="109" t="n">
        <x:f>STDEV.P(E40:V40)</x:f>
        <x:v>9.857387934225432</x:v>
      </x:c>
      <x:c r="AA40" s="173" t="n">
        <x:f>IF(W40=0,"",Z40/ABS(W40))</x:f>
        <x:v>0.4975522413356066</x:v>
      </x:c>
      <x:c r="AB40" s="173" t="n">
        <x:f>IF(W40=0,0,(COUNTIF(E40:V40,"&lt;"&amp;0.5*W40)-COUNTBLANK(E40:V40))/COUNT(E40:V40))</x:f>
        <x:v>0.23529411764705882</x:v>
      </x:c>
      <x:c r="AC40" s="109" t="n">
        <x:f>SUM(E40:V40)</x:f>
        <x:v>336.80000000000007</x:v>
      </x:c>
    </x:row>
    <x:row r="41">
      <x:c r="A41" s="108" t="str">
        <x:v>RB</x:v>
      </x:c>
      <x:c r="B41" s="108" t="str">
        <x:v>Jonathan Taylor</x:v>
      </x:c>
      <x:c r="C41" s="108" t="str">
        <x:v>IND</x:v>
      </x:c>
      <x:c r="D41" s="108" t="n">
        <x:v>11</x:v>
      </x:c>
      <x:c r="E41" s="109" t="n">
        <x:v>11.3</x:v>
      </x:c>
      <x:c r="F41" s="109" t="n">
        <x:v>28.5</x:v>
      </x:c>
      <x:c r="G41" s="109" t="n">
        <x:v>33.3</x:v>
      </x:c>
      <x:c r="H41" s="109" t="n">
        <x:v>12.1</x:v>
      </x:c>
      <x:c r="I41" s="109" t="n">
        <x:v>30.1</x:v>
      </x:c>
      <x:c r="J41" s="109" t="n">
        <x:v>21.7</x:v>
      </x:c>
      <x:c r="K41" s="109" t="n">
        <x:v>32.7</x:v>
      </x:c>
      <x:c r="L41" s="109" t="n">
        <x:v>38.4</x:v>
      </x:c>
      <x:c r="M41" s="109" t="n">
        <x:v>6.7</x:v>
      </x:c>
      <x:c r="N41" s="109" t="n">
        <x:v>49.6</x:v>
      </x:c>
      <x:c r="O41" s="109"/>
      <x:c r="P41" s="109" t="n">
        <x:v>7.6</x:v>
      </x:c>
      <x:c r="Q41" s="109" t="n">
        <x:v>13.6</x:v>
      </x:c>
      <x:c r="R41" s="109" t="n">
        <x:v>11.4</x:v>
      </x:c>
      <x:c r="S41" s="109" t="n">
        <x:v>11.6</x:v>
      </x:c>
      <x:c r="T41" s="109" t="n">
        <x:v>15.4</x:v>
      </x:c>
      <x:c r="U41" s="109" t="n">
        <x:v>15.9</x:v>
      </x:c>
      <x:c r="V41" s="109" t="n">
        <x:v>4.9</x:v>
      </x:c>
      <x:c r="W41" s="109" t="n">
        <x:f>AVERAGE(E41:V41)</x:f>
        <x:v>20.28235294117647</x:v>
      </x:c>
      <x:c r="X41" s="109" t="n">
        <x:f>MEDIAN(E41:V41)</x:f>
        <x:v>15.4</x:v>
      </x:c>
      <x:c r="Y41" s="109" t="n">
        <x:f>PERCENTILE.INC(E41:V41,0.25)</x:f>
        <x:v>11.4</x:v>
      </x:c>
      <x:c r="Z41" s="109" t="n">
        <x:f>STDEV.P(E41:V41)</x:f>
        <x:v>12.482704990322912</x:v>
      </x:c>
      <x:c r="AA41" s="173" t="n">
        <x:f>IF(W41=0,"",Z41/ABS(W41))</x:f>
        <x:v>0.6154465917502596</x:v>
      </x:c>
      <x:c r="AB41" s="173" t="n">
        <x:f>IF(W41=0,0,(COUNTIF(E41:V41,"&lt;"&amp;0.5*W41)-COUNTBLANK(E41:V41))/COUNT(E41:V41))</x:f>
        <x:v>0.17647058823529413</x:v>
      </x:c>
      <x:c r="AC41" s="109" t="n">
        <x:f>SUM(E41:V41)</x:f>
        <x:v>344.79999999999995</x:v>
      </x:c>
    </x:row>
    <x:row r="42">
      <x:c r="A42" s="108" t="str">
        <x:v>RB</x:v>
      </x:c>
      <x:c r="B42" s="108" t="str">
        <x:v>Derrick Henry</x:v>
      </x:c>
      <x:c r="C42" s="108" t="str">
        <x:v>BAL</x:v>
      </x:c>
      <x:c r="D42" s="108" t="n">
        <x:v>7</x:v>
      </x:c>
      <x:c r="E42" s="109" t="n">
        <x:v>30.7</x:v>
      </x:c>
      <x:c r="F42" s="109" t="n">
        <x:v>1.8</x:v>
      </x:c>
      <x:c r="G42" s="109" t="n">
        <x:v>10.2</x:v>
      </x:c>
      <x:c r="H42" s="109" t="n">
        <x:v>6.8</x:v>
      </x:c>
      <x:c r="I42" s="109" t="n">
        <x:v>9.3</x:v>
      </x:c>
      <x:c r="J42" s="109" t="n">
        <x:v>13.5</x:v>
      </x:c>
      <x:c r="K42" s="109"/>
      <x:c r="L42" s="109" t="n">
        <x:v>19.1</x:v>
      </x:c>
      <x:c r="M42" s="109" t="n">
        <x:v>12.6</x:v>
      </x:c>
      <x:c r="N42" s="109" t="n">
        <x:v>9.9</x:v>
      </x:c>
      <x:c r="O42" s="109" t="n">
        <x:v>19.2</x:v>
      </x:c>
      <x:c r="P42" s="109" t="n">
        <x:v>21.8</x:v>
      </x:c>
      <x:c r="Q42" s="109" t="n">
        <x:v>16.9</x:v>
      </x:c>
      <x:c r="R42" s="109" t="n">
        <x:v>10.7</x:v>
      </x:c>
      <x:c r="S42" s="109" t="n">
        <x:v>10</x:v>
      </x:c>
      <x:c r="T42" s="109" t="n">
        <x:v>22.8</x:v>
      </x:c>
      <x:c r="U42" s="109" t="n">
        <x:v>45.6</x:v>
      </x:c>
      <x:c r="V42" s="109" t="n">
        <x:v>12.6</x:v>
      </x:c>
      <x:c r="W42" s="109" t="n">
        <x:f>AVERAGE(E42:V42)</x:f>
        <x:v>16.088235294117652</x:v>
      </x:c>
      <x:c r="X42" s="109" t="n">
        <x:f>MEDIAN(E42:V42)</x:f>
        <x:v>12.6</x:v>
      </x:c>
      <x:c r="Y42" s="109" t="n">
        <x:f>PERCENTILE.INC(E42:V42,0.25)</x:f>
        <x:v>10</x:v>
      </x:c>
      <x:c r="Z42" s="109" t="n">
        <x:f>STDEV.P(E42:V42)</x:f>
        <x:v>9.965049650296379</x:v>
      </x:c>
      <x:c r="AA42" s="173" t="n">
        <x:f>IF(W42=0,"",Z42/ABS(W42))</x:f>
        <x:v>0.619399795448038</x:v>
      </x:c>
      <x:c r="AB42" s="173" t="n">
        <x:f>IF(W42=0,0,(COUNTIF(E42:V42,"&lt;"&amp;0.5*W42)-COUNTBLANK(E42:V42))/COUNT(E42:V42))</x:f>
        <x:v>0.11764705882352941</x:v>
      </x:c>
      <x:c r="AC42" s="109" t="n">
        <x:f>SUM(E42:V42)</x:f>
        <x:v>273.50000000000006</x:v>
      </x:c>
    </x:row>
    <x:row r="43">
      <x:c r="A43" s="108" t="str">
        <x:v>RB</x:v>
      </x:c>
      <x:c r="B43" s="108" t="str">
        <x:v>Jahmyr Gibbs</x:v>
      </x:c>
      <x:c r="C43" s="108" t="str">
        <x:v>DET</x:v>
      </x:c>
      <x:c r="D43" s="108" t="n">
        <x:v>8</x:v>
      </x:c>
      <x:c r="E43" s="109" t="n">
        <x:v>10</x:v>
      </x:c>
      <x:c r="F43" s="109" t="n">
        <x:v>17.9</x:v>
      </x:c>
      <x:c r="G43" s="109" t="n">
        <x:v>24.4</x:v>
      </x:c>
      <x:c r="H43" s="109" t="n">
        <x:v>16.7</x:v>
      </x:c>
      <x:c r="I43" s="109" t="n">
        <x:v>15.7</x:v>
      </x:c>
      <x:c r="J43" s="109" t="n">
        <x:v>7</x:v>
      </x:c>
      <x:c r="K43" s="109" t="n">
        <x:v>37.3</x:v>
      </x:c>
      <x:c r="L43" s="109"/>
      <x:c r="M43" s="109" t="n">
        <x:v>4.3</x:v>
      </x:c>
      <x:c r="N43" s="109" t="n">
        <x:v>38.7</x:v>
      </x:c>
      <x:c r="O43" s="109" t="n">
        <x:v>17.1</x:v>
      </x:c>
      <x:c r="P43" s="109" t="n">
        <x:v>53.9</x:v>
      </x:c>
      <x:c r="Q43" s="109" t="n">
        <x:v>10.1</x:v>
      </x:c>
      <x:c r="R43" s="109" t="n">
        <x:v>33.5</x:v>
      </x:c>
      <x:c r="S43" s="109" t="n">
        <x:v>7.8</x:v>
      </x:c>
      <x:c r="T43" s="109" t="n">
        <x:v>17.3</x:v>
      </x:c>
      <x:c r="U43" s="109" t="n">
        <x:v>5.4</x:v>
      </x:c>
      <x:c r="V43" s="109" t="n">
        <x:v>18.8</x:v>
      </x:c>
      <x:c r="W43" s="109" t="n">
        <x:f>AVERAGE(E43:V43)</x:f>
        <x:v>19.758823529411767</x:v>
      </x:c>
      <x:c r="X43" s="109" t="n">
        <x:f>MEDIAN(E43:V43)</x:f>
        <x:v>17.1</x:v>
      </x:c>
      <x:c r="Y43" s="109" t="n">
        <x:f>PERCENTILE.INC(E43:V43,0.25)</x:f>
        <x:v>10</x:v>
      </x:c>
      <x:c r="Z43" s="109" t="n">
        <x:f>STDEV.P(E43:V43)</x:f>
        <x:v>13.339991129000024</x:v>
      </x:c>
      <x:c r="AA43" s="173" t="n">
        <x:f>IF(W43=0,"",Z43/ABS(W43))</x:f>
        <x:v>0.67514096217029</x:v>
      </x:c>
      <x:c r="AB43" s="173" t="n">
        <x:f>IF(W43=0,0,(COUNTIF(E43:V43,"&lt;"&amp;0.5*W43)-COUNTBLANK(E43:V43))/COUNT(E43:V43))</x:f>
        <x:v>0.23529411764705882</x:v>
      </x:c>
      <x:c r="AC43" s="109" t="n">
        <x:f>SUM(E43:V43)</x:f>
        <x:v>335.90000000000003</x:v>
      </x:c>
    </x:row>
    <x:row r="44">
      <x:c r="A44" s="108" t="str">
        <x:v>RB</x:v>
      </x:c>
      <x:c r="B44" s="108" t="str">
        <x:v>Javonte Williams</x:v>
      </x:c>
      <x:c r="C44" s="108" t="str">
        <x:v>DAL</x:v>
      </x:c>
      <x:c r="D44" s="108" t="n">
        <x:v>10</x:v>
      </x:c>
      <x:c r="E44" s="109" t="n">
        <x:v>19.4</x:v>
      </x:c>
      <x:c r="F44" s="109" t="n">
        <x:v>22</x:v>
      </x:c>
      <x:c r="G44" s="109" t="n">
        <x:v>9.7</x:v>
      </x:c>
      <x:c r="H44" s="109" t="n">
        <x:v>17.5</x:v>
      </x:c>
      <x:c r="I44" s="109" t="n">
        <x:v>26.4</x:v>
      </x:c>
      <x:c r="J44" s="109" t="n">
        <x:v>5.9</x:v>
      </x:c>
      <x:c r="K44" s="109" t="n">
        <x:v>18.3</x:v>
      </x:c>
      <x:c r="L44" s="109" t="n">
        <x:v>17.4</x:v>
      </x:c>
      <x:c r="M44" s="109" t="n">
        <x:v>6.8</x:v>
      </x:c>
      <x:c r="N44" s="109"/>
      <x:c r="O44" s="109" t="n">
        <x:v>9.8</x:v>
      </x:c>
      <x:c r="P44" s="109" t="n">
        <x:v>11.1</x:v>
      </x:c>
      <x:c r="Q44" s="109" t="n">
        <x:v>15.5</x:v>
      </x:c>
      <x:c r="R44" s="109" t="n">
        <x:v>13.7</x:v>
      </x:c>
      <x:c r="S44" s="109" t="n">
        <x:v>15.1</x:v>
      </x:c>
      <x:c r="T44" s="109" t="n">
        <x:v>5.3</x:v>
      </x:c>
      <x:c r="U44" s="109" t="n">
        <x:v>11.4</x:v>
      </x:c>
      <x:c r="V44" s="109" t="n">
        <x:v>0</x:v>
      </x:c>
      <x:c r="W44" s="109" t="n">
        <x:f>AVERAGE(E44:V44)</x:f>
        <x:v>13.25294117647059</x:v>
      </x:c>
      <x:c r="X44" s="109" t="n">
        <x:f>MEDIAN(E44:V44)</x:f>
        <x:v>13.7</x:v>
      </x:c>
      <x:c r="Y44" s="109" t="n">
        <x:f>PERCENTILE.INC(E44:V44,0.25)</x:f>
        <x:v>9.7</x:v>
      </x:c>
      <x:c r="Z44" s="109" t="n">
        <x:f>STDEV.P(E44:V44)</x:f>
        <x:v>6.524714791788745</x:v>
      </x:c>
      <x:c r="AA44" s="173" t="n">
        <x:f>IF(W44=0,"",Z44/ABS(W44))</x:f>
        <x:v>0.4923220215730522</x:v>
      </x:c>
      <x:c r="AB44" s="173" t="n">
        <x:f>IF(W44=0,0,(COUNTIF(E44:V44,"&lt;"&amp;0.5*W44)-COUNTBLANK(E44:V44))/COUNT(E44:V44))</x:f>
        <x:v>0.17647058823529413</x:v>
      </x:c>
      <x:c r="AC44" s="109" t="n">
        <x:f>SUM(E44:V44)</x:f>
        <x:v>225.3</x:v>
      </x:c>
    </x:row>
    <x:row r="45">
      <x:c r="A45" s="108" t="str">
        <x:v>RB</x:v>
      </x:c>
      <x:c r="B45" s="108" t="str">
        <x:v>Kyren Williams</x:v>
      </x:c>
      <x:c r="C45" s="108" t="str">
        <x:v>LAR</x:v>
      </x:c>
      <x:c r="D45" s="108" t="n">
        <x:v>8</x:v>
      </x:c>
      <x:c r="E45" s="109" t="n">
        <x:v>13.4</x:v>
      </x:c>
      <x:c r="F45" s="109" t="n">
        <x:v>9</x:v>
      </x:c>
      <x:c r="G45" s="109" t="n">
        <x:v>18.2</x:v>
      </x:c>
      <x:c r="H45" s="109" t="n">
        <x:v>8.9</x:v>
      </x:c>
      <x:c r="I45" s="109" t="n">
        <x:v>27.1</x:v>
      </x:c>
      <x:c r="J45" s="109" t="n">
        <x:v>15.7</x:v>
      </x:c>
      <x:c r="K45" s="109" t="n">
        <x:v>7.5</x:v>
      </x:c>
      <x:c r="L45" s="109"/>
      <x:c r="M45" s="109" t="n">
        <x:v>17.4</x:v>
      </x:c>
      <x:c r="N45" s="109" t="n">
        <x:v>21.4</x:v>
      </x:c>
      <x:c r="O45" s="109" t="n">
        <x:v>16.1</x:v>
      </x:c>
      <x:c r="P45" s="109" t="n">
        <x:v>5.7</x:v>
      </x:c>
      <x:c r="Q45" s="109" t="n">
        <x:v>13.2</x:v>
      </x:c>
      <x:c r="R45" s="109" t="n">
        <x:v>16.7</x:v>
      </x:c>
      <x:c r="S45" s="109" t="n">
        <x:v>21.3</x:v>
      </x:c>
      <x:c r="T45" s="109" t="n">
        <x:v>10</x:v>
      </x:c>
      <x:c r="U45" s="109" t="n">
        <x:v>14.5</x:v>
      </x:c>
      <x:c r="V45" s="109" t="n">
        <x:v>9.6</x:v>
      </x:c>
      <x:c r="W45" s="109" t="n">
        <x:f>AVERAGE(E45:V45)</x:f>
        <x:v>14.452941176470587</x:v>
      </x:c>
      <x:c r="X45" s="109" t="n">
        <x:f>MEDIAN(E45:V45)</x:f>
        <x:v>14.5</x:v>
      </x:c>
      <x:c r="Y45" s="109" t="n">
        <x:f>PERCENTILE.INC(E45:V45,0.25)</x:f>
        <x:v>9.6</x:v>
      </x:c>
      <x:c r="Z45" s="109" t="n">
        <x:f>STDEV.P(E45:V45)</x:f>
        <x:v>5.5238645516318625</x:v>
      </x:c>
      <x:c r="AA45" s="173" t="n">
        <x:f>IF(W45=0,"",Z45/ABS(W45))</x:f>
        <x:v>0.38219657052397915</x:v>
      </x:c>
      <x:c r="AB45" s="173" t="n">
        <x:f>IF(W45=0,0,(COUNTIF(E45:V45,"&lt;"&amp;0.5*W45)-COUNTBLANK(E45:V45))/COUNT(E45:V45))</x:f>
        <x:v>0.058823529411764705</x:v>
      </x:c>
      <x:c r="AC45" s="109" t="n">
        <x:f>SUM(E45:V45)</x:f>
        <x:v>245.69999999999996</x:v>
      </x:c>
    </x:row>
    <x:row r="46">
      <x:c r="A46" s="108" t="str">
        <x:v>RB</x:v>
      </x:c>
      <x:c r="B46" s="108" t="str">
        <x:v>James Cook III</x:v>
      </x:c>
      <x:c r="C46" s="108" t="str">
        <x:v>BUF</x:v>
      </x:c>
      <x:c r="D46" s="108" t="n">
        <x:v>7</x:v>
      </x:c>
      <x:c r="E46" s="109" t="n">
        <x:v>18.7</x:v>
      </x:c>
      <x:c r="F46" s="109" t="n">
        <x:v>27.5</x:v>
      </x:c>
      <x:c r="G46" s="109" t="n">
        <x:v>19.3</x:v>
      </x:c>
      <x:c r="H46" s="109" t="n">
        <x:v>21</x:v>
      </x:c>
      <x:c r="I46" s="109" t="n">
        <x:v>4.9</x:v>
      </x:c>
      <x:c r="J46" s="109" t="n">
        <x:v>8.7</x:v>
      </x:c>
      <x:c r="K46" s="109"/>
      <x:c r="L46" s="109" t="n">
        <x:v>35.6</x:v>
      </x:c>
      <x:c r="M46" s="109" t="n">
        <x:v>13</x:v>
      </x:c>
      <x:c r="N46" s="109" t="n">
        <x:v>8.2</x:v>
      </x:c>
      <x:c r="O46" s="109" t="n">
        <x:v>18.9</x:v>
      </x:c>
      <x:c r="P46" s="109" t="n">
        <x:v>22.4</x:v>
      </x:c>
      <x:c r="Q46" s="109" t="n">
        <x:v>16.7</x:v>
      </x:c>
      <x:c r="R46" s="109" t="n">
        <x:v>9.6</x:v>
      </x:c>
      <x:c r="S46" s="109" t="n">
        <x:v>30.1</x:v>
      </x:c>
      <x:c r="T46" s="109" t="n">
        <x:v>27.9</x:v>
      </x:c>
      <x:c r="U46" s="109" t="n">
        <x:v>8.2</x:v>
      </x:c>
      <x:c r="V46" s="109" t="n">
        <x:v>1.5</x:v>
      </x:c>
      <x:c r="W46" s="109" t="n">
        <x:f>AVERAGE(E46:V46)</x:f>
        <x:v>17.188235294117646</x:v>
      </x:c>
      <x:c r="X46" s="109" t="n">
        <x:f>MEDIAN(E46:V46)</x:f>
        <x:v>18.7</x:v>
      </x:c>
      <x:c r="Y46" s="109" t="n">
        <x:f>PERCENTILE.INC(E46:V46,0.25)</x:f>
        <x:v>8.7</x:v>
      </x:c>
      <x:c r="Z46" s="109" t="n">
        <x:f>STDEV.P(E46:V46)</x:f>
        <x:v>9.343943137476886</x:v>
      </x:c>
      <x:c r="AA46" s="173" t="n">
        <x:f>IF(W46=0,"",Z46/ABS(W46))</x:f>
        <x:v>0.5436243440694971</x:v>
      </x:c>
      <x:c r="AB46" s="173" t="n">
        <x:f>IF(W46=0,0,(COUNTIF(E46:V46,"&lt;"&amp;0.5*W46)-COUNTBLANK(E46:V46))/COUNT(E46:V46))</x:f>
        <x:v>0.23529411764705882</x:v>
      </x:c>
      <x:c r="AC46" s="109" t="n">
        <x:f>SUM(E46:V46)</x:f>
        <x:v>292.2</x:v>
      </x:c>
    </x:row>
    <x:row r="47">
      <x:c r="A47" s="108" t="str">
        <x:v>RB</x:v>
      </x:c>
      <x:c r="B47" s="108" t="str">
        <x:v>Chase Brown</x:v>
      </x:c>
      <x:c r="C47" s="108" t="str">
        <x:v>CIN</x:v>
      </x:c>
      <x:c r="D47" s="108" t="n">
        <x:v>10</x:v>
      </x:c>
      <x:c r="E47" s="109" t="n">
        <x:v>12.1</x:v>
      </x:c>
      <x:c r="F47" s="109" t="n">
        <x:v>7.5</x:v>
      </x:c>
      <x:c r="G47" s="109" t="n">
        <x:v>3.5</x:v>
      </x:c>
      <x:c r="H47" s="109" t="n">
        <x:v>8.6</x:v>
      </x:c>
      <x:c r="I47" s="109" t="n">
        <x:v>7.8</x:v>
      </x:c>
      <x:c r="J47" s="109" t="n">
        <x:v>7.9</x:v>
      </x:c>
      <x:c r="K47" s="109" t="n">
        <x:v>11</x:v>
      </x:c>
      <x:c r="L47" s="109" t="n">
        <x:v>24</x:v>
      </x:c>
      <x:c r="M47" s="109" t="n">
        <x:v>15.2</x:v>
      </x:c>
      <x:c r="N47" s="109"/>
      <x:c r="O47" s="109" t="n">
        <x:v>15.7</x:v>
      </x:c>
      <x:c r="P47" s="109" t="n">
        <x:v>14</x:v>
      </x:c>
      <x:c r="Q47" s="109" t="n">
        <x:v>14.8</x:v>
      </x:c>
      <x:c r="R47" s="109" t="n">
        <x:v>17</x:v>
      </x:c>
      <x:c r="S47" s="109" t="n">
        <x:v>12.5</x:v>
      </x:c>
      <x:c r="T47" s="109" t="n">
        <x:v>30.9</x:v>
      </x:c>
      <x:c r="U47" s="109" t="n">
        <x:v>27.6</x:v>
      </x:c>
      <x:c r="V47" s="109" t="n">
        <x:v>17</x:v>
      </x:c>
      <x:c r="W47" s="109" t="n">
        <x:f>AVERAGE(E47:V47)</x:f>
        <x:v>14.53529411764706</x:v>
      </x:c>
      <x:c r="X47" s="109" t="n">
        <x:f>MEDIAN(E47:V47)</x:f>
        <x:v>14</x:v>
      </x:c>
      <x:c r="Y47" s="109" t="n">
        <x:f>PERCENTILE.INC(E47:V47,0.25)</x:f>
        <x:v>8.6</x:v>
      </x:c>
      <x:c r="Z47" s="109" t="n">
        <x:f>STDEV.P(E47:V47)</x:f>
        <x:v>7.1160085620150335</x:v>
      </x:c>
      <x:c r="AA47" s="173" t="n">
        <x:f>IF(W47=0,"",Z47/ABS(W47))</x:f>
        <x:v>0.4895675659824183</x:v>
      </x:c>
      <x:c r="AB47" s="173" t="n">
        <x:f>IF(W47=0,0,(COUNTIF(E47:V47,"&lt;"&amp;0.5*W47)-COUNTBLANK(E47:V47))/COUNT(E47:V47))</x:f>
        <x:v>0.058823529411764705</x:v>
      </x:c>
      <x:c r="AC47" s="109" t="n">
        <x:f>SUM(E47:V47)</x:f>
        <x:v>247.10000000000002</x:v>
      </x:c>
    </x:row>
    <x:row r="48">
      <x:c r="A48" s="108" t="str">
        <x:v>RB</x:v>
      </x:c>
      <x:c r="B48" s="108" t="str">
        <x:v>D'Andre Swift</x:v>
      </x:c>
      <x:c r="C48" s="108" t="str">
        <x:v>CHI</x:v>
      </x:c>
      <x:c r="D48" s="108" t="n">
        <x:v>5</x:v>
      </x:c>
      <x:c r="E48" s="109" t="n">
        <x:v>8</x:v>
      </x:c>
      <x:c r="F48" s="109" t="n">
        <x:v>12.4</x:v>
      </x:c>
      <x:c r="G48" s="109" t="n">
        <x:v>9.3</x:v>
      </x:c>
      <x:c r="H48" s="109" t="n">
        <x:v>14</x:v>
      </x:c>
      <x:c r="I48" s="109"/>
      <x:c r="J48" s="109" t="n">
        <x:v>26.5</x:v>
      </x:c>
      <x:c r="K48" s="109" t="n">
        <x:v>20.3</x:v>
      </x:c>
      <x:c r="L48" s="109" t="n">
        <x:v>14.1</x:v>
      </x:c>
      <x:c r="M48" s="109" t="n">
        <x:v>0</x:v>
      </x:c>
      <x:c r="N48" s="109" t="n">
        <x:v>12.3</x:v>
      </x:c>
      <x:c r="O48" s="109" t="n">
        <x:v>9</x:v>
      </x:c>
      <x:c r="P48" s="109" t="n">
        <x:v>1.4</x:v>
      </x:c>
      <x:c r="Q48" s="109" t="n">
        <x:v>20.3</x:v>
      </x:c>
      <x:c r="R48" s="109" t="n">
        <x:v>9.7</x:v>
      </x:c>
      <x:c r="S48" s="109" t="n">
        <x:v>22.1</x:v>
      </x:c>
      <x:c r="T48" s="109" t="n">
        <x:v>8</x:v>
      </x:c>
      <x:c r="U48" s="109" t="n">
        <x:v>20.9</x:v>
      </x:c>
      <x:c r="V48" s="109" t="n">
        <x:v>5.3</x:v>
      </x:c>
      <x:c r="W48" s="109" t="n">
        <x:f>AVERAGE(E48:V48)</x:f>
        <x:v>12.564705882352941</x:v>
      </x:c>
      <x:c r="X48" s="109" t="n">
        <x:f>MEDIAN(E48:V48)</x:f>
        <x:v>12.3</x:v>
      </x:c>
      <x:c r="Y48" s="109" t="n">
        <x:f>PERCENTILE.INC(E48:V48,0.25)</x:f>
        <x:v>8</x:v>
      </x:c>
      <x:c r="Z48" s="109" t="n">
        <x:f>STDEV.P(E48:V48)</x:f>
        <x:v>7.224626281925924</x:v>
      </x:c>
      <x:c r="AA48" s="173" t="n">
        <x:f>IF(W48=0,"",Z48/ABS(W48))</x:f>
        <x:v>0.5749936647600221</x:v>
      </x:c>
      <x:c r="AB48" s="173" t="n">
        <x:f>IF(W48=0,0,(COUNTIF(E48:V48,"&lt;"&amp;0.5*W48)-COUNTBLANK(E48:V48))/COUNT(E48:V48))</x:f>
        <x:v>0.17647058823529413</x:v>
      </x:c>
      <x:c r="AC48" s="109" t="n">
        <x:f>SUM(E48:V48)</x:f>
        <x:v>213.6</x:v>
      </x:c>
    </x:row>
    <x:row r="49">
      <x:c r="A49" s="108" t="str">
        <x:v>RB</x:v>
      </x:c>
      <x:c r="B49" s="108" t="str">
        <x:v>Jaylen Warren</x:v>
      </x:c>
      <x:c r="C49" s="108" t="str">
        <x:v>PIT</x:v>
      </x:c>
      <x:c r="D49" s="108" t="n">
        <x:v>5</x:v>
      </x:c>
      <x:c r="E49" s="109" t="n">
        <x:v>12.9</x:v>
      </x:c>
      <x:c r="F49" s="109" t="n">
        <x:v>15.4</x:v>
      </x:c>
      <x:c r="G49" s="109" t="n">
        <x:v>10.6</x:v>
      </x:c>
      <x:c r="H49" s="109" t="n">
        <x:v>0</x:v>
      </x:c>
      <x:c r="I49" s="109"/>
      <x:c r="J49" s="109" t="n">
        <x:v>7.3</x:v>
      </x:c>
      <x:c r="K49" s="109" t="n">
        <x:v>17.8</x:v>
      </x:c>
      <x:c r="L49" s="109" t="n">
        <x:v>8.3</x:v>
      </x:c>
      <x:c r="M49" s="109" t="n">
        <x:v>15.9</x:v>
      </x:c>
      <x:c r="N49" s="109" t="n">
        <x:v>10.1</x:v>
      </x:c>
      <x:c r="O49" s="109" t="n">
        <x:v>7.7</x:v>
      </x:c>
      <x:c r="P49" s="109" t="n">
        <x:v>12.8</x:v>
      </x:c>
      <x:c r="Q49" s="109" t="n">
        <x:v>11.4</x:v>
      </x:c>
      <x:c r="R49" s="109" t="n">
        <x:v>14.27</x:v>
      </x:c>
      <x:c r="S49" s="109" t="n">
        <x:v>7.92</x:v>
      </x:c>
      <x:c r="T49" s="109" t="n">
        <x:v>33.6</x:v>
      </x:c>
      <x:c r="U49" s="109" t="n">
        <x:v>6.59</x:v>
      </x:c>
      <x:c r="V49" s="109" t="n">
        <x:v>14.17</x:v>
      </x:c>
      <x:c r="W49" s="109" t="n">
        <x:f>AVERAGE(E49:V49)</x:f>
        <x:v>12.161764705882351</x:v>
      </x:c>
      <x:c r="X49" s="109" t="n">
        <x:f>MEDIAN(E49:V49)</x:f>
        <x:v>11.4</x:v>
      </x:c>
      <x:c r="Y49" s="109" t="n">
        <x:f>PERCENTILE.INC(E49:V49,0.25)</x:f>
        <x:v>7.92</x:v>
      </x:c>
      <x:c r="Z49" s="109" t="n">
        <x:f>STDEV.P(E49:V49)</x:f>
        <x:v>6.808089682216831</x:v>
      </x:c>
      <x:c r="AA49" s="173" t="n">
        <x:f>IF(W49=0,"",Z49/ABS(W49))</x:f>
        <x:v>0.559794556699812</x:v>
      </x:c>
      <x:c r="AB49" s="173" t="n">
        <x:f>IF(W49=0,0,(COUNTIF(E49:V49,"&lt;"&amp;0.5*W49)-COUNTBLANK(E49:V49))/COUNT(E49:V49))</x:f>
        <x:v>0.058823529411764705</x:v>
      </x:c>
      <x:c r="AC49" s="109" t="n">
        <x:f>SUM(E49:V49)</x:f>
        <x:v>206.74999999999997</x:v>
      </x:c>
    </x:row>
    <x:row r="50">
      <x:c r="A50" s="108" t="str">
        <x:v>RB</x:v>
      </x:c>
      <x:c r="B50" s="108" t="str">
        <x:v>Travis Etienne Jr.</x:v>
      </x:c>
      <x:c r="C50" s="108" t="str">
        <x:v>JAX</x:v>
      </x:c>
      <x:c r="D50" s="108" t="n">
        <x:v>8</x:v>
      </x:c>
      <x:c r="E50" s="109" t="n">
        <x:v>17.1</x:v>
      </x:c>
      <x:c r="F50" s="109" t="n">
        <x:v>15.9</x:v>
      </x:c>
      <x:c r="G50" s="109" t="n">
        <x:v>11.6</x:v>
      </x:c>
      <x:c r="H50" s="109" t="n">
        <x:v>21</x:v>
      </x:c>
      <x:c r="I50" s="109" t="n">
        <x:v>7.3</x:v>
      </x:c>
      <x:c r="J50" s="109" t="n">
        <x:v>7.5</x:v>
      </x:c>
      <x:c r="K50" s="109" t="n">
        <x:v>6</x:v>
      </x:c>
      <x:c r="L50" s="109"/>
      <x:c r="M50" s="109" t="n">
        <x:v>13.5</x:v>
      </x:c>
      <x:c r="N50" s="109" t="n">
        <x:v>14.7</x:v>
      </x:c>
      <x:c r="O50" s="109" t="n">
        <x:v>19.3</x:v>
      </x:c>
      <x:c r="P50" s="109" t="n">
        <x:v>19.1</x:v>
      </x:c>
      <x:c r="Q50" s="109" t="n">
        <x:v>4.6</x:v>
      </x:c>
      <x:c r="R50" s="109" t="n">
        <x:v>20.7</x:v>
      </x:c>
      <x:c r="S50" s="109" t="n">
        <x:v>32</x:v>
      </x:c>
      <x:c r="T50" s="109" t="n">
        <x:v>14.6</x:v>
      </x:c>
      <x:c r="U50" s="109" t="n">
        <x:v>10.2</x:v>
      </x:c>
      <x:c r="V50" s="109" t="n">
        <x:v>4.3</x:v>
      </x:c>
      <x:c r="W50" s="109" t="n">
        <x:f>AVERAGE(E50:V50)</x:f>
        <x:v>14.082352941176469</x:v>
      </x:c>
      <x:c r="X50" s="109" t="n">
        <x:f>MEDIAN(E50:V50)</x:f>
        <x:v>14.6</x:v>
      </x:c>
      <x:c r="Y50" s="109" t="n">
        <x:f>PERCENTILE.INC(E50:V50,0.25)</x:f>
        <x:v>7.5</x:v>
      </x:c>
      <x:c r="Z50" s="109" t="n">
        <x:f>STDEV.P(E50:V50)</x:f>
        <x:v>7.029286240572588</x:v>
      </x:c>
      <x:c r="AA50" s="173" t="n">
        <x:f>IF(W50=0,"",Z50/ABS(W50))</x:f>
        <x:v>0.4991556645352298</x:v>
      </x:c>
      <x:c r="AB50" s="173" t="n">
        <x:f>IF(W50=0,0,(COUNTIF(E50:V50,"&lt;"&amp;0.5*W50)-COUNTBLANK(E50:V50))/COUNT(E50:V50))</x:f>
        <x:v>0.17647058823529413</x:v>
      </x:c>
      <x:c r="AC50" s="109" t="n">
        <x:f>SUM(E50:V50)</x:f>
        <x:v>239.39999999999998</x:v>
      </x:c>
    </x:row>
    <x:row r="51">
      <x:c r="A51" s="108" t="str">
        <x:v>RB</x:v>
      </x:c>
      <x:c r="B51" s="108" t="str">
        <x:v>Saquon Barkley</x:v>
      </x:c>
      <x:c r="C51" s="108" t="str">
        <x:v>PHI</x:v>
      </x:c>
      <x:c r="D51" s="108" t="n">
        <x:v>9</x:v>
      </x:c>
      <x:c r="E51" s="109" t="n">
        <x:v>16.4</x:v>
      </x:c>
      <x:c r="F51" s="109" t="n">
        <x:v>16.4</x:v>
      </x:c>
      <x:c r="G51" s="109" t="n">
        <x:v>7.5</x:v>
      </x:c>
      <x:c r="H51" s="109" t="n">
        <x:v>15.4</x:v>
      </x:c>
      <x:c r="I51" s="109" t="n">
        <x:v>18.3</x:v>
      </x:c>
      <x:c r="J51" s="109" t="n">
        <x:v>7.7</x:v>
      </x:c>
      <x:c r="K51" s="109" t="n">
        <x:v>4.7</x:v>
      </x:c>
      <x:c r="L51" s="109" t="n">
        <x:v>33.4</x:v>
      </x:c>
      <x:c r="M51" s="109"/>
      <x:c r="N51" s="109" t="n">
        <x:v>11.6</x:v>
      </x:c>
      <x:c r="O51" s="109" t="n">
        <x:v>9.5</x:v>
      </x:c>
      <x:c r="P51" s="109" t="n">
        <x:v>8.9</x:v>
      </x:c>
      <x:c r="Q51" s="109" t="n">
        <x:v>5.6</x:v>
      </x:c>
      <x:c r="R51" s="109" t="n">
        <x:v>20.2</x:v>
      </x:c>
      <x:c r="S51" s="109" t="n">
        <x:v>16.2</x:v>
      </x:c>
      <x:c r="T51" s="109" t="n">
        <x:v>21.2</x:v>
      </x:c>
      <x:c r="U51" s="109" t="n">
        <x:v>6.8</x:v>
      </x:c>
      <x:c r="V51" s="109" t="n">
        <x:v>0</x:v>
      </x:c>
      <x:c r="W51" s="109" t="n">
        <x:f>AVERAGE(E51:V51)</x:f>
        <x:v>12.92941176470588</x:v>
      </x:c>
      <x:c r="X51" s="109" t="n">
        <x:f>MEDIAN(E51:V51)</x:f>
        <x:v>11.6</x:v>
      </x:c>
      <x:c r="Y51" s="109" t="n">
        <x:f>PERCENTILE.INC(E51:V51,0.25)</x:f>
        <x:v>7.5</x:v>
      </x:c>
      <x:c r="Z51" s="109" t="n">
        <x:f>STDEV.P(E51:V51)</x:f>
        <x:v>7.756649117778383</x:v>
      </x:c>
      <x:c r="AA51" s="173" t="n">
        <x:f>IF(W51=0,"",Z51/ABS(W51))</x:f>
        <x:v>0.5999228162066994</x:v>
      </x:c>
      <x:c r="AB51" s="173" t="n">
        <x:f>IF(W51=0,0,(COUNTIF(E51:V51,"&lt;"&amp;0.5*W51)-COUNTBLANK(E51:V51))/COUNT(E51:V51))</x:f>
        <x:v>0.17647058823529413</x:v>
      </x:c>
      <x:c r="AC51" s="109" t="n">
        <x:f>SUM(E51:V51)</x:f>
        <x:v>219.79999999999998</x:v>
      </x:c>
    </x:row>
    <x:row r="52">
      <x:c r="A52" s="108" t="str">
        <x:v>RB</x:v>
      </x:c>
      <x:c r="B52" s="108" t="str">
        <x:v>Ashton Jeanty</x:v>
      </x:c>
      <x:c r="C52" s="108" t="str">
        <x:v>LV</x:v>
      </x:c>
      <x:c r="D52" s="108" t="n">
        <x:v>8</x:v>
      </x:c>
      <x:c r="E52" s="109" t="n">
        <x:v>11</x:v>
      </x:c>
      <x:c r="F52" s="109" t="n">
        <x:v>5.9</x:v>
      </x:c>
      <x:c r="G52" s="109" t="n">
        <x:v>6.3</x:v>
      </x:c>
      <x:c r="H52" s="109" t="n">
        <x:v>34.5</x:v>
      </x:c>
      <x:c r="I52" s="109" t="n">
        <x:v>13.4</x:v>
      </x:c>
      <x:c r="J52" s="109" t="n">
        <x:v>15.6</x:v>
      </x:c>
      <x:c r="K52" s="109" t="n">
        <x:v>3.9</x:v>
      </x:c>
      <x:c r="L52" s="109"/>
      <x:c r="M52" s="109" t="n">
        <x:v>17.4</x:v>
      </x:c>
      <x:c r="N52" s="109" t="n">
        <x:v>13.3</x:v>
      </x:c>
      <x:c r="O52" s="109" t="n">
        <x:v>6.4</x:v>
      </x:c>
      <x:c r="P52" s="109" t="n">
        <x:v>20.8</x:v>
      </x:c>
      <x:c r="Q52" s="109" t="n">
        <x:v>9.1</x:v>
      </x:c>
      <x:c r="R52" s="109" t="n">
        <x:v>4.8</x:v>
      </x:c>
      <x:c r="S52" s="109" t="n">
        <x:v>6.2</x:v>
      </x:c>
      <x:c r="T52" s="109" t="n">
        <x:v>35.3</x:v>
      </x:c>
      <x:c r="U52" s="109" t="n">
        <x:v>8.3</x:v>
      </x:c>
      <x:c r="V52" s="109" t="n">
        <x:v>10.9</x:v>
      </x:c>
      <x:c r="W52" s="109" t="n">
        <x:f>AVERAGE(E52:V52)</x:f>
        <x:v>13.123529411764705</x:v>
      </x:c>
      <x:c r="X52" s="109" t="n">
        <x:f>MEDIAN(E52:V52)</x:f>
        <x:v>10.9</x:v>
      </x:c>
      <x:c r="Y52" s="109" t="n">
        <x:f>PERCENTILE.INC(E52:V52,0.25)</x:f>
        <x:v>6.3</x:v>
      </x:c>
      <x:c r="Z52" s="109" t="n">
        <x:f>STDEV.P(E52:V52)</x:f>
        <x:v>9.163067134314714</x:v>
      </x:c>
      <x:c r="AA52" s="173" t="n">
        <x:f>IF(W52=0,"",Z52/ABS(W52))</x:f>
        <x:v>0.6982166798895121</x:v>
      </x:c>
      <x:c r="AB52" s="173" t="n">
        <x:f>IF(W52=0,0,(COUNTIF(E52:V52,"&lt;"&amp;0.5*W52)-COUNTBLANK(E52:V52))/COUNT(E52:V52))</x:f>
        <x:v>0.35294117647058826</x:v>
      </x:c>
      <x:c r="AC52" s="109" t="n">
        <x:f>SUM(E52:V52)</x:f>
        <x:v>223.1</x:v>
      </x:c>
    </x:row>
    <x:row r="53">
      <x:c r="A53" s="108" t="str">
        <x:v>RB</x:v>
      </x:c>
      <x:c r="B53" s="108" t="str">
        <x:v>Rico Dowdle</x:v>
      </x:c>
      <x:c r="C53" s="108" t="str">
        <x:v>CAR</x:v>
      </x:c>
      <x:c r="D53" s="108" t="n">
        <x:v>14</x:v>
      </x:c>
      <x:c r="E53" s="109" t="n">
        <x:v>2.6</x:v>
      </x:c>
      <x:c r="F53" s="109" t="n">
        <x:v>3.12</x:v>
      </x:c>
      <x:c r="G53" s="109" t="n">
        <x:v>10.93</x:v>
      </x:c>
      <x:c r="H53" s="109" t="n">
        <x:v>6.5</x:v>
      </x:c>
      <x:c r="I53" s="109" t="n">
        <x:v>30.9</x:v>
      </x:c>
      <x:c r="J53" s="109" t="n">
        <x:v>31.4</x:v>
      </x:c>
      <x:c r="K53" s="109" t="n">
        <x:v>10.1</x:v>
      </x:c>
      <x:c r="L53" s="109" t="n">
        <x:v>6.27</x:v>
      </x:c>
      <x:c r="M53" s="109" t="n">
        <x:v>27.1</x:v>
      </x:c>
      <x:c r="N53" s="109" t="n">
        <x:v>13.8</x:v>
      </x:c>
      <x:c r="O53" s="109" t="n">
        <x:v>12.5</x:v>
      </x:c>
      <x:c r="P53" s="109" t="n">
        <x:v>9.4</x:v>
      </x:c>
      <x:c r="Q53" s="109" t="n">
        <x:v>8.9</x:v>
      </x:c>
      <x:c r="R53" s="109"/>
      <x:c r="S53" s="109" t="n">
        <x:v>12.59</x:v>
      </x:c>
      <x:c r="T53" s="109" t="n">
        <x:v>6.3</x:v>
      </x:c>
      <x:c r="U53" s="109" t="n">
        <x:v>7.8</x:v>
      </x:c>
      <x:c r="V53" s="109" t="n">
        <x:v>2</x:v>
      </x:c>
      <x:c r="W53" s="109" t="n">
        <x:f>AVERAGE(E53:V53)</x:f>
        <x:v>11.894705882352943</x:v>
      </x:c>
      <x:c r="X53" s="109" t="n">
        <x:f>MEDIAN(E53:V53)</x:f>
        <x:v>9.4</x:v>
      </x:c>
      <x:c r="Y53" s="109" t="n">
        <x:f>PERCENTILE.INC(E53:V53,0.25)</x:f>
        <x:v>6.3</x:v>
      </x:c>
      <x:c r="Z53" s="109" t="n">
        <x:f>STDEV.P(E53:V53)</x:f>
        <x:v>8.96654508692438</x:v>
      </x:c>
      <x:c r="AA53" s="173" t="n">
        <x:f>IF(W53=0,"",Z53/ABS(W53))</x:f>
        <x:v>0.7538265490218805</x:v>
      </x:c>
      <x:c r="AB53" s="173" t="n">
        <x:f>IF(W53=0,0,(COUNTIF(E53:V53,"&lt;"&amp;0.5*W53)-COUNTBLANK(E53:V53))/COUNT(E53:V53))</x:f>
        <x:v>0.17647058823529413</x:v>
      </x:c>
      <x:c r="AC53" s="109" t="n">
        <x:f>SUM(E53:V53)</x:f>
        <x:v>202.21000000000004</x:v>
      </x:c>
    </x:row>
    <x:row r="54">
      <x:c r="A54" s="108" t="str">
        <x:v>RB</x:v>
      </x:c>
      <x:c r="B54" s="108" t="str">
        <x:v>Kenneth Walker III</x:v>
      </x:c>
      <x:c r="C54" s="108" t="str">
        <x:v>SEA</x:v>
      </x:c>
      <x:c r="D54" s="108" t="n">
        <x:v>8</x:v>
      </x:c>
      <x:c r="E54" s="109" t="n">
        <x:v>3.9</x:v>
      </x:c>
      <x:c r="F54" s="109" t="n">
        <x:v>18.3</x:v>
      </x:c>
      <x:c r="G54" s="109" t="n">
        <x:v>17.5</x:v>
      </x:c>
      <x:c r="H54" s="109" t="n">
        <x:v>11.5</x:v>
      </x:c>
      <x:c r="I54" s="109" t="n">
        <x:v>9.1</x:v>
      </x:c>
      <x:c r="J54" s="109" t="n">
        <x:v>4.2</x:v>
      </x:c>
      <x:c r="K54" s="109" t="n">
        <x:v>6.6</x:v>
      </x:c>
      <x:c r="L54" s="109"/>
      <x:c r="M54" s="109" t="n">
        <x:v>7.1</x:v>
      </x:c>
      <x:c r="N54" s="109" t="n">
        <x:v>7.5</x:v>
      </x:c>
      <x:c r="O54" s="109" t="n">
        <x:v>18.6</x:v>
      </x:c>
      <x:c r="P54" s="109" t="n">
        <x:v>11.6</x:v>
      </x:c>
      <x:c r="Q54" s="109" t="n">
        <x:v>8.9</x:v>
      </x:c>
      <x:c r="R54" s="109" t="n">
        <x:v>3.3</x:v>
      </x:c>
      <x:c r="S54" s="109" t="n">
        <x:v>2.4</x:v>
      </x:c>
      <x:c r="T54" s="109" t="n">
        <x:v>25.9</x:v>
      </x:c>
      <x:c r="U54" s="109" t="n">
        <x:v>6.2</x:v>
      </x:c>
      <x:c r="V54" s="109" t="n">
        <x:v>15.3</x:v>
      </x:c>
      <x:c r="W54" s="109" t="n">
        <x:f>AVERAGE(E54:V54)</x:f>
        <x:v>10.464705882352941</x:v>
      </x:c>
      <x:c r="X54" s="109" t="n">
        <x:f>MEDIAN(E54:V54)</x:f>
        <x:v>8.9</x:v>
      </x:c>
      <x:c r="Y54" s="109" t="n">
        <x:f>PERCENTILE.INC(E54:V54,0.25)</x:f>
        <x:v>6.2</x:v>
      </x:c>
      <x:c r="Z54" s="109" t="n">
        <x:f>STDEV.P(E54:V54)</x:f>
        <x:v>6.404588536764835</x:v>
      </x:c>
      <x:c r="AA54" s="173" t="n">
        <x:f>IF(W54=0,"",Z54/ABS(W54))</x:f>
        <x:v>0.6120180164418335</x:v>
      </x:c>
      <x:c r="AB54" s="173" t="n">
        <x:f>IF(W54=0,0,(COUNTIF(E54:V54,"&lt;"&amp;0.5*W54)-COUNTBLANK(E54:V54))/COUNT(E54:V54))</x:f>
        <x:v>0.23529411764705882</x:v>
      </x:c>
      <x:c r="AC54" s="109" t="n">
        <x:f>SUM(E54:V54)</x:f>
        <x:v>177.9</x:v>
      </x:c>
    </x:row>
    <x:row r="55">
      <x:c r="A55" s="108" t="str">
        <x:v>RB</x:v>
      </x:c>
      <x:c r="B55" s="108" t="str">
        <x:v>Tony Pollard</x:v>
      </x:c>
      <x:c r="C55" s="108" t="str">
        <x:v>TEN</x:v>
      </x:c>
      <x:c r="D55" s="108" t="n">
        <x:v>10</x:v>
      </x:c>
      <x:c r="E55" s="109" t="n">
        <x:v>7.4</x:v>
      </x:c>
      <x:c r="F55" s="109" t="n">
        <x:v>9.2</x:v>
      </x:c>
      <x:c r="G55" s="109" t="n">
        <x:v>12.9</x:v>
      </x:c>
      <x:c r="H55" s="109" t="n">
        <x:v>9.1</x:v>
      </x:c>
      <x:c r="I55" s="109" t="n">
        <x:v>13.3</x:v>
      </x:c>
      <x:c r="J55" s="109" t="n">
        <x:v>5.7</x:v>
      </x:c>
      <x:c r="K55" s="109" t="n">
        <x:v>9.1</x:v>
      </x:c>
      <x:c r="L55" s="109" t="n">
        <x:v>5.8</x:v>
      </x:c>
      <x:c r="M55" s="109" t="n">
        <x:v>7.3</x:v>
      </x:c>
      <x:c r="N55" s="109"/>
      <x:c r="O55" s="109" t="n">
        <x:v>4.1</x:v>
      </x:c>
      <x:c r="P55" s="109" t="n">
        <x:v>6.1</x:v>
      </x:c>
      <x:c r="Q55" s="109" t="n">
        <x:v>4.8</x:v>
      </x:c>
      <x:c r="R55" s="109" t="n">
        <x:v>30.1</x:v>
      </x:c>
      <x:c r="S55" s="109" t="n">
        <x:v>17.7</x:v>
      </x:c>
      <x:c r="T55" s="109" t="n">
        <x:v>9.7</x:v>
      </x:c>
      <x:c r="U55" s="109" t="n">
        <x:v>10.5</x:v>
      </x:c>
      <x:c r="V55" s="109" t="n">
        <x:v>8</x:v>
      </x:c>
      <x:c r="W55" s="109" t="n">
        <x:f>AVERAGE(E55:V55)</x:f>
        <x:v>10.04705882352941</x:v>
      </x:c>
      <x:c r="X55" s="109" t="n">
        <x:f>MEDIAN(E55:V55)</x:f>
        <x:v>9.1</x:v>
      </x:c>
      <x:c r="Y55" s="109" t="n">
        <x:f>PERCENTILE.INC(E55:V55,0.25)</x:f>
        <x:v>6.1</x:v>
      </x:c>
      <x:c r="Z55" s="109" t="n">
        <x:f>STDEV.P(E55:V55)</x:f>
        <x:v>6.0215414918205346</x:v>
      </x:c>
      <x:c r="AA55" s="173" t="n">
        <x:f>IF(W55=0,"",Z55/ABS(W55))</x:f>
        <x:v>0.5993337550406856</x:v>
      </x:c>
      <x:c r="AB55" s="173" t="n">
        <x:f>IF(W55=0,0,(COUNTIF(E55:V55,"&lt;"&amp;0.5*W55)-COUNTBLANK(E55:V55))/COUNT(E55:V55))</x:f>
        <x:v>0.11764705882352941</x:v>
      </x:c>
      <x:c r="AC55" s="109" t="n">
        <x:f>SUM(E55:V55)</x:f>
        <x:v>170.79999999999995</x:v>
      </x:c>
    </x:row>
    <x:row r="56">
      <x:c r="A56" s="108" t="str">
        <x:v>RB</x:v>
      </x:c>
      <x:c r="B56" s="108" t="str">
        <x:v>Breece Hall</x:v>
      </x:c>
      <x:c r="C56" s="108" t="str">
        <x:v>NYJ</x:v>
      </x:c>
      <x:c r="D56" s="108" t="n">
        <x:v>9</x:v>
      </x:c>
      <x:c r="E56" s="109" t="n">
        <x:v>15.5</x:v>
      </x:c>
      <x:c r="F56" s="109" t="n">
        <x:v>4.8</x:v>
      </x:c>
      <x:c r="G56" s="109" t="n">
        <x:v>7.2</x:v>
      </x:c>
      <x:c r="H56" s="109" t="n">
        <x:v>13.6</x:v>
      </x:c>
      <x:c r="I56" s="109" t="n">
        <x:v>15.5</x:v>
      </x:c>
      <x:c r="J56" s="109" t="n">
        <x:v>5.9</x:v>
      </x:c>
      <x:c r="K56" s="109" t="n">
        <x:v>6.2</x:v>
      </x:c>
      <x:c r="L56" s="109" t="n">
        <x:v>31.9</x:v>
      </x:c>
      <x:c r="M56" s="109"/>
      <x:c r="N56" s="109" t="n">
        <x:v>21</x:v>
      </x:c>
      <x:c r="O56" s="109" t="n">
        <x:v>7.4</x:v>
      </x:c>
      <x:c r="P56" s="109" t="n">
        <x:v>11.9</x:v>
      </x:c>
      <x:c r="Q56" s="109" t="n">
        <x:v>14.6</x:v>
      </x:c>
      <x:c r="R56" s="109" t="n">
        <x:v>4.3</x:v>
      </x:c>
      <x:c r="S56" s="109" t="n">
        <x:v>4.7</x:v>
      </x:c>
      <x:c r="T56" s="109" t="n">
        <x:v>7.3</x:v>
      </x:c>
      <x:c r="U56" s="109" t="n">
        <x:v>21.9</x:v>
      </x:c>
      <x:c r="V56" s="109" t="n">
        <x:v>0</x:v>
      </x:c>
      <x:c r="W56" s="109" t="n">
        <x:f>AVERAGE(E56:V56)</x:f>
        <x:v>11.394117647058824</x:v>
      </x:c>
      <x:c r="X56" s="109" t="n">
        <x:f>MEDIAN(E56:V56)</x:f>
        <x:v>7.4</x:v>
      </x:c>
      <x:c r="Y56" s="109" t="n">
        <x:f>PERCENTILE.INC(E56:V56,0.25)</x:f>
        <x:v>5.9</x:v>
      </x:c>
      <x:c r="Z56" s="109" t="n">
        <x:f>STDEV.P(E56:V56)</x:f>
        <x:v>7.85219868708461</x:v>
      </x:c>
      <x:c r="AA56" s="173" t="n">
        <x:f>IF(W56=0,"",Z56/ABS(W56))</x:f>
        <x:v>0.6891449544679317</x:v>
      </x:c>
      <x:c r="AB56" s="173" t="n">
        <x:f>IF(W56=0,0,(COUNTIF(E56:V56,"&lt;"&amp;0.5*W56)-COUNTBLANK(E56:V56))/COUNT(E56:V56))</x:f>
        <x:v>0.23529411764705882</x:v>
      </x:c>
      <x:c r="AC56" s="109" t="n">
        <x:f>SUM(E56:V56)</x:f>
        <x:v>193.70000000000002</x:v>
      </x:c>
    </x:row>
    <x:row r="57">
      <x:c r="A57" s="108" t="str">
        <x:v>RB</x:v>
      </x:c>
      <x:c r="B57" s="108" t="str">
        <x:v>Kenneth Gainwell</x:v>
      </x:c>
      <x:c r="C57" s="108" t="str">
        <x:v>PIT</x:v>
      </x:c>
      <x:c r="D57" s="108" t="n">
        <x:v>5</x:v>
      </x:c>
      <x:c r="E57" s="109" t="n">
        <x:v>4.29</x:v>
      </x:c>
      <x:c r="F57" s="109" t="n">
        <x:v>5.7</x:v>
      </x:c>
      <x:c r="G57" s="109" t="n">
        <x:v>9.91</x:v>
      </x:c>
      <x:c r="H57" s="109" t="n">
        <x:v>29.87</x:v>
      </x:c>
      <x:c r="I57" s="109"/>
      <x:c r="J57" s="109" t="n">
        <x:v>7.32</x:v>
      </x:c>
      <x:c r="K57" s="109" t="n">
        <x:v>5.14</x:v>
      </x:c>
      <x:c r="L57" s="109" t="n">
        <x:v>5.2</x:v>
      </x:c>
      <x:c r="M57" s="109" t="n">
        <x:v>5.4</x:v>
      </x:c>
      <x:c r="N57" s="109" t="n">
        <x:v>3.23</x:v>
      </x:c>
      <x:c r="O57" s="109" t="n">
        <x:v>26.72</x:v>
      </x:c>
      <x:c r="P57" s="109" t="n">
        <x:v>15.74</x:v>
      </x:c>
      <x:c r="Q57" s="109" t="n">
        <x:v>6.28</x:v>
      </x:c>
      <x:c r="R57" s="109" t="n">
        <x:v>15.27</x:v>
      </x:c>
      <x:c r="S57" s="109" t="n">
        <x:v>16.1</x:v>
      </x:c>
      <x:c r="T57" s="109" t="n">
        <x:v>24.77</x:v>
      </x:c>
      <x:c r="U57" s="109" t="n">
        <x:v>5.99</x:v>
      </x:c>
      <x:c r="V57" s="109" t="n">
        <x:v>18.36</x:v>
      </x:c>
      <x:c r="W57" s="109" t="n">
        <x:f>AVERAGE(E57:V57)</x:f>
        <x:v>12.075882352941179</x:v>
      </x:c>
      <x:c r="X57" s="109" t="n">
        <x:f>MEDIAN(E57:V57)</x:f>
        <x:v>7.32</x:v>
      </x:c>
      <x:c r="Y57" s="109" t="n">
        <x:f>PERCENTILE.INC(E57:V57,0.25)</x:f>
        <x:v>5.4</x:v>
      </x:c>
      <x:c r="Z57" s="109" t="n">
        <x:f>STDEV.P(E57:V57)</x:f>
        <x:v>8.362894277224932</x:v>
      </x:c>
      <x:c r="AA57" s="173" t="n">
        <x:f>IF(W57=0,"",Z57/ABS(W57))</x:f>
        <x:v>0.6925286312671042</x:v>
      </x:c>
      <x:c r="AB57" s="173" t="n">
        <x:f>IF(W57=0,0,(COUNTIF(E57:V57,"&lt;"&amp;0.5*W57)-COUNTBLANK(E57:V57))/COUNT(E57:V57))</x:f>
        <x:v>0.4117647058823529</x:v>
      </x:c>
      <x:c r="AC57" s="109" t="n">
        <x:f>SUM(E57:V57)</x:f>
        <x:v>205.29000000000002</x:v>
      </x:c>
    </x:row>
    <x:row r="58">
      <x:c r="A58" s="108" t="str">
        <x:v>RB</x:v>
      </x:c>
      <x:c r="B58" s="108" t="str">
        <x:v>Zach Charbonnet</x:v>
      </x:c>
      <x:c r="C58" s="108" t="str">
        <x:v>SEA</x:v>
      </x:c>
      <x:c r="D58" s="108" t="n">
        <x:v>8</x:v>
      </x:c>
      <x:c r="E58" s="109" t="n">
        <x:v>10.7</x:v>
      </x:c>
      <x:c r="F58" s="109" t="n">
        <x:v>1</x:v>
      </x:c>
      <x:c r="G58" s="109" t="n">
        <x:v>0</x:v>
      </x:c>
      <x:c r="H58" s="109" t="n">
        <x:v>11.4</x:v>
      </x:c>
      <x:c r="I58" s="109" t="n">
        <x:v>11.3</x:v>
      </x:c>
      <x:c r="J58" s="109" t="n">
        <x:v>4.2</x:v>
      </x:c>
      <x:c r="K58" s="109" t="n">
        <x:v>18.5</x:v>
      </x:c>
      <x:c r="L58" s="109"/>
      <x:c r="M58" s="109" t="n">
        <x:v>5.1</x:v>
      </x:c>
      <x:c r="N58" s="109" t="n">
        <x:v>14.3</x:v>
      </x:c>
      <x:c r="O58" s="109" t="n">
        <x:v>5.7</x:v>
      </x:c>
      <x:c r="P58" s="109" t="n">
        <x:v>9.5</x:v>
      </x:c>
      <x:c r="Q58" s="109" t="n">
        <x:v>11.2</x:v>
      </x:c>
      <x:c r="R58" s="109" t="n">
        <x:v>7.6</x:v>
      </x:c>
      <x:c r="S58" s="109" t="n">
        <x:v>3.1</x:v>
      </x:c>
      <x:c r="T58" s="109" t="n">
        <x:v>15.4</x:v>
      </x:c>
      <x:c r="U58" s="109" t="n">
        <x:v>25.2</x:v>
      </x:c>
      <x:c r="V58" s="109" t="n">
        <x:v>17.2</x:v>
      </x:c>
      <x:c r="W58" s="109" t="n">
        <x:f>AVERAGE(E58:V58)</x:f>
        <x:v>10.082352941176469</x:v>
      </x:c>
      <x:c r="X58" s="109" t="n">
        <x:f>MEDIAN(E58:V58)</x:f>
        <x:v>10.7</x:v>
      </x:c>
      <x:c r="Y58" s="109" t="n">
        <x:f>PERCENTILE.INC(E58:V58,0.25)</x:f>
        <x:v>5.1</x:v>
      </x:c>
      <x:c r="Z58" s="109" t="n">
        <x:f>STDEV.P(E58:V58)</x:f>
        <x:v>6.503414062142116</x:v>
      </x:c>
      <x:c r="AA58" s="173" t="n">
        <x:f>IF(W58=0,"",Z58/ABS(W58))</x:f>
        <x:v>0.6450293993956592</x:v>
      </x:c>
      <x:c r="AB58" s="173" t="n">
        <x:f>IF(W58=0,0,(COUNTIF(E58:V58,"&lt;"&amp;0.5*W58)-COUNTBLANK(E58:V58))/COUNT(E58:V58))</x:f>
        <x:v>0.23529411764705882</x:v>
      </x:c>
      <x:c r="AC58" s="109" t="n">
        <x:f>SUM(E58:V58)</x:f>
        <x:v>171.39999999999998</x:v>
      </x:c>
    </x:row>
    <x:row r="59">
      <x:c r="A59" s="108" t="str">
        <x:v>RB</x:v>
      </x:c>
      <x:c r="B59" s="108" t="str">
        <x:v>RJ Harvey</x:v>
      </x:c>
      <x:c r="C59" s="108" t="str">
        <x:v>DEN</x:v>
      </x:c>
      <x:c r="D59" s="108" t="n">
        <x:v>12</x:v>
      </x:c>
      <x:c r="E59" s="109" t="n">
        <x:v>7.4</x:v>
      </x:c>
      <x:c r="F59" s="109" t="n">
        <x:v>5</x:v>
      </x:c>
      <x:c r="G59" s="109" t="n">
        <x:v>3.91</x:v>
      </x:c>
      <x:c r="H59" s="109" t="n">
        <x:v>19.54</x:v>
      </x:c>
      <x:c r="I59" s="109" t="n">
        <x:v>6.99</x:v>
      </x:c>
      <x:c r="J59" s="109" t="n">
        <x:v>4.5</x:v>
      </x:c>
      <x:c r="K59" s="109" t="n">
        <x:v>6.7</x:v>
      </x:c>
      <x:c r="L59" s="109" t="n">
        <x:v>26.38</x:v>
      </x:c>
      <x:c r="M59" s="109" t="n">
        <x:v>15.72</x:v>
      </x:c>
      <x:c r="N59" s="109" t="n">
        <x:v>3.85</x:v>
      </x:c>
      <x:c r="O59" s="109" t="n">
        <x:v>6.5</x:v>
      </x:c>
      <x:c r="P59" s="109"/>
      <x:c r="Q59" s="109" t="n">
        <x:v>19.7</x:v>
      </x:c>
      <x:c r="R59" s="109" t="n">
        <x:v>19</x:v>
      </x:c>
      <x:c r="S59" s="109" t="n">
        <x:v>10.5</x:v>
      </x:c>
      <x:c r="T59" s="109" t="n">
        <x:v>20.1</x:v>
      </x:c>
      <x:c r="U59" s="109" t="n">
        <x:v>16.1</x:v>
      </x:c>
      <x:c r="V59" s="109" t="n">
        <x:v>3.8</x:v>
      </x:c>
      <x:c r="W59" s="109" t="n">
        <x:f>AVERAGE(E59:V59)</x:f>
        <x:v>11.511176470588236</x:v>
      </x:c>
      <x:c r="X59" s="109" t="n">
        <x:f>MEDIAN(E59:V59)</x:f>
        <x:v>7.4</x:v>
      </x:c>
      <x:c r="Y59" s="109" t="n">
        <x:f>PERCENTILE.INC(E59:V59,0.25)</x:f>
        <x:v>5</x:v>
      </x:c>
      <x:c r="Z59" s="109" t="n">
        <x:f>STDEV.P(E59:V59)</x:f>
        <x:v>7.1756654803931035</x:v>
      </x:c>
      <x:c r="AA59" s="173" t="n">
        <x:f>IF(W59=0,"",Z59/ABS(W59))</x:f>
        <x:v>0.6233650833802583</x:v>
      </x:c>
      <x:c r="AB59" s="173" t="n">
        <x:f>IF(W59=0,0,(COUNTIF(E59:V59,"&lt;"&amp;0.5*W59)-COUNTBLANK(E59:V59))/COUNT(E59:V59))</x:f>
        <x:v>0.29411764705882354</x:v>
      </x:c>
      <x:c r="AC59" s="109" t="n">
        <x:f>SUM(E59:V59)</x:f>
        <x:v>195.69</x:v>
      </x:c>
    </x:row>
    <x:row r="60">
      <x:c r="A60" s="108" t="str">
        <x:v>RB</x:v>
      </x:c>
      <x:c r="B60" s="108" t="str">
        <x:v>David Montgomery</x:v>
      </x:c>
      <x:c r="C60" s="108" t="str">
        <x:v>DET</x:v>
      </x:c>
      <x:c r="D60" s="108" t="n">
        <x:v>8</x:v>
      </x:c>
      <x:c r="E60" s="109" t="n">
        <x:v>6.3</x:v>
      </x:c>
      <x:c r="F60" s="109" t="n">
        <x:v>12.6</x:v>
      </x:c>
      <x:c r="G60" s="109" t="n">
        <x:v>28.9</x:v>
      </x:c>
      <x:c r="H60" s="109" t="n">
        <x:v>1.2</x:v>
      </x:c>
      <x:c r="I60" s="109" t="n">
        <x:v>17.75</x:v>
      </x:c>
      <x:c r="J60" s="109" t="n">
        <x:v>7.1</x:v>
      </x:c>
      <x:c r="K60" s="109" t="n">
        <x:v>4.9</x:v>
      </x:c>
      <x:c r="L60" s="109"/>
      <x:c r="M60" s="109" t="n">
        <x:v>10</x:v>
      </x:c>
      <x:c r="N60" s="109" t="n">
        <x:v>9.6</x:v>
      </x:c>
      <x:c r="O60" s="109" t="n">
        <x:v>4.2</x:v>
      </x:c>
      <x:c r="P60" s="109" t="n">
        <x:v>5.2</x:v>
      </x:c>
      <x:c r="Q60" s="109" t="n">
        <x:v>11.3</x:v>
      </x:c>
      <x:c r="R60" s="109" t="n">
        <x:v>13.8</x:v>
      </x:c>
      <x:c r="S60" s="109" t="n">
        <x:v>9.2</x:v>
      </x:c>
      <x:c r="T60" s="109" t="n">
        <x:v>1.4</x:v>
      </x:c>
      <x:c r="U60" s="109" t="n">
        <x:v>5</x:v>
      </x:c>
      <x:c r="V60" s="109" t="n">
        <x:v>5.5</x:v>
      </x:c>
      <x:c r="W60" s="109" t="n">
        <x:f>AVERAGE(E60:V60)</x:f>
        <x:v>9.055882352941175</x:v>
      </x:c>
      <x:c r="X60" s="109" t="n">
        <x:f>MEDIAN(E60:V60)</x:f>
        <x:v>7.1</x:v>
      </x:c>
      <x:c r="Y60" s="109" t="n">
        <x:f>PERCENTILE.INC(E60:V60,0.25)</x:f>
        <x:v>5</x:v>
      </x:c>
      <x:c r="Z60" s="109" t="n">
        <x:f>STDEV.P(E60:V60)</x:f>
        <x:v>6.540594557273042</x:v>
      </x:c>
      <x:c r="AA60" s="173" t="n">
        <x:f>IF(W60=0,"",Z60/ABS(W60))</x:f>
        <x:v>0.7222481810564582</x:v>
      </x:c>
      <x:c r="AB60" s="173" t="n">
        <x:f>IF(W60=0,0,(COUNTIF(E60:V60,"&lt;"&amp;0.5*W60)-COUNTBLANK(E60:V60))/COUNT(E60:V60))</x:f>
        <x:v>0.17647058823529413</x:v>
      </x:c>
      <x:c r="AC60" s="109" t="n">
        <x:f>SUM(E60:V60)</x:f>
        <x:v>153.95</x:v>
      </x:c>
    </x:row>
    <x:row r="61">
      <x:c r="A61" s="108" t="str">
        <x:v>RB</x:v>
      </x:c>
      <x:c r="B61" s="108" t="str">
        <x:v>TreVeyon Henderson</x:v>
      </x:c>
      <x:c r="C61" s="108" t="str">
        <x:v>NE</x:v>
      </x:c>
      <x:c r="D61" s="108" t="n">
        <x:v>14</x:v>
      </x:c>
      <x:c r="E61" s="109" t="n">
        <x:v>9.39</x:v>
      </x:c>
      <x:c r="F61" s="109" t="n">
        <x:v>5</x:v>
      </x:c>
      <x:c r="G61" s="109" t="n">
        <x:v>8.24</x:v>
      </x:c>
      <x:c r="H61" s="109" t="n">
        <x:v>12.2</x:v>
      </x:c>
      <x:c r="I61" s="109" t="n">
        <x:v>4.39</x:v>
      </x:c>
      <x:c r="J61" s="109" t="n">
        <x:v>4.1</x:v>
      </x:c>
      <x:c r="K61" s="109" t="n">
        <x:v>0.5</x:v>
      </x:c>
      <x:c r="L61" s="109" t="n">
        <x:v>7.15</x:v>
      </x:c>
      <x:c r="M61" s="109" t="n">
        <x:v>10.7</x:v>
      </x:c>
      <x:c r="N61" s="109" t="n">
        <x:v>31.5</x:v>
      </x:c>
      <x:c r="O61" s="109" t="n">
        <x:v>29.8</x:v>
      </x:c>
      <x:c r="P61" s="109" t="n">
        <x:v>9.6</x:v>
      </x:c>
      <x:c r="Q61" s="109" t="n">
        <x:v>10.1</x:v>
      </x:c>
      <x:c r="R61" s="109"/>
      <x:c r="S61" s="109" t="n">
        <x:v>33.1</x:v>
      </x:c>
      <x:c r="T61" s="109" t="n">
        <x:v>1.7</x:v>
      </x:c>
      <x:c r="U61" s="109" t="n">
        <x:v>8.2</x:v>
      </x:c>
      <x:c r="V61" s="109" t="n">
        <x:v>17.3</x:v>
      </x:c>
      <x:c r="W61" s="109" t="n">
        <x:f>AVERAGE(E61:V61)</x:f>
        <x:v>11.93941176470588</x:v>
      </x:c>
      <x:c r="X61" s="109" t="n">
        <x:f>MEDIAN(E61:V61)</x:f>
        <x:v>9.39</x:v>
      </x:c>
      <x:c r="Y61" s="109" t="n">
        <x:f>PERCENTILE.INC(E61:V61,0.25)</x:f>
        <x:v>5</x:v>
      </x:c>
      <x:c r="Z61" s="109" t="n">
        <x:f>STDEV.P(E61:V61)</x:f>
        <x:v>9.845876694803433</x:v>
      </x:c>
      <x:c r="AA61" s="173" t="n">
        <x:f>IF(W61=0,"",Z61/ABS(W61))</x:f>
        <x:v>0.8246534158331694</x:v>
      </x:c>
      <x:c r="AB61" s="173" t="n">
        <x:f>IF(W61=0,0,(COUNTIF(E61:V61,"&lt;"&amp;0.5*W61)-COUNTBLANK(E61:V61))/COUNT(E61:V61))</x:f>
        <x:v>0.29411764705882354</x:v>
      </x:c>
      <x:c r="AC61" s="109" t="n">
        <x:f>SUM(E61:V61)</x:f>
        <x:v>202.96999999999997</x:v>
      </x:c>
    </x:row>
    <x:row r="62">
      <x:c r="A62" s="108" t="str">
        <x:v>RB</x:v>
      </x:c>
      <x:c r="B62" s="108" t="str">
        <x:v>Tyrone Tracy Jr.</x:v>
      </x:c>
      <x:c r="C62" s="108" t="str">
        <x:v>NYG</x:v>
      </x:c>
      <x:c r="D62" s="108" t="n">
        <x:v>14</x:v>
      </x:c>
      <x:c r="E62" s="109" t="n">
        <x:v>4.5</x:v>
      </x:c>
      <x:c r="F62" s="109" t="n">
        <x:v>11.06</x:v>
      </x:c>
      <x:c r="G62" s="109" t="n">
        <x:v>4.6</x:v>
      </x:c>
      <x:c r="H62" s="109" t="n">
        <x:v>0</x:v>
      </x:c>
      <x:c r="I62" s="109" t="n">
        <x:v>0</x:v>
      </x:c>
      <x:c r="J62" s="109" t="n">
        <x:v>0.6</x:v>
      </x:c>
      <x:c r="K62" s="109" t="n">
        <x:v>10.6</x:v>
      </x:c>
      <x:c r="L62" s="109" t="n">
        <x:v>6.3</x:v>
      </x:c>
      <x:c r="M62" s="109" t="n">
        <x:v>5.2</x:v>
      </x:c>
      <x:c r="N62" s="109" t="n">
        <x:v>7.6</x:v>
      </x:c>
      <x:c r="O62" s="109" t="n">
        <x:v>15.9</x:v>
      </x:c>
      <x:c r="P62" s="109" t="n">
        <x:v>14.5</x:v>
      </x:c>
      <x:c r="Q62" s="109" t="n">
        <x:v>3.8</x:v>
      </x:c>
      <x:c r="R62" s="109"/>
      <x:c r="S62" s="109" t="n">
        <x:v>23.2</x:v>
      </x:c>
      <x:c r="T62" s="109" t="n">
        <x:v>8.8</x:v>
      </x:c>
      <x:c r="U62" s="109" t="n">
        <x:v>6.2</x:v>
      </x:c>
      <x:c r="V62" s="109" t="n">
        <x:v>23.9</x:v>
      </x:c>
      <x:c r="W62" s="109" t="n">
        <x:f>AVERAGE(E62:V62)</x:f>
        <x:v>8.632941176470588</x:v>
      </x:c>
      <x:c r="X62" s="109" t="n">
        <x:f>MEDIAN(E62:V62)</x:f>
        <x:v>6.3</x:v>
      </x:c>
      <x:c r="Y62" s="109" t="n">
        <x:f>PERCENTILE.INC(E62:V62,0.25)</x:f>
        <x:v>4.5</x:v>
      </x:c>
      <x:c r="Z62" s="109" t="n">
        <x:f>STDEV.P(E62:V62)</x:f>
        <x:v>7.015961436531185</x:v>
      </x:c>
      <x:c r="AA62" s="173" t="n">
        <x:f>IF(W62=0,"",Z62/ABS(W62))</x:f>
        <x:v>0.8126965414352013</x:v>
      </x:c>
      <x:c r="AB62" s="173" t="n">
        <x:f>IF(W62=0,0,(COUNTIF(E62:V62,"&lt;"&amp;0.5*W62)-COUNTBLANK(E62:V62))/COUNT(E62:V62))</x:f>
        <x:v>0.23529411764705882</x:v>
      </x:c>
      <x:c r="AC62" s="109" t="n">
        <x:f>SUM(E62:V62)</x:f>
        <x:v>146.76</x:v>
      </x:c>
    </x:row>
    <x:row r="63">
      <x:c r="A63" s="108" t="str">
        <x:v>RB</x:v>
      </x:c>
      <x:c r="B63" s="108" t="str">
        <x:v>Rachaad White</x:v>
      </x:c>
      <x:c r="C63" s="108" t="str">
        <x:v>TB</x:v>
      </x:c>
      <x:c r="D63" s="108" t="n">
        <x:v>9</x:v>
      </x:c>
      <x:c r="E63" s="109" t="n">
        <x:v>2.1</x:v>
      </x:c>
      <x:c r="F63" s="109" t="n">
        <x:v>13.6</x:v>
      </x:c>
      <x:c r="G63" s="109" t="n">
        <x:v>1.9</x:v>
      </x:c>
      <x:c r="H63" s="109" t="n">
        <x:v>6.6</x:v>
      </x:c>
      <x:c r="I63" s="109" t="n">
        <x:v>21.1</x:v>
      </x:c>
      <x:c r="J63" s="109" t="n">
        <x:v>16.1</x:v>
      </x:c>
      <x:c r="K63" s="109" t="n">
        <x:v>6.4</x:v>
      </x:c>
      <x:c r="L63" s="109" t="n">
        <x:v>7.1</x:v>
      </x:c>
      <x:c r="M63" s="109"/>
      <x:c r="N63" s="109" t="n">
        <x:v>7.9</x:v>
      </x:c>
      <x:c r="O63" s="109" t="n">
        <x:v>7.2</x:v>
      </x:c>
      <x:c r="P63" s="109" t="n">
        <x:v>4.7</x:v>
      </x:c>
      <x:c r="Q63" s="109" t="n">
        <x:v>4.4</x:v>
      </x:c>
      <x:c r="R63" s="109" t="n">
        <x:v>6</x:v>
      </x:c>
      <x:c r="S63" s="109" t="n">
        <x:v>3.1</x:v>
      </x:c>
      <x:c r="T63" s="109" t="n">
        <x:v>7</x:v>
      </x:c>
      <x:c r="U63" s="109" t="n">
        <x:v>2.7</x:v>
      </x:c>
      <x:c r="V63" s="109" t="n">
        <x:v>5.1</x:v>
      </x:c>
      <x:c r="W63" s="109" t="n">
        <x:f>AVERAGE(E63:V63)</x:f>
        <x:v>7.235294117647059</x:v>
      </x:c>
      <x:c r="X63" s="109" t="n">
        <x:f>MEDIAN(E63:V63)</x:f>
        <x:v>6.4</x:v>
      </x:c>
      <x:c r="Y63" s="109" t="n">
        <x:f>PERCENTILE.INC(E63:V63,0.25)</x:f>
        <x:v>4.4</x:v>
      </x:c>
      <x:c r="Z63" s="109" t="n">
        <x:f>STDEV.P(E63:V63)</x:f>
        <x:v>5.005871984505749</x:v>
      </x:c>
      <x:c r="AA63" s="173" t="n">
        <x:f>IF(W63=0,"",Z63/ABS(W63))</x:f>
        <x:v>0.6918684856633962</x:v>
      </x:c>
      <x:c r="AB63" s="173" t="n">
        <x:f>IF(W63=0,0,(COUNTIF(E63:V63,"&lt;"&amp;0.5*W63)-COUNTBLANK(E63:V63))/COUNT(E63:V63))</x:f>
        <x:v>0.23529411764705882</x:v>
      </x:c>
      <x:c r="AC63" s="109" t="n">
        <x:f>SUM(E63:V63)</x:f>
        <x:v>123</x:v>
      </x:c>
    </x:row>
    <x:row r="64">
      <x:c r="A64" s="108" t="str">
        <x:v>RB</x:v>
      </x:c>
      <x:c r="B64" s="108" t="str">
        <x:v>Woody Marks</x:v>
      </x:c>
      <x:c r="C64" s="108" t="str">
        <x:v>HOU</x:v>
      </x:c>
      <x:c r="D64" s="108" t="n">
        <x:v>6</x:v>
      </x:c>
      <x:c r="E64" s="109" t="n">
        <x:v>0.3</x:v>
      </x:c>
      <x:c r="F64" s="109" t="n">
        <x:v>5.6</x:v>
      </x:c>
      <x:c r="G64" s="109" t="n">
        <x:v>4.1</x:v>
      </x:c>
      <x:c r="H64" s="109" t="n">
        <x:v>25.9</x:v>
      </x:c>
      <x:c r="I64" s="109" t="n">
        <x:v>2.4</x:v>
      </x:c>
      <x:c r="J64" s="109"/>
      <x:c r="K64" s="109" t="n">
        <x:v>11</x:v>
      </x:c>
      <x:c r="L64" s="109" t="n">
        <x:v>13.1</x:v>
      </x:c>
      <x:c r="M64" s="109" t="n">
        <x:v>2.7</x:v>
      </x:c>
      <x:c r="N64" s="109" t="n">
        <x:v>15.1</x:v>
      </x:c>
      <x:c r="O64" s="109" t="n">
        <x:v>5.6</x:v>
      </x:c>
      <x:c r="P64" s="109" t="n">
        <x:v>7.4</x:v>
      </x:c>
      <x:c r="Q64" s="109" t="n">
        <x:v>6.7</x:v>
      </x:c>
      <x:c r="R64" s="109" t="n">
        <x:v>14.6</x:v>
      </x:c>
      <x:c r="S64" s="109" t="n">
        <x:v>10.3</x:v>
      </x:c>
      <x:c r="T64" s="109" t="n">
        <x:v>0</x:v>
      </x:c>
      <x:c r="U64" s="109" t="n">
        <x:v>8</x:v>
      </x:c>
      <x:c r="V64" s="109" t="n">
        <x:v>5.8</x:v>
      </x:c>
      <x:c r="W64" s="109" t="n">
        <x:f>AVERAGE(E64:V64)</x:f>
        <x:v>8.152941176470588</x:v>
      </x:c>
      <x:c r="X64" s="109" t="n">
        <x:f>MEDIAN(E64:V64)</x:f>
        <x:v>6.7</x:v>
      </x:c>
      <x:c r="Y64" s="109" t="n">
        <x:f>PERCENTILE.INC(E64:V64,0.25)</x:f>
        <x:v>4.1</x:v>
      </x:c>
      <x:c r="Z64" s="109" t="n">
        <x:f>STDEV.P(E64:V64)</x:f>
        <x:v>6.280887689889892</x:v>
      </x:c>
      <x:c r="AA64" s="173" t="n">
        <x:f>IF(W64=0,"",Z64/ABS(W64))</x:f>
        <x:v>0.7703830499864948</x:v>
      </x:c>
      <x:c r="AB64" s="173" t="n">
        <x:f>IF(W64=0,0,(COUNTIF(E64:V64,"&lt;"&amp;0.5*W64)-COUNTBLANK(E64:V64))/COUNT(E64:V64))</x:f>
        <x:v>0.23529411764705882</x:v>
      </x:c>
      <x:c r="AC64" s="109" t="n">
        <x:f>SUM(E64:V64)</x:f>
        <x:v>138.6</x:v>
      </x:c>
    </x:row>
    <x:row r="65">
      <x:c r="A65" s="108" t="str">
        <x:v>RB</x:v>
      </x:c>
      <x:c r="B65" s="108" t="str">
        <x:v>Josh Jacobs</x:v>
      </x:c>
      <x:c r="C65" s="108" t="str">
        <x:v>GB</x:v>
      </x:c>
      <x:c r="D65" s="108" t="n">
        <x:v>5</x:v>
      </x:c>
      <x:c r="E65" s="109" t="n">
        <x:v>13.5</x:v>
      </x:c>
      <x:c r="F65" s="109" t="n">
        <x:v>14.4</x:v>
      </x:c>
      <x:c r="G65" s="109" t="n">
        <x:v>9.4</x:v>
      </x:c>
      <x:c r="H65" s="109" t="n">
        <x:v>29.7</x:v>
      </x:c>
      <x:c r="I65" s="109"/>
      <x:c r="J65" s="109" t="n">
        <x:v>29.5</x:v>
      </x:c>
      <x:c r="K65" s="109" t="n">
        <x:v>18.3</x:v>
      </x:c>
      <x:c r="L65" s="109" t="n">
        <x:v>12</x:v>
      </x:c>
      <x:c r="M65" s="109" t="n">
        <x:v>18</x:v>
      </x:c>
      <x:c r="N65" s="109" t="n">
        <x:v>17.2</x:v>
      </x:c>
      <x:c r="O65" s="109" t="n">
        <x:v>4</x:v>
      </x:c>
      <x:c r="P65" s="109" t="n">
        <x:v>0</x:v>
      </x:c>
      <x:c r="Q65" s="109" t="n">
        <x:v>9.6</x:v>
      </x:c>
      <x:c r="R65" s="109" t="n">
        <x:v>16.2</x:v>
      </x:c>
      <x:c r="S65" s="109" t="n">
        <x:v>24.2</x:v>
      </x:c>
      <x:c r="T65" s="109" t="n">
        <x:v>3.8</x:v>
      </x:c>
      <x:c r="U65" s="109" t="n">
        <x:v>0.8</x:v>
      </x:c>
      <x:c r="V65" s="109" t="n">
        <x:v>0</x:v>
      </x:c>
      <x:c r="W65" s="109" t="n">
        <x:f>AVERAGE(E65:V65)</x:f>
        <x:v>12.976470588235294</x:v>
      </x:c>
      <x:c r="X65" s="109" t="n">
        <x:f>MEDIAN(E65:V65)</x:f>
        <x:v>13.5</x:v>
      </x:c>
      <x:c r="Y65" s="109" t="n">
        <x:f>PERCENTILE.INC(E65:V65,0.25)</x:f>
        <x:v>4</x:v>
      </x:c>
      <x:c r="Z65" s="109" t="n">
        <x:f>STDEV.P(E65:V65)</x:f>
        <x:v>9.196388639778162</x:v>
      </x:c>
      <x:c r="AA65" s="173" t="n">
        <x:f>IF(W65=0,"",Z65/ABS(W65))</x:f>
        <x:v>0.7086972206538021</x:v>
      </x:c>
      <x:c r="AB65" s="173" t="n">
        <x:f>IF(W65=0,0,(COUNTIF(E65:V65,"&lt;"&amp;0.5*W65)-COUNTBLANK(E65:V65))/COUNT(E65:V65))</x:f>
        <x:v>0.29411764705882354</x:v>
      </x:c>
      <x:c r="AC65" s="109" t="n">
        <x:f>SUM(E65:V65)</x:f>
        <x:v>220.6</x:v>
      </x:c>
    </x:row>
    <x:row r="66">
      <x:c r="A66" s="108" t="str">
        <x:v>RB</x:v>
      </x:c>
      <x:c r="B66" s="108" t="str">
        <x:v>Kareem Hunt</x:v>
      </x:c>
      <x:c r="C66" s="108" t="str">
        <x:v>KC</x:v>
      </x:c>
      <x:c r="D66" s="108" t="n">
        <x:v>10</x:v>
      </x:c>
      <x:c r="E66" s="109" t="n">
        <x:v>3.6</x:v>
      </x:c>
      <x:c r="F66" s="109" t="n">
        <x:v>3.4</x:v>
      </x:c>
      <x:c r="G66" s="109" t="n">
        <x:v>10.9</x:v>
      </x:c>
      <x:c r="H66" s="109" t="n">
        <x:v>5.2</x:v>
      </x:c>
      <x:c r="I66" s="109" t="n">
        <x:v>18.2</x:v>
      </x:c>
      <x:c r="J66" s="109" t="n">
        <x:v>3.9</x:v>
      </x:c>
      <x:c r="K66" s="109" t="n">
        <x:v>1.8</x:v>
      </x:c>
      <x:c r="L66" s="109" t="n">
        <x:v>16.7</x:v>
      </x:c>
      <x:c r="M66" s="109" t="n">
        <x:v>12</x:v>
      </x:c>
      <x:c r="N66" s="109"/>
      <x:c r="O66" s="109" t="n">
        <x:v>12.7</x:v>
      </x:c>
      <x:c r="P66" s="109" t="n">
        <x:v>18.5</x:v>
      </x:c>
      <x:c r="Q66" s="109" t="n">
        <x:v>8.5</x:v>
      </x:c>
      <x:c r="R66" s="109" t="n">
        <x:v>9</x:v>
      </x:c>
      <x:c r="S66" s="109" t="n">
        <x:v>2.5</x:v>
      </x:c>
      <x:c r="T66" s="109" t="n">
        <x:v>0.2</x:v>
      </x:c>
      <x:c r="U66" s="109" t="n">
        <x:v>3.8</x:v>
      </x:c>
      <x:c r="V66" s="109" t="n">
        <x:v>5</x:v>
      </x:c>
      <x:c r="W66" s="109" t="n">
        <x:f>AVERAGE(E66:V66)</x:f>
        <x:v>7.9941176470588236</x:v>
      </x:c>
      <x:c r="X66" s="109" t="n">
        <x:f>MEDIAN(E66:V66)</x:f>
        <x:v>5.2</x:v>
      </x:c>
      <x:c r="Y66" s="109" t="n">
        <x:f>PERCENTILE.INC(E66:V66,0.25)</x:f>
        <x:v>3.6</x:v>
      </x:c>
      <x:c r="Z66" s="109" t="n">
        <x:f>STDEV.P(E66:V66)</x:f>
        <x:v>5.734669649261338</x:v>
      </x:c>
      <x:c r="AA66" s="173" t="n">
        <x:f>IF(W66=0,"",Z66/ABS(W66))</x:f>
        <x:v>0.7173611776117936</x:v>
      </x:c>
      <x:c r="AB66" s="173" t="n">
        <x:f>IF(W66=0,0,(COUNTIF(E66:V66,"&lt;"&amp;0.5*W66)-COUNTBLANK(E66:V66))/COUNT(E66:V66))</x:f>
        <x:v>0.4117647058823529</x:v>
      </x:c>
      <x:c r="AC66" s="109" t="n">
        <x:f>SUM(E66:V66)</x:f>
        <x:v>135.9</x:v>
      </x:c>
    </x:row>
    <x:row r="67">
      <x:c r="A67" s="108" t="str">
        <x:v>RB</x:v>
      </x:c>
      <x:c r="B67" s="108" t="str">
        <x:v>Jordan Mason</x:v>
      </x:c>
      <x:c r="C67" s="108" t="str">
        <x:v>MIN</x:v>
      </x:c>
      <x:c r="D67" s="108" t="n">
        <x:v>6</x:v>
      </x:c>
      <x:c r="E67" s="109" t="n">
        <x:v>8</x:v>
      </x:c>
      <x:c r="F67" s="109" t="n">
        <x:v>4.8</x:v>
      </x:c>
      <x:c r="G67" s="109" t="n">
        <x:v>23.6</x:v>
      </x:c>
      <x:c r="H67" s="109" t="n">
        <x:v>8.2</x:v>
      </x:c>
      <x:c r="I67" s="109" t="n">
        <x:v>11.1</x:v>
      </x:c>
      <x:c r="J67" s="109"/>
      <x:c r="K67" s="109" t="n">
        <x:v>11.7</x:v>
      </x:c>
      <x:c r="L67" s="109" t="n">
        <x:v>1.1</x:v>
      </x:c>
      <x:c r="M67" s="109" t="n">
        <x:v>4.2</x:v>
      </x:c>
      <x:c r="N67" s="109" t="n">
        <x:v>3.6</x:v>
      </x:c>
      <x:c r="O67" s="109" t="n">
        <x:v>10.5</x:v>
      </x:c>
      <x:c r="P67" s="109" t="n">
        <x:v>4.2</x:v>
      </x:c>
      <x:c r="Q67" s="109" t="n">
        <x:v>4.8</x:v>
      </x:c>
      <x:c r="R67" s="109" t="n">
        <x:v>11.2</x:v>
      </x:c>
      <x:c r="S67" s="109" t="n">
        <x:v>2.9</x:v>
      </x:c>
      <x:c r="T67" s="109" t="n">
        <x:v>1.6</x:v>
      </x:c>
      <x:c r="U67" s="109" t="n">
        <x:v>0</x:v>
      </x:c>
      <x:c r="V67" s="109" t="n">
        <x:v>9.4</x:v>
      </x:c>
      <x:c r="W67" s="109" t="n">
        <x:f>AVERAGE(E67:V67)</x:f>
        <x:v>7.111764705882353</x:v>
      </x:c>
      <x:c r="X67" s="109" t="n">
        <x:f>MEDIAN(E67:V67)</x:f>
        <x:v>4.8</x:v>
      </x:c>
      <x:c r="Y67" s="109" t="n">
        <x:f>PERCENTILE.INC(E67:V67,0.25)</x:f>
        <x:v>3.6</x:v>
      </x:c>
      <x:c r="Z67" s="109" t="n">
        <x:f>STDEV.P(E67:V67)</x:f>
        <x:v>5.525543077162447</x:v>
      </x:c>
      <x:c r="AA67" s="173" t="n">
        <x:f>IF(W67=0,"",Z67/ABS(W67))</x:f>
        <x:v>0.7769580836373995</x:v>
      </x:c>
      <x:c r="AB67" s="173" t="n">
        <x:f>IF(W67=0,0,(COUNTIF(E67:V67,"&lt;"&amp;0.5*W67)-COUNTBLANK(E67:V67))/COUNT(E67:V67))</x:f>
        <x:v>0.23529411764705882</x:v>
      </x:c>
      <x:c r="AC67" s="109" t="n">
        <x:f>SUM(E67:V67)</x:f>
        <x:v>120.9</x:v>
      </x:c>
    </x:row>
    <x:row r="68">
      <x:c r="A68" s="108" t="str">
        <x:v>RB</x:v>
      </x:c>
      <x:c r="B68" s="108" t="str">
        <x:v>Kyle Monangai</x:v>
      </x:c>
      <x:c r="C68" s="108" t="str">
        <x:v>CHI</x:v>
      </x:c>
      <x:c r="D68" s="108" t="n">
        <x:v>5</x:v>
      </x:c>
      <x:c r="E68" s="109" t="n">
        <x:v>1.6</x:v>
      </x:c>
      <x:c r="F68" s="109" t="n">
        <x:v>4.1</x:v>
      </x:c>
      <x:c r="G68" s="109" t="n">
        <x:v>2.5</x:v>
      </x:c>
      <x:c r="H68" s="109" t="n">
        <x:v>1.8</x:v>
      </x:c>
      <x:c r="I68" s="109"/>
      <x:c r="J68" s="109" t="n">
        <x:v>4.9</x:v>
      </x:c>
      <x:c r="K68" s="109" t="n">
        <x:v>16.4</x:v>
      </x:c>
      <x:c r="L68" s="109" t="n">
        <x:v>2.4</x:v>
      </x:c>
      <x:c r="M68" s="109" t="n">
        <x:v>21.3</x:v>
      </x:c>
      <x:c r="N68" s="109" t="n">
        <x:v>8.8</x:v>
      </x:c>
      <x:c r="O68" s="109" t="n">
        <x:v>10.2</x:v>
      </x:c>
      <x:c r="P68" s="109" t="n">
        <x:v>10.8</x:v>
      </x:c>
      <x:c r="Q68" s="109" t="n">
        <x:v>19</x:v>
      </x:c>
      <x:c r="R68" s="109" t="n">
        <x:v>8.2</x:v>
      </x:c>
      <x:c r="S68" s="109" t="n">
        <x:v>3.3</x:v>
      </x:c>
      <x:c r="T68" s="109" t="n">
        <x:v>10.8</x:v>
      </x:c>
      <x:c r="U68" s="109" t="n">
        <x:v>6.2</x:v>
      </x:c>
      <x:c r="V68" s="109" t="n">
        <x:v>5.4</x:v>
      </x:c>
      <x:c r="W68" s="109" t="n">
        <x:f>AVERAGE(E68:V68)</x:f>
        <x:v>8.1</x:v>
      </x:c>
      <x:c r="X68" s="109" t="n">
        <x:f>MEDIAN(E68:V68)</x:f>
        <x:v>6.2</x:v>
      </x:c>
      <x:c r="Y68" s="109" t="n">
        <x:f>PERCENTILE.INC(E68:V68,0.25)</x:f>
        <x:v>3.3</x:v>
      </x:c>
      <x:c r="Z68" s="109" t="n">
        <x:f>STDEV.P(E68:V68)</x:f>
        <x:v>5.878174986887562</x:v>
      </x:c>
      <x:c r="AA68" s="173" t="n">
        <x:f>IF(W68=0,"",Z68/ABS(W68))</x:f>
        <x:v>0.7257006156651312</x:v>
      </x:c>
      <x:c r="AB68" s="173" t="n">
        <x:f>IF(W68=0,0,(COUNTIF(E68:V68,"&lt;"&amp;0.5*W68)-COUNTBLANK(E68:V68))/COUNT(E68:V68))</x:f>
        <x:v>0.29411764705882354</x:v>
      </x:c>
      <x:c r="AC68" s="109" t="n">
        <x:f>SUM(E68:V68)</x:f>
        <x:v>137.7</x:v>
      </x:c>
    </x:row>
    <x:row r="69">
      <x:c r="A69" s="108" t="str">
        <x:v>RB</x:v>
      </x:c>
      <x:c r="B69" s="108" t="str">
        <x:v>Quinshon Judkins</x:v>
      </x:c>
      <x:c r="C69" s="108" t="str">
        <x:v>CLE</x:v>
      </x:c>
      <x:c r="D69" s="108" t="n">
        <x:v>9</x:v>
      </x:c>
      <x:c r="E69" s="109" t="n">
        <x:v>0</x:v>
      </x:c>
      <x:c r="F69" s="109" t="n">
        <x:v>8.6</x:v>
      </x:c>
      <x:c r="G69" s="109" t="n">
        <x:v>16</x:v>
      </x:c>
      <x:c r="H69" s="109" t="n">
        <x:v>19.5</x:v>
      </x:c>
      <x:c r="I69" s="109" t="n">
        <x:v>13.3</x:v>
      </x:c>
      <x:c r="J69" s="109" t="n">
        <x:v>3.6</x:v>
      </x:c>
      <x:c r="K69" s="109" t="n">
        <x:v>28.4</x:v>
      </x:c>
      <x:c r="L69" s="109" t="n">
        <x:v>3.2</x:v>
      </x:c>
      <x:c r="M69" s="109"/>
      <x:c r="N69" s="109" t="n">
        <x:v>9.5</x:v>
      </x:c>
      <x:c r="O69" s="109" t="n">
        <x:v>5.9</x:v>
      </x:c>
      <x:c r="P69" s="109" t="n">
        <x:v>16.7</x:v>
      </x:c>
      <x:c r="Q69" s="109" t="n">
        <x:v>14.4</x:v>
      </x:c>
      <x:c r="R69" s="109" t="n">
        <x:v>8.9</x:v>
      </x:c>
      <x:c r="S69" s="109" t="n">
        <x:v>3.2</x:v>
      </x:c>
      <x:c r="T69" s="109" t="n">
        <x:v>7.6</x:v>
      </x:c>
      <x:c r="U69" s="109" t="n">
        <x:v>0</x:v>
      </x:c>
      <x:c r="V69" s="109" t="n">
        <x:v>0</x:v>
      </x:c>
      <x:c r="W69" s="109" t="n">
        <x:f>AVERAGE(E69:V69)</x:f>
        <x:v>9.341176470588236</x:v>
      </x:c>
      <x:c r="X69" s="109" t="n">
        <x:f>MEDIAN(E69:V69)</x:f>
        <x:v>8.6</x:v>
      </x:c>
      <x:c r="Y69" s="109" t="n">
        <x:f>PERCENTILE.INC(E69:V69,0.25)</x:f>
        <x:v>3.2</x:v>
      </x:c>
      <x:c r="Z69" s="109" t="n">
        <x:f>STDEV.P(E69:V69)</x:f>
        <x:v>7.638914214770502</x:v>
      </x:c>
      <x:c r="AA69" s="173" t="n">
        <x:f>IF(W69=0,"",Z69/ABS(W69))</x:f>
        <x:v>0.8177678945283282</x:v>
      </x:c>
      <x:c r="AB69" s="173" t="n">
        <x:f>IF(W69=0,0,(COUNTIF(E69:V69,"&lt;"&amp;0.5*W69)-COUNTBLANK(E69:V69))/COUNT(E69:V69))</x:f>
        <x:v>0.35294117647058826</x:v>
      </x:c>
      <x:c r="AC69" s="109" t="n">
        <x:f>SUM(E69:V69)</x:f>
        <x:v>158.8</x:v>
      </x:c>
    </x:row>
    <x:row r="70">
      <x:c r="A70" s="108" t="str">
        <x:v>RB</x:v>
      </x:c>
      <x:c r="B70" s="108" t="str">
        <x:v>Jacory Croskey-Merritt</x:v>
      </x:c>
      <x:c r="C70" s="108" t="str">
        <x:v>WSH</x:v>
      </x:c>
      <x:c r="D70" s="108" t="n">
        <x:v>12</x:v>
      </x:c>
      <x:c r="E70" s="109" t="n">
        <x:v>14.2</x:v>
      </x:c>
      <x:c r="F70" s="109" t="n">
        <x:v>1.7</x:v>
      </x:c>
      <x:c r="G70" s="109" t="n">
        <x:v>9.6</x:v>
      </x:c>
      <x:c r="H70" s="109" t="n">
        <x:v>6.7</x:v>
      </x:c>
      <x:c r="I70" s="109" t="n">
        <x:v>26</x:v>
      </x:c>
      <x:c r="J70" s="109" t="n">
        <x:v>5.3</x:v>
      </x:c>
      <x:c r="K70" s="109" t="n">
        <x:v>3.7</x:v>
      </x:c>
      <x:c r="L70" s="109" t="n">
        <x:v>2.5</x:v>
      </x:c>
      <x:c r="M70" s="109" t="n">
        <x:v>4.6</x:v>
      </x:c>
      <x:c r="N70" s="109" t="n">
        <x:v>3</x:v>
      </x:c>
      <x:c r="O70" s="109" t="n">
        <x:v>3.8</x:v>
      </x:c>
      <x:c r="P70" s="109"/>
      <x:c r="Q70" s="109" t="n">
        <x:v>2</x:v>
      </x:c>
      <x:c r="R70" s="109" t="n">
        <x:v>3.2</x:v>
      </x:c>
      <x:c r="S70" s="109" t="n">
        <x:v>15.1</x:v>
      </x:c>
      <x:c r="T70" s="109" t="n">
        <x:v>8.5</x:v>
      </x:c>
      <x:c r="U70" s="109" t="n">
        <x:v>24.5</x:v>
      </x:c>
      <x:c r="V70" s="109" t="n">
        <x:v>2.4</x:v>
      </x:c>
      <x:c r="W70" s="109" t="n">
        <x:f>AVERAGE(E70:V70)</x:f>
        <x:v>8.047058823529412</x:v>
      </x:c>
      <x:c r="X70" s="109" t="n">
        <x:f>MEDIAN(E70:V70)</x:f>
        <x:v>4.6</x:v>
      </x:c>
      <x:c r="Y70" s="109" t="n">
        <x:f>PERCENTILE.INC(E70:V70,0.25)</x:f>
        <x:v>3</x:v>
      </x:c>
      <x:c r="Z70" s="109" t="n">
        <x:f>STDEV.P(E70:V70)</x:f>
        <x:v>7.395874656706687</x:v>
      </x:c>
      <x:c r="AA70" s="173" t="n">
        <x:f>IF(W70=0,"",Z70/ABS(W70))</x:f>
        <x:v>0.9190779909650123</x:v>
      </x:c>
      <x:c r="AB70" s="173" t="n">
        <x:f>IF(W70=0,0,(COUNTIF(E70:V70,"&lt;"&amp;0.5*W70)-COUNTBLANK(E70:V70))/COUNT(E70:V70))</x:f>
        <x:v>0.47058823529411764</x:v>
      </x:c>
      <x:c r="AC70" s="109" t="n">
        <x:f>SUM(E70:V70)</x:f>
        <x:v>136.79999999999998</x:v>
      </x:c>
    </x:row>
    <x:row r="71">
      <x:c r="A71" s="108" t="str">
        <x:v>RB</x:v>
      </x:c>
      <x:c r="B71" s="108" t="str">
        <x:v>Chuba Hubbard</x:v>
      </x:c>
      <x:c r="C71" s="108" t="str">
        <x:v>CAR</x:v>
      </x:c>
      <x:c r="D71" s="108" t="n">
        <x:v>14</x:v>
      </x:c>
      <x:c r="E71" s="109" t="n">
        <x:v>16.4</x:v>
      </x:c>
      <x:c r="F71" s="109" t="n">
        <x:v>16.2</x:v>
      </x:c>
      <x:c r="G71" s="109" t="n">
        <x:v>8.6</x:v>
      </x:c>
      <x:c r="H71" s="109" t="n">
        <x:v>8.4</x:v>
      </x:c>
      <x:c r="I71" s="109" t="n">
        <x:v>0</x:v>
      </x:c>
      <x:c r="J71" s="109" t="n">
        <x:v>0</x:v>
      </x:c>
      <x:c r="K71" s="109" t="n">
        <x:v>6.5</x:v>
      </x:c>
      <x:c r="L71" s="109" t="n">
        <x:v>10.21</x:v>
      </x:c>
      <x:c r="M71" s="109" t="n">
        <x:v>1.7</x:v>
      </x:c>
      <x:c r="N71" s="109" t="n">
        <x:v>4.34</x:v>
      </x:c>
      <x:c r="O71" s="109" t="n">
        <x:v>4.83</x:v>
      </x:c>
      <x:c r="P71" s="109" t="n">
        <x:v>6.3</x:v>
      </x:c>
      <x:c r="Q71" s="109" t="n">
        <x:v>19.4</x:v>
      </x:c>
      <x:c r="R71" s="109"/>
      <x:c r="S71" s="109" t="n">
        <x:v>5.8</x:v>
      </x:c>
      <x:c r="T71" s="109" t="n">
        <x:v>3.9</x:v>
      </x:c>
      <x:c r="U71" s="109" t="n">
        <x:v>2.11</x:v>
      </x:c>
      <x:c r="V71" s="109" t="n">
        <x:v>2.7</x:v>
      </x:c>
      <x:c r="W71" s="109" t="n">
        <x:f>AVERAGE(E71:V71)</x:f>
        <x:v>6.905294117647059</x:v>
      </x:c>
      <x:c r="X71" s="109" t="n">
        <x:f>MEDIAN(E71:V71)</x:f>
        <x:v>5.8</x:v>
      </x:c>
      <x:c r="Y71" s="109" t="n">
        <x:f>PERCENTILE.INC(E71:V71,0.25)</x:f>
        <x:v>2.7</x:v>
      </x:c>
      <x:c r="Z71" s="109" t="n">
        <x:f>STDEV.P(E71:V71)</x:f>
        <x:v>5.601986115915191</x:v>
      </x:c>
      <x:c r="AA71" s="173" t="n">
        <x:f>IF(W71=0,"",Z71/ABS(W71))</x:f>
        <x:v>0.8112595959669329</x:v>
      </x:c>
      <x:c r="AB71" s="173" t="n">
        <x:f>IF(W71=0,0,(COUNTIF(E71:V71,"&lt;"&amp;0.5*W71)-COUNTBLANK(E71:V71))/COUNT(E71:V71))</x:f>
        <x:v>0.29411764705882354</x:v>
      </x:c>
      <x:c r="AC71" s="109" t="n">
        <x:f>SUM(E71:V71)</x:f>
        <x:v>117.39</x:v>
      </x:c>
    </x:row>
    <x:row r="72">
      <x:c r="A72" s="108" t="str">
        <x:v>RB</x:v>
      </x:c>
      <x:c r="B72" s="108" t="str">
        <x:v>Devin Singletary</x:v>
      </x:c>
      <x:c r="C72" s="108" t="str">
        <x:v>NYG</x:v>
      </x:c>
      <x:c r="D72" s="108" t="n">
        <x:v>14</x:v>
      </x:c>
      <x:c r="E72" s="109" t="n">
        <x:v>0.9</x:v>
      </x:c>
      <x:c r="F72" s="109" t="n">
        <x:v>0.5</x:v>
      </x:c>
      <x:c r="G72" s="109" t="n">
        <x:v>5.12</x:v>
      </x:c>
      <x:c r="H72" s="109" t="n">
        <x:v>4.39</x:v>
      </x:c>
      <x:c r="I72" s="109" t="n">
        <x:v>2.9</x:v>
      </x:c>
      <x:c r="J72" s="109" t="n">
        <x:v>1</x:v>
      </x:c>
      <x:c r="K72" s="109" t="n">
        <x:v>0.2</x:v>
      </x:c>
      <x:c r="L72" s="109" t="n">
        <x:v>4.83</x:v>
      </x:c>
      <x:c r="M72" s="109" t="n">
        <x:v>6.1</x:v>
      </x:c>
      <x:c r="N72" s="109" t="n">
        <x:v>8.8</x:v>
      </x:c>
      <x:c r="O72" s="109" t="n">
        <x:v>17.2</x:v>
      </x:c>
      <x:c r="P72" s="109" t="n">
        <x:v>4.7</x:v>
      </x:c>
      <x:c r="Q72" s="109" t="n">
        <x:v>19.32</x:v>
      </x:c>
      <x:c r="R72" s="109"/>
      <x:c r="S72" s="109" t="n">
        <x:v>2.53</x:v>
      </x:c>
      <x:c r="T72" s="109" t="n">
        <x:v>5.1</x:v>
      </x:c>
      <x:c r="U72" s="109" t="n">
        <x:v>15</x:v>
      </x:c>
      <x:c r="V72" s="109" t="n">
        <x:v>9.93</x:v>
      </x:c>
      <x:c r="W72" s="109" t="n">
        <x:f>AVERAGE(E72:V72)</x:f>
        <x:v>6.383529411764706</x:v>
      </x:c>
      <x:c r="X72" s="109" t="n">
        <x:f>MEDIAN(E72:V72)</x:f>
        <x:v>4.83</x:v>
      </x:c>
      <x:c r="Y72" s="109" t="n">
        <x:f>PERCENTILE.INC(E72:V72,0.25)</x:f>
        <x:v>2.53</x:v>
      </x:c>
      <x:c r="Z72" s="109" t="n">
        <x:f>STDEV.P(E72:V72)</x:f>
        <x:v>5.679907767660929</x:v>
      </x:c>
      <x:c r="AA72" s="173" t="n">
        <x:f>IF(W72=0,"",Z72/ABS(W72))</x:f>
        <x:v>0.8897754519925892</x:v>
      </x:c>
      <x:c r="AB72" s="173" t="n">
        <x:f>IF(W72=0,0,(COUNTIF(E72:V72,"&lt;"&amp;0.5*W72)-COUNTBLANK(E72:V72))/COUNT(E72:V72))</x:f>
        <x:v>0.35294117647058826</x:v>
      </x:c>
      <x:c r="AC72" s="109" t="n">
        <x:f>SUM(E72:V72)</x:f>
        <x:v>108.52000000000001</x:v>
      </x:c>
    </x:row>
    <x:row r="73">
      <x:c r="A73" s="108" t="str">
        <x:v>RB</x:v>
      </x:c>
      <x:c r="B73" s="108" t="str">
        <x:v>Samaje Perine</x:v>
      </x:c>
      <x:c r="C73" s="108" t="str">
        <x:v>CIN</x:v>
      </x:c>
      <x:c r="D73" s="108" t="n">
        <x:v>10</x:v>
      </x:c>
      <x:c r="E73" s="109" t="n">
        <x:v>1.6</x:v>
      </x:c>
      <x:c r="F73" s="109" t="n">
        <x:v>4.62</x:v>
      </x:c>
      <x:c r="G73" s="109" t="n">
        <x:v>2.74</x:v>
      </x:c>
      <x:c r="H73" s="109" t="n">
        <x:v>0.4</x:v>
      </x:c>
      <x:c r="I73" s="109" t="n">
        <x:v>3.9</x:v>
      </x:c>
      <x:c r="J73" s="109" t="n">
        <x:v>4.2</x:v>
      </x:c>
      <x:c r="K73" s="109" t="n">
        <x:v>5.38</x:v>
      </x:c>
      <x:c r="L73" s="109" t="n">
        <x:v>16.5</x:v>
      </x:c>
      <x:c r="M73" s="109" t="n">
        <x:v>2.39</x:v>
      </x:c>
      <x:c r="N73" s="109"/>
      <x:c r="O73" s="109" t="n">
        <x:v>0</x:v>
      </x:c>
      <x:c r="P73" s="109" t="n">
        <x:v>0</x:v>
      </x:c>
      <x:c r="Q73" s="109" t="n">
        <x:v>4.4</x:v>
      </x:c>
      <x:c r="R73" s="109" t="n">
        <x:v>5.77</x:v>
      </x:c>
      <x:c r="S73" s="109" t="n">
        <x:v>4.3</x:v>
      </x:c>
      <x:c r="T73" s="109" t="n">
        <x:v>11.1</x:v>
      </x:c>
      <x:c r="U73" s="109" t="n">
        <x:v>7.8</x:v>
      </x:c>
      <x:c r="V73" s="109" t="n">
        <x:v>6.7</x:v>
      </x:c>
      <x:c r="W73" s="109" t="n">
        <x:f>AVERAGE(E73:V73)</x:f>
        <x:v>4.811764705882353</x:v>
      </x:c>
      <x:c r="X73" s="109" t="n">
        <x:f>MEDIAN(E73:V73)</x:f>
        <x:v>4.3</x:v>
      </x:c>
      <x:c r="Y73" s="109" t="n">
        <x:f>PERCENTILE.INC(E73:V73,0.25)</x:f>
        <x:v>2.39</x:v>
      </x:c>
      <x:c r="Z73" s="109" t="n">
        <x:f>STDEV.P(E73:V73)</x:f>
        <x:v>4.042487928308387</x:v>
      </x:c>
      <x:c r="AA73" s="173" t="n">
        <x:f>IF(W73=0,"",Z73/ABS(W73))</x:f>
        <x:v>0.8401258530714252</x:v>
      </x:c>
      <x:c r="AB73" s="173" t="n">
        <x:f>IF(W73=0,0,(COUNTIF(E73:V73,"&lt;"&amp;0.5*W73)-COUNTBLANK(E73:V73))/COUNT(E73:V73))</x:f>
        <x:v>0.29411764705882354</x:v>
      </x:c>
      <x:c r="AC73" s="109" t="n">
        <x:f>SUM(E73:V73)</x:f>
        <x:v>81.8</x:v>
      </x:c>
    </x:row>
    <x:row r="74">
      <x:c r="A74" s="108" t="str">
        <x:v>RB</x:v>
      </x:c>
      <x:c r="B74" s="108" t="str">
        <x:v>Tyler Allgeier</x:v>
      </x:c>
      <x:c r="C74" s="108" t="str">
        <x:v>ATL</x:v>
      </x:c>
      <x:c r="D74" s="108" t="n">
        <x:v>5</x:v>
      </x:c>
      <x:c r="E74" s="109" t="n">
        <x:v>2.4</x:v>
      </x:c>
      <x:c r="F74" s="109" t="n">
        <x:v>14.5</x:v>
      </x:c>
      <x:c r="G74" s="109" t="n">
        <x:v>0.9</x:v>
      </x:c>
      <x:c r="H74" s="109" t="n">
        <x:v>11.1</x:v>
      </x:c>
      <x:c r="I74" s="109"/>
      <x:c r="J74" s="109" t="n">
        <x:v>10.3</x:v>
      </x:c>
      <x:c r="K74" s="109" t="n">
        <x:v>1.6</x:v>
      </x:c>
      <x:c r="L74" s="109" t="n">
        <x:v>8.4</x:v>
      </x:c>
      <x:c r="M74" s="109" t="n">
        <x:v>0.6</x:v>
      </x:c>
      <x:c r="N74" s="109" t="n">
        <x:v>17.7</x:v>
      </x:c>
      <x:c r="O74" s="109" t="n">
        <x:v>8.6</x:v>
      </x:c>
      <x:c r="P74" s="109" t="n">
        <x:v>5.4</x:v>
      </x:c>
      <x:c r="Q74" s="109" t="n">
        <x:v>12.5</x:v>
      </x:c>
      <x:c r="R74" s="109" t="n">
        <x:v>7.7</x:v>
      </x:c>
      <x:c r="S74" s="109" t="n">
        <x:v>1.8</x:v>
      </x:c>
      <x:c r="T74" s="109" t="n">
        <x:v>7.8</x:v>
      </x:c>
      <x:c r="U74" s="109" t="n">
        <x:v>2.3</x:v>
      </x:c>
      <x:c r="V74" s="109" t="n">
        <x:v>2.4</x:v>
      </x:c>
      <x:c r="W74" s="109" t="n">
        <x:f>AVERAGE(E74:V74)</x:f>
        <x:v>6.823529411764706</x:v>
      </x:c>
      <x:c r="X74" s="109" t="n">
        <x:f>MEDIAN(E74:V74)</x:f>
        <x:v>7.7</x:v>
      </x:c>
      <x:c r="Y74" s="109" t="n">
        <x:f>PERCENTILE.INC(E74:V74,0.25)</x:f>
        <x:v>2.3</x:v>
      </x:c>
      <x:c r="Z74" s="109" t="n">
        <x:f>STDEV.P(E74:V74)</x:f>
        <x:v>5.059357017013678</x:v>
      </x:c>
      <x:c r="AA74" s="173" t="n">
        <x:f>IF(W74=0,"",Z74/ABS(W74))</x:f>
        <x:v>0.7414574938726942</x:v>
      </x:c>
      <x:c r="AB74" s="173" t="n">
        <x:f>IF(W74=0,0,(COUNTIF(E74:V74,"&lt;"&amp;0.5*W74)-COUNTBLANK(E74:V74))/COUNT(E74:V74))</x:f>
        <x:v>0.4117647058823529</x:v>
      </x:c>
      <x:c r="AC74" s="109" t="n">
        <x:f>SUM(E74:V74)</x:f>
        <x:v>116</x:v>
      </x:c>
    </x:row>
    <x:row r="75">
      <x:c r="A75" s="108" t="str">
        <x:v>RB</x:v>
      </x:c>
      <x:c r="B75" s="108" t="str">
        <x:v>Blake Corum</x:v>
      </x:c>
      <x:c r="C75" s="108" t="str">
        <x:v>LAR</x:v>
      </x:c>
      <x:c r="D75" s="108" t="n">
        <x:v>8</x:v>
      </x:c>
      <x:c r="E75" s="109" t="n">
        <x:v>2.1</x:v>
      </x:c>
      <x:c r="F75" s="109" t="n">
        <x:v>12.8</x:v>
      </x:c>
      <x:c r="G75" s="109" t="n">
        <x:v>8.75</x:v>
      </x:c>
      <x:c r="H75" s="109" t="n">
        <x:v>2.6</x:v>
      </x:c>
      <x:c r="I75" s="109" t="n">
        <x:v>1.3</x:v>
      </x:c>
      <x:c r="J75" s="109" t="n">
        <x:v>2.3</x:v>
      </x:c>
      <x:c r="K75" s="109" t="n">
        <x:v>4.8</x:v>
      </x:c>
      <x:c r="L75" s="109"/>
      <x:c r="M75" s="109" t="n">
        <x:v>5.8</x:v>
      </x:c>
      <x:c r="N75" s="109" t="n">
        <x:v>8.9</x:v>
      </x:c>
      <x:c r="O75" s="109" t="n">
        <x:v>1.63</x:v>
      </x:c>
      <x:c r="P75" s="109" t="n">
        <x:v>2.4</x:v>
      </x:c>
      <x:c r="Q75" s="109" t="n">
        <x:v>14.1</x:v>
      </x:c>
      <x:c r="R75" s="109" t="n">
        <x:v>27.6</x:v>
      </x:c>
      <x:c r="S75" s="109" t="n">
        <x:v>13.1</x:v>
      </x:c>
      <x:c r="T75" s="109" t="n">
        <x:v>12.6</x:v>
      </x:c>
      <x:c r="U75" s="109" t="n">
        <x:v>1.8</x:v>
      </x:c>
      <x:c r="V75" s="109" t="n">
        <x:v>7.4</x:v>
      </x:c>
      <x:c r="W75" s="109" t="n">
        <x:f>AVERAGE(E75:V75)</x:f>
        <x:v>7.645882352941174</x:v>
      </x:c>
      <x:c r="X75" s="109" t="n">
        <x:f>MEDIAN(E75:V75)</x:f>
        <x:v>5.8</x:v>
      </x:c>
      <x:c r="Y75" s="109" t="n">
        <x:f>PERCENTILE.INC(E75:V75,0.25)</x:f>
        <x:v>2.3</x:v>
      </x:c>
      <x:c r="Z75" s="109" t="n">
        <x:f>STDEV.P(E75:V75)</x:f>
        <x:v>6.677387705861811</x:v>
      </x:c>
      <x:c r="AA75" s="173" t="n">
        <x:f>IF(W75=0,"",Z75/ABS(W75))</x:f>
        <x:v>0.8733312124915434</x:v>
      </x:c>
      <x:c r="AB75" s="173" t="n">
        <x:f>IF(W75=0,0,(COUNTIF(E75:V75,"&lt;"&amp;0.5*W75)-COUNTBLANK(E75:V75))/COUNT(E75:V75))</x:f>
        <x:v>0.4117647058823529</x:v>
      </x:c>
      <x:c r="AC75" s="109" t="n">
        <x:f>SUM(E75:V75)</x:f>
        <x:v>129.97999999999996</x:v>
      </x:c>
    </x:row>
    <x:row r="76">
      <x:c r="A76" s="108" t="str">
        <x:v>RB</x:v>
      </x:c>
      <x:c r="B76" s="108" t="str">
        <x:v>Ty Johnson</x:v>
      </x:c>
      <x:c r="C76" s="108" t="str">
        <x:v>BUF</x:v>
      </x:c>
      <x:c r="D76" s="108" t="n">
        <x:v>7</x:v>
      </x:c>
      <x:c r="E76" s="109" t="n">
        <x:v>4.02</x:v>
      </x:c>
      <x:c r="F76" s="109" t="n">
        <x:v>1.2</x:v>
      </x:c>
      <x:c r="G76" s="109" t="n">
        <x:v>2.6</x:v>
      </x:c>
      <x:c r="H76" s="109" t="n">
        <x:v>0.39</x:v>
      </x:c>
      <x:c r="I76" s="109" t="n">
        <x:v>2.29</x:v>
      </x:c>
      <x:c r="J76" s="109" t="n">
        <x:v>2.1</x:v>
      </x:c>
      <x:c r="K76" s="109"/>
      <x:c r="L76" s="109" t="n">
        <x:v>1.23</x:v>
      </x:c>
      <x:c r="M76" s="109" t="n">
        <x:v>9</x:v>
      </x:c>
      <x:c r="N76" s="109" t="n">
        <x:v>3.6</x:v>
      </x:c>
      <x:c r="O76" s="109" t="n">
        <x:v>15.5</x:v>
      </x:c>
      <x:c r="P76" s="109" t="n">
        <x:v>7.36</x:v>
      </x:c>
      <x:c r="Q76" s="109" t="n">
        <x:v>4.63</x:v>
      </x:c>
      <x:c r="R76" s="109" t="n">
        <x:v>6.28</x:v>
      </x:c>
      <x:c r="S76" s="109" t="n">
        <x:v>4.3</x:v>
      </x:c>
      <x:c r="T76" s="109" t="n">
        <x:v>7.6</x:v>
      </x:c>
      <x:c r="U76" s="109" t="n">
        <x:v>6.3</x:v>
      </x:c>
      <x:c r="V76" s="109" t="n">
        <x:v>18.6</x:v>
      </x:c>
      <x:c r="W76" s="109" t="n">
        <x:f>AVERAGE(E76:V76)</x:f>
        <x:v>5.705882352941177</x:v>
      </x:c>
      <x:c r="X76" s="109" t="n">
        <x:f>MEDIAN(E76:V76)</x:f>
        <x:v>4.3</x:v>
      </x:c>
      <x:c r="Y76" s="109" t="n">
        <x:f>PERCENTILE.INC(E76:V76,0.25)</x:f>
        <x:v>2.29</x:v>
      </x:c>
      <x:c r="Z76" s="109" t="n">
        <x:f>STDEV.P(E76:V76)</x:f>
        <x:v>4.810306409249316</x:v>
      </x:c>
      <x:c r="AA76" s="173" t="n">
        <x:f>IF(W76=0,"",Z76/ABS(W76))</x:f>
        <x:v>0.8430433913117358</x:v>
      </x:c>
      <x:c r="AB76" s="173" t="n">
        <x:f>IF(W76=0,0,(COUNTIF(E76:V76,"&lt;"&amp;0.5*W76)-COUNTBLANK(E76:V76))/COUNT(E76:V76))</x:f>
        <x:v>0.35294117647058826</x:v>
      </x:c>
      <x:c r="AC76" s="109" t="n">
        <x:f>SUM(E76:V76)</x:f>
        <x:v>97</x:v>
      </x:c>
    </x:row>
    <x:row r="77">
      <x:c r="A77" s="108" t="str">
        <x:v>RB</x:v>
      </x:c>
      <x:c r="B77" s="108" t="str">
        <x:v>Isiah Pacheco</x:v>
      </x:c>
      <x:c r="C77" s="108" t="str">
        <x:v>KC</x:v>
      </x:c>
      <x:c r="D77" s="108" t="n">
        <x:v>10</x:v>
      </x:c>
      <x:c r="E77" s="109" t="n">
        <x:v>3.8</x:v>
      </x:c>
      <x:c r="F77" s="109" t="n">
        <x:v>3.4</x:v>
      </x:c>
      <x:c r="G77" s="109" t="n">
        <x:v>5.3</x:v>
      </x:c>
      <x:c r="H77" s="109" t="n">
        <x:v>11.8</x:v>
      </x:c>
      <x:c r="I77" s="109" t="n">
        <x:v>7.1</x:v>
      </x:c>
      <x:c r="J77" s="109" t="n">
        <x:v>5.6</x:v>
      </x:c>
      <x:c r="K77" s="109" t="n">
        <x:v>11.9</x:v>
      </x:c>
      <x:c r="L77" s="109" t="n">
        <x:v>5.8</x:v>
      </x:c>
      <x:c r="M77" s="109" t="n">
        <x:v>0</x:v>
      </x:c>
      <x:c r="N77" s="109"/>
      <x:c r="O77" s="109" t="n">
        <x:v>0</x:v>
      </x:c>
      <x:c r="P77" s="109" t="n">
        <x:v>0</x:v>
      </x:c>
      <x:c r="Q77" s="109" t="n">
        <x:v>4.3</x:v>
      </x:c>
      <x:c r="R77" s="109" t="n">
        <x:v>3</x:v>
      </x:c>
      <x:c r="S77" s="109" t="n">
        <x:v>2.1</x:v>
      </x:c>
      <x:c r="T77" s="109" t="n">
        <x:v>10.5</x:v>
      </x:c>
      <x:c r="U77" s="109" t="n">
        <x:v>3.2</x:v>
      </x:c>
      <x:c r="V77" s="109" t="n">
        <x:v>0</x:v>
      </x:c>
      <x:c r="W77" s="109" t="n">
        <x:f>AVERAGE(E77:V77)</x:f>
        <x:v>4.576470588235294</x:v>
      </x:c>
      <x:c r="X77" s="109" t="n">
        <x:f>MEDIAN(E77:V77)</x:f>
        <x:v>3.8</x:v>
      </x:c>
      <x:c r="Y77" s="109" t="n">
        <x:f>PERCENTILE.INC(E77:V77,0.25)</x:f>
        <x:v>2.1</x:v>
      </x:c>
      <x:c r="Z77" s="109" t="n">
        <x:f>STDEV.P(E77:V77)</x:f>
        <x:v>3.809358354456083</x:v>
      </x:c>
      <x:c r="AA77" s="173" t="n">
        <x:f>IF(W77=0,"",Z77/ABS(W77))</x:f>
        <x:v>0.8323790748811494</x:v>
      </x:c>
      <x:c r="AB77" s="173" t="n">
        <x:f>IF(W77=0,0,(COUNTIF(E77:V77,"&lt;"&amp;0.5*W77)-COUNTBLANK(E77:V77))/COUNT(E77:V77))</x:f>
        <x:v>0.29411764705882354</x:v>
      </x:c>
      <x:c r="AC77" s="109" t="n">
        <x:f>SUM(E77:V77)</x:f>
        <x:v>77.8</x:v>
      </x:c>
    </x:row>
    <x:row r="78">
      <x:c r="A78" s="108" t="str">
        <x:v>RB</x:v>
      </x:c>
      <x:c r="B78" s="108" t="str">
        <x:v>Rhamondre Stevenson</x:v>
      </x:c>
      <x:c r="C78" s="108" t="str">
        <x:v>NE</x:v>
      </x:c>
      <x:c r="D78" s="108" t="n">
        <x:v>14</x:v>
      </x:c>
      <x:c r="E78" s="109" t="n">
        <x:v>3.7</x:v>
      </x:c>
      <x:c r="F78" s="109" t="n">
        <x:v>18.7</x:v>
      </x:c>
      <x:c r="G78" s="109" t="n">
        <x:v>3.1</x:v>
      </x:c>
      <x:c r="H78" s="109" t="n">
        <x:v>4.6</x:v>
      </x:c>
      <x:c r="I78" s="109" t="n">
        <x:v>14.9</x:v>
      </x:c>
      <x:c r="J78" s="109" t="n">
        <x:v>1.8</x:v>
      </x:c>
      <x:c r="K78" s="109" t="n">
        <x:v>15.8</x:v>
      </x:c>
      <x:c r="L78" s="109" t="n">
        <x:v>5.4</x:v>
      </x:c>
      <x:c r="M78" s="109" t="n">
        <x:v>0</x:v>
      </x:c>
      <x:c r="N78" s="109" t="n">
        <x:v>0</x:v>
      </x:c>
      <x:c r="O78" s="109" t="n">
        <x:v>0</x:v>
      </x:c>
      <x:c r="P78" s="109" t="n">
        <x:v>1.5</x:v>
      </x:c>
      <x:c r="Q78" s="109" t="n">
        <x:v>9.5</x:v>
      </x:c>
      <x:c r="R78" s="109"/>
      <x:c r="S78" s="109" t="n">
        <x:v>9.2</x:v>
      </x:c>
      <x:c r="T78" s="109" t="n">
        <x:v>16.8</x:v>
      </x:c>
      <x:c r="U78" s="109" t="n">
        <x:v>24.7</x:v>
      </x:c>
      <x:c r="V78" s="109" t="n">
        <x:v>34.3</x:v>
      </x:c>
      <x:c r="W78" s="109" t="n">
        <x:f>AVERAGE(E78:V78)</x:f>
        <x:v>9.647058823529411</x:v>
      </x:c>
      <x:c r="X78" s="109" t="n">
        <x:f>MEDIAN(E78:V78)</x:f>
        <x:v>5.4</x:v>
      </x:c>
      <x:c r="Y78" s="109" t="n">
        <x:f>PERCENTILE.INC(E78:V78,0.25)</x:f>
        <x:v>1.8</x:v>
      </x:c>
      <x:c r="Z78" s="109" t="n">
        <x:f>STDEV.P(E78:V78)</x:f>
        <x:v>9.585658260685982</x:v>
      </x:c>
      <x:c r="AA78" s="173" t="n">
        <x:f>IF(W78=0,"",Z78/ABS(W78))</x:f>
        <x:v>0.9936353075101323</x:v>
      </x:c>
      <x:c r="AB78" s="173" t="n">
        <x:f>IF(W78=0,0,(COUNTIF(E78:V78,"&lt;"&amp;0.5*W78)-COUNTBLANK(E78:V78))/COUNT(E78:V78))</x:f>
        <x:v>0.47058823529411764</x:v>
      </x:c>
      <x:c r="AC78" s="109" t="n">
        <x:f>SUM(E78:V78)</x:f>
        <x:v>164</x:v>
      </x:c>
    </x:row>
    <x:row r="79">
      <x:c r="A79" s="108" t="str">
        <x:v>RB</x:v>
      </x:c>
      <x:c r="B79" s="108" t="str">
        <x:v>Bhayshul Tuten</x:v>
      </x:c>
      <x:c r="C79" s="108" t="str">
        <x:v>JAX</x:v>
      </x:c>
      <x:c r="D79" s="108" t="n">
        <x:v>8</x:v>
      </x:c>
      <x:c r="E79" s="109" t="n">
        <x:v>1.46</x:v>
      </x:c>
      <x:c r="F79" s="109" t="n">
        <x:v>15.18</x:v>
      </x:c>
      <x:c r="G79" s="109" t="n">
        <x:v>8.1</x:v>
      </x:c>
      <x:c r="H79" s="109" t="n">
        <x:v>5.04</x:v>
      </x:c>
      <x:c r="I79" s="109" t="n">
        <x:v>1.6</x:v>
      </x:c>
      <x:c r="J79" s="109" t="n">
        <x:v>3.8</x:v>
      </x:c>
      <x:c r="K79" s="109" t="n">
        <x:v>2.2</x:v>
      </x:c>
      <x:c r="L79" s="109"/>
      <x:c r="M79" s="109" t="n">
        <x:v>10.75</x:v>
      </x:c>
      <x:c r="N79" s="109" t="n">
        <x:v>5.79</x:v>
      </x:c>
      <x:c r="O79" s="109" t="n">
        <x:v>13.4</x:v>
      </x:c>
      <x:c r="P79" s="109" t="n">
        <x:v>2.87</x:v>
      </x:c>
      <x:c r="Q79" s="109" t="n">
        <x:v>9.36</x:v>
      </x:c>
      <x:c r="R79" s="109" t="n">
        <x:v>-0.17</x:v>
      </x:c>
      <x:c r="S79" s="109" t="n">
        <x:v>11.59</x:v>
      </x:c>
      <x:c r="T79" s="109" t="n">
        <x:v>0</x:v>
      </x:c>
      <x:c r="U79" s="109" t="n">
        <x:v>0</x:v>
      </x:c>
      <x:c r="V79" s="109" t="n">
        <x:v>8.3</x:v>
      </x:c>
      <x:c r="W79" s="109" t="n">
        <x:f>AVERAGE(E79:V79)</x:f>
        <x:v>5.839411764705883</x:v>
      </x:c>
      <x:c r="X79" s="109" t="n">
        <x:f>MEDIAN(E79:V79)</x:f>
        <x:v>5.04</x:v>
      </x:c>
      <x:c r="Y79" s="109" t="n">
        <x:f>PERCENTILE.INC(E79:V79,0.25)</x:f>
        <x:v>1.6</x:v>
      </x:c>
      <x:c r="Z79" s="109" t="n">
        <x:f>STDEV.P(E79:V79)</x:f>
        <x:v>4.811000226916541</x:v>
      </x:c>
      <x:c r="AA79" s="173" t="n">
        <x:f>IF(W79=0,"",Z79/ABS(W79))</x:f>
        <x:v>0.8238843946568065</x:v>
      </x:c>
      <x:c r="AB79" s="173" t="n">
        <x:f>IF(W79=0,0,(COUNTIF(E79:V79,"&lt;"&amp;0.5*W79)-COUNTBLANK(E79:V79))/COUNT(E79:V79))</x:f>
        <x:v>0.4117647058823529</x:v>
      </x:c>
      <x:c r="AC79" s="109" t="n">
        <x:f>SUM(E79:V79)</x:f>
        <x:v>99.27000000000001</x:v>
      </x:c>
    </x:row>
    <x:row r="80">
      <x:c r="A80" s="108" t="str">
        <x:v>RB</x:v>
      </x:c>
      <x:c r="B80" s="108" t="str">
        <x:v>Nick Chubb</x:v>
      </x:c>
      <x:c r="C80" s="108" t="str">
        <x:v>HOU</x:v>
      </x:c>
      <x:c r="D80" s="108" t="n">
        <x:v>6</x:v>
      </x:c>
      <x:c r="E80" s="109" t="n">
        <x:v>6</x:v>
      </x:c>
      <x:c r="F80" s="109" t="n">
        <x:v>14.2</x:v>
      </x:c>
      <x:c r="G80" s="109" t="n">
        <x:v>5.5</x:v>
      </x:c>
      <x:c r="H80" s="109" t="n">
        <x:v>7.2</x:v>
      </x:c>
      <x:c r="I80" s="109" t="n">
        <x:v>12.1</x:v>
      </x:c>
      <x:c r="J80" s="109"/>
      <x:c r="K80" s="109" t="n">
        <x:v>1.6</x:v>
      </x:c>
      <x:c r="L80" s="109" t="n">
        <x:v>7.9</x:v>
      </x:c>
      <x:c r="M80" s="109" t="n">
        <x:v>3.4</x:v>
      </x:c>
      <x:c r="N80" s="109" t="n">
        <x:v>5.7</x:v>
      </x:c>
      <x:c r="O80" s="109" t="n">
        <x:v>1.7</x:v>
      </x:c>
      <x:c r="P80" s="109" t="n">
        <x:v>2</x:v>
      </x:c>
      <x:c r="Q80" s="109" t="n">
        <x:v>9.4</x:v>
      </x:c>
      <x:c r="R80" s="109" t="n">
        <x:v>0.3</x:v>
      </x:c>
      <x:c r="S80" s="109" t="n">
        <x:v>0</x:v>
      </x:c>
      <x:c r="T80" s="109" t="n">
        <x:v>4.7</x:v>
      </x:c>
      <x:c r="U80" s="109" t="n">
        <x:v>0.1</x:v>
      </x:c>
      <x:c r="V80" s="109" t="n">
        <x:v>0</x:v>
      </x:c>
      <x:c r="W80" s="109" t="n">
        <x:f>AVERAGE(E80:V80)</x:f>
        <x:v>4.811764705882353</x:v>
      </x:c>
      <x:c r="X80" s="109" t="n">
        <x:f>MEDIAN(E80:V80)</x:f>
        <x:v>4.7</x:v>
      </x:c>
      <x:c r="Y80" s="109" t="n">
        <x:f>PERCENTILE.INC(E80:V80,0.25)</x:f>
        <x:v>1.6</x:v>
      </x:c>
      <x:c r="Z80" s="109" t="n">
        <x:f>STDEV.P(E80:V80)</x:f>
        <x:v>4.1938165059779555</x:v>
      </x:c>
      <x:c r="AA80" s="173" t="n">
        <x:f>IF(W80=0,"",Z80/ABS(W80))</x:f>
        <x:v>0.8715755574770813</x:v>
      </x:c>
      <x:c r="AB80" s="173" t="n">
        <x:f>IF(W80=0,0,(COUNTIF(E80:V80,"&lt;"&amp;0.5*W80)-COUNTBLANK(E80:V80))/COUNT(E80:V80))</x:f>
        <x:v>0.4117647058823529</x:v>
      </x:c>
      <x:c r="AC80" s="109" t="n">
        <x:f>SUM(E80:V80)</x:f>
        <x:v>81.8</x:v>
      </x:c>
    </x:row>
    <x:row r="81">
      <x:c r="A81" s="108" t="str">
        <x:v>RB</x:v>
      </x:c>
      <x:c r="B81" s="108" t="str">
        <x:v>Ray Davis</x:v>
      </x:c>
      <x:c r="C81" s="108" t="str">
        <x:v>BUF</x:v>
      </x:c>
      <x:c r="D81" s="108" t="n">
        <x:v>7</x:v>
      </x:c>
      <x:c r="E81" s="109" t="n">
        <x:v>0.6</x:v>
      </x:c>
      <x:c r="F81" s="109" t="n">
        <x:v>2.4</x:v>
      </x:c>
      <x:c r="G81" s="109" t="n">
        <x:v>0</x:v>
      </x:c>
      <x:c r="H81" s="109" t="n">
        <x:v>0.3</x:v>
      </x:c>
      <x:c r="I81" s="109" t="n">
        <x:v>0.1</x:v>
      </x:c>
      <x:c r="J81" s="109" t="n">
        <x:v>8.9</x:v>
      </x:c>
      <x:c r="K81" s="109"/>
      <x:c r="L81" s="109" t="n">
        <x:v>1.6</x:v>
      </x:c>
      <x:c r="M81" s="109" t="n">
        <x:v>3.15</x:v>
      </x:c>
      <x:c r="N81" s="109" t="n">
        <x:v>2.52</x:v>
      </x:c>
      <x:c r="O81" s="109" t="n">
        <x:v>4.74</x:v>
      </x:c>
      <x:c r="P81" s="109" t="n">
        <x:v>10.35</x:v>
      </x:c>
      <x:c r="Q81" s="109" t="n">
        <x:v>6.65</x:v>
      </x:c>
      <x:c r="R81" s="109" t="n">
        <x:v>2.52</x:v>
      </x:c>
      <x:c r="S81" s="109" t="n">
        <x:v>6.72</x:v>
      </x:c>
      <x:c r="T81" s="109" t="n">
        <x:v>7.16</x:v>
      </x:c>
      <x:c r="U81" s="109" t="n">
        <x:v>4.62</x:v>
      </x:c>
      <x:c r="V81" s="109" t="n">
        <x:v>25.06</x:v>
      </x:c>
      <x:c r="W81" s="109" t="n">
        <x:f>AVERAGE(E81:V81)</x:f>
        <x:v>5.140588235294118</x:v>
      </x:c>
      <x:c r="X81" s="109" t="n">
        <x:f>MEDIAN(E81:V81)</x:f>
        <x:v>3.15</x:v>
      </x:c>
      <x:c r="Y81" s="109" t="n">
        <x:f>PERCENTILE.INC(E81:V81,0.25)</x:f>
        <x:v>1.6</x:v>
      </x:c>
      <x:c r="Z81" s="109" t="n">
        <x:f>STDEV.P(E81:V81)</x:f>
        <x:v>5.845872823261206</x:v>
      </x:c>
      <x:c r="AA81" s="173" t="n">
        <x:f>IF(W81=0,"",Z81/ABS(W81))</x:f>
        <x:v>1.1371991989408456</x:v>
      </x:c>
      <x:c r="AB81" s="173" t="n">
        <x:f>IF(W81=0,0,(COUNTIF(E81:V81,"&lt;"&amp;0.5*W81)-COUNTBLANK(E81:V81))/COUNT(E81:V81))</x:f>
        <x:v>0.47058823529411764</x:v>
      </x:c>
      <x:c r="AC81" s="109" t="n">
        <x:f>SUM(E81:V81)</x:f>
        <x:v>87.39</x:v>
      </x:c>
    </x:row>
    <x:row r="82">
      <x:c r="A82" s="108" t="str">
        <x:v>RB</x:v>
      </x:c>
      <x:c r="B82" s="108" t="str">
        <x:v>Emanuel Wilson</x:v>
      </x:c>
      <x:c r="C82" s="108" t="str">
        <x:v>GB</x:v>
      </x:c>
      <x:c r="D82" s="108" t="n">
        <x:v>5</x:v>
      </x:c>
      <x:c r="E82" s="109" t="n">
        <x:v>0.4</x:v>
      </x:c>
      <x:c r="F82" s="109" t="n">
        <x:v>0.81</x:v>
      </x:c>
      <x:c r="G82" s="109" t="n">
        <x:v>2.5</x:v>
      </x:c>
      <x:c r="H82" s="109" t="n">
        <x:v>9.6</x:v>
      </x:c>
      <x:c r="I82" s="109"/>
      <x:c r="J82" s="109" t="n">
        <x:v>1.2</x:v>
      </x:c>
      <x:c r="K82" s="109" t="n">
        <x:v>2</x:v>
      </x:c>
      <x:c r="L82" s="109" t="n">
        <x:v>9.7</x:v>
      </x:c>
      <x:c r="M82" s="109" t="n">
        <x:v>2.2</x:v>
      </x:c>
      <x:c r="N82" s="109" t="n">
        <x:v>0.9</x:v>
      </x:c>
      <x:c r="O82" s="109" t="n">
        <x:v>13.4</x:v>
      </x:c>
      <x:c r="P82" s="109" t="n">
        <x:v>25.5</x:v>
      </x:c>
      <x:c r="Q82" s="109" t="n">
        <x:v>1.4</x:v>
      </x:c>
      <x:c r="R82" s="109" t="n">
        <x:v>2.65</x:v>
      </x:c>
      <x:c r="S82" s="109" t="n">
        <x:v>3.15</x:v>
      </x:c>
      <x:c r="T82" s="109" t="n">
        <x:v>8.2</x:v>
      </x:c>
      <x:c r="U82" s="109" t="n">
        <x:v>3.59</x:v>
      </x:c>
      <x:c r="V82" s="109" t="n">
        <x:v>6.29</x:v>
      </x:c>
      <x:c r="W82" s="109" t="n">
        <x:f>AVERAGE(E82:V82)</x:f>
        <x:v>5.499411764705884</x:v>
      </x:c>
      <x:c r="X82" s="109" t="n">
        <x:f>MEDIAN(E82:V82)</x:f>
        <x:v>2.65</x:v>
      </x:c>
      <x:c r="Y82" s="109" t="n">
        <x:f>PERCENTILE.INC(E82:V82,0.25)</x:f>
        <x:v>1.4</x:v>
      </x:c>
      <x:c r="Z82" s="109" t="n">
        <x:f>STDEV.P(E82:V82)</x:f>
        <x:v>6.224587366988542</x:v>
      </x:c>
      <x:c r="AA82" s="173" t="n">
        <x:f>IF(W82=0,"",Z82/ABS(W82))</x:f>
        <x:v>1.1318642126302834</x:v>
      </x:c>
      <x:c r="AB82" s="173" t="n">
        <x:f>IF(W82=0,0,(COUNTIF(E82:V82,"&lt;"&amp;0.5*W82)-COUNTBLANK(E82:V82))/COUNT(E82:V82))</x:f>
        <x:v>0.5294117647058824</x:v>
      </x:c>
      <x:c r="AC82" s="109" t="n">
        <x:f>SUM(E82:V82)</x:f>
        <x:v>93.49000000000002</x:v>
      </x:c>
    </x:row>
    <x:row r="83">
      <x:c r="A83" s="108" t="str">
        <x:v>RB</x:v>
      </x:c>
      <x:c r="B83" s="108" t="str">
        <x:v>Sean Tucker</x:v>
      </x:c>
      <x:c r="C83" s="108" t="str">
        <x:v>TB</x:v>
      </x:c>
      <x:c r="D83" s="108" t="n">
        <x:v>9</x:v>
      </x:c>
      <x:c r="E83" s="109" t="n">
        <x:v>2.63</x:v>
      </x:c>
      <x:c r="F83" s="109" t="n">
        <x:v>0.78</x:v>
      </x:c>
      <x:c r="G83" s="109" t="n">
        <x:v>3.72</x:v>
      </x:c>
      <x:c r="H83" s="109" t="n">
        <x:v>1.62</x:v>
      </x:c>
      <x:c r="I83" s="109" t="n">
        <x:v>1.4</x:v>
      </x:c>
      <x:c r="J83" s="109" t="n">
        <x:v>12.31</x:v>
      </x:c>
      <x:c r="K83" s="109" t="n">
        <x:v>1.1</x:v>
      </x:c>
      <x:c r="L83" s="109" t="n">
        <x:v>11.2</x:v>
      </x:c>
      <x:c r="M83" s="109"/>
      <x:c r="N83" s="109" t="n">
        <x:v>5.6</x:v>
      </x:c>
      <x:c r="O83" s="109" t="n">
        <x:v>35</x:v>
      </x:c>
      <x:c r="P83" s="109" t="n">
        <x:v>5.1</x:v>
      </x:c>
      <x:c r="Q83" s="109" t="n">
        <x:v>0</x:v>
      </x:c>
      <x:c r="R83" s="109" t="n">
        <x:v>8.9</x:v>
      </x:c>
      <x:c r="S83" s="109" t="n">
        <x:v>7.96</x:v>
      </x:c>
      <x:c r="T83" s="109" t="n">
        <x:v>7.38</x:v>
      </x:c>
      <x:c r="U83" s="109" t="n">
        <x:v>0.8</x:v>
      </x:c>
      <x:c r="V83" s="109" t="n">
        <x:v>0.81</x:v>
      </x:c>
      <x:c r="W83" s="109" t="n">
        <x:f>AVERAGE(E83:V83)</x:f>
        <x:v>6.253529411764706</x:v>
      </x:c>
      <x:c r="X83" s="109" t="n">
        <x:f>MEDIAN(E83:V83)</x:f>
        <x:v>3.72</x:v>
      </x:c>
      <x:c r="Y83" s="109" t="n">
        <x:f>PERCENTILE.INC(E83:V83,0.25)</x:f>
        <x:v>1.1</x:v>
      </x:c>
      <x:c r="Z83" s="109" t="n">
        <x:f>STDEV.P(E83:V83)</x:f>
        <x:v>8.11687997228178</x:v>
      </x:c>
      <x:c r="AA83" s="173" t="n">
        <x:f>IF(W83=0,"",Z83/ABS(W83))</x:f>
        <x:v>1.2979678254989206</x:v>
      </x:c>
      <x:c r="AB83" s="173" t="n">
        <x:f>IF(W83=0,0,(COUNTIF(E83:V83,"&lt;"&amp;0.5*W83)-COUNTBLANK(E83:V83))/COUNT(E83:V83))</x:f>
        <x:v>0.47058823529411764</x:v>
      </x:c>
      <x:c r="AC83" s="109" t="n">
        <x:f>SUM(E83:V83)</x:f>
        <x:v>106.31</x:v>
      </x:c>
    </x:row>
    <x:row r="84">
      <x:c r="A84" s="108" t="str">
        <x:v>RB</x:v>
      </x:c>
      <x:c r="B84" s="108" t="str">
        <x:v>Kimani Vidal</x:v>
      </x:c>
      <x:c r="C84" s="108" t="str">
        <x:v>LAC</x:v>
      </x:c>
      <x:c r="D84" s="108" t="n">
        <x:v>12</x:v>
      </x:c>
      <x:c r="E84" s="109" t="n">
        <x:v>0</x:v>
      </x:c>
      <x:c r="F84" s="109" t="n">
        <x:v>0</x:v>
      </x:c>
      <x:c r="G84" s="109" t="n">
        <x:v>0</x:v>
      </x:c>
      <x:c r="H84" s="109" t="n">
        <x:v>0.75</x:v>
      </x:c>
      <x:c r="I84" s="109" t="n">
        <x:v>2.4</x:v>
      </x:c>
      <x:c r="J84" s="109" t="n">
        <x:v>21.3</x:v>
      </x:c>
      <x:c r="K84" s="109" t="n">
        <x:v>5.5</x:v>
      </x:c>
      <x:c r="L84" s="109" t="n">
        <x:v>19.2</x:v>
      </x:c>
      <x:c r="M84" s="109" t="n">
        <x:v>2.5</x:v>
      </x:c>
      <x:c r="N84" s="109" t="n">
        <x:v>17.3</x:v>
      </x:c>
      <x:c r="O84" s="109" t="n">
        <x:v>2.2</x:v>
      </x:c>
      <x:c r="P84" s="109"/>
      <x:c r="Q84" s="109" t="n">
        <x:v>22.2</x:v>
      </x:c>
      <x:c r="R84" s="109" t="n">
        <x:v>14.23</x:v>
      </x:c>
      <x:c r="S84" s="109" t="n">
        <x:v>5.3</x:v>
      </x:c>
      <x:c r="T84" s="109" t="n">
        <x:v>2.33</x:v>
      </x:c>
      <x:c r="U84" s="109" t="n">
        <x:v>0</x:v>
      </x:c>
      <x:c r="V84" s="109" t="n">
        <x:v>1.5</x:v>
      </x:c>
      <x:c r="W84" s="109" t="n">
        <x:f>AVERAGE(E84:V84)</x:f>
        <x:v>6.86529411764706</x:v>
      </x:c>
      <x:c r="X84" s="109" t="n">
        <x:f>MEDIAN(E84:V84)</x:f>
        <x:v>2.4</x:v>
      </x:c>
      <x:c r="Y84" s="109" t="n">
        <x:f>PERCENTILE.INC(E84:V84,0.25)</x:f>
        <x:v>0.75</x:v>
      </x:c>
      <x:c r="Z84" s="109" t="n">
        <x:f>STDEV.P(E84:V84)</x:f>
        <x:v>8.040836302456764</x:v>
      </x:c>
      <x:c r="AA84" s="173" t="n">
        <x:f>IF(W84=0,"",Z84/ABS(W84))</x:f>
        <x:v>1.1712296901873445</x:v>
      </x:c>
      <x:c r="AB84" s="173" t="n">
        <x:f>IF(W84=0,0,(COUNTIF(E84:V84,"&lt;"&amp;0.5*W84)-COUNTBLANK(E84:V84))/COUNT(E84:V84))</x:f>
        <x:v>0.5882352941176471</x:v>
      </x:c>
      <x:c r="AC84" s="109" t="n">
        <x:f>SUM(E84:V84)</x:f>
        <x:v>116.71000000000001</x:v>
      </x:c>
    </x:row>
    <x:row r="85">
      <x:c r="A85" s="108" t="str">
        <x:v>RB</x:v>
      </x:c>
      <x:c r="B85" s="108" t="str">
        <x:v>Dylan Sampson</x:v>
      </x:c>
      <x:c r="C85" s="108" t="str">
        <x:v>CLE</x:v>
      </x:c>
      <x:c r="D85" s="108" t="n">
        <x:v>9</x:v>
      </x:c>
      <x:c r="E85" s="109" t="n">
        <x:v>13.3</x:v>
      </x:c>
      <x:c r="F85" s="109" t="n">
        <x:v>9.4</x:v>
      </x:c>
      <x:c r="G85" s="109" t="n">
        <x:v>0.2</x:v>
      </x:c>
      <x:c r="H85" s="109" t="n">
        <x:v>-0.2</x:v>
      </x:c>
      <x:c r="I85" s="109" t="n">
        <x:v>0.7</x:v>
      </x:c>
      <x:c r="J85" s="109" t="n">
        <x:v>7.12</x:v>
      </x:c>
      <x:c r="K85" s="109" t="n">
        <x:v>3.31</x:v>
      </x:c>
      <x:c r="L85" s="109" t="n">
        <x:v>5.97</x:v>
      </x:c>
      <x:c r="M85" s="109"/>
      <x:c r="N85" s="109" t="n">
        <x:v>3.52</x:v>
      </x:c>
      <x:c r="O85" s="109" t="n">
        <x:v>3.34</x:v>
      </x:c>
      <x:c r="P85" s="109" t="n">
        <x:v>18.04</x:v>
      </x:c>
      <x:c r="Q85" s="109" t="n">
        <x:v>2.3</x:v>
      </x:c>
      <x:c r="R85" s="109" t="n">
        <x:v>7.3</x:v>
      </x:c>
      <x:c r="S85" s="109" t="n">
        <x:v>0</x:v>
      </x:c>
      <x:c r="T85" s="109" t="n">
        <x:v>0</x:v>
      </x:c>
      <x:c r="U85" s="109" t="n">
        <x:v>4.2</x:v>
      </x:c>
      <x:c r="V85" s="109" t="n">
        <x:v>5.4</x:v>
      </x:c>
      <x:c r="W85" s="109" t="n">
        <x:f>AVERAGE(E85:V85)</x:f>
        <x:v>4.93529411764706</x:v>
      </x:c>
      <x:c r="X85" s="109" t="n">
        <x:f>MEDIAN(E85:V85)</x:f>
        <x:v>3.52</x:v>
      </x:c>
      <x:c r="Y85" s="109" t="n">
        <x:f>PERCENTILE.INC(E85:V85,0.25)</x:f>
        <x:v>0.7</x:v>
      </x:c>
      <x:c r="Z85" s="109" t="n">
        <x:f>STDEV.P(E85:V85)</x:f>
        <x:v>4.871331642612555</x:v>
      </x:c>
      <x:c r="AA85" s="173" t="n">
        <x:f>IF(W85=0,"",Z85/ABS(W85))</x:f>
        <x:v>0.9870397845579668</x:v>
      </x:c>
      <x:c r="AB85" s="173" t="n">
        <x:f>IF(W85=0,0,(COUNTIF(E85:V85,"&lt;"&amp;0.5*W85)-COUNTBLANK(E85:V85))/COUNT(E85:V85))</x:f>
        <x:v>0.35294117647058826</x:v>
      </x:c>
      <x:c r="AC85" s="109" t="n">
        <x:f>SUM(E85:V85)</x:f>
        <x:v>83.90000000000002</x:v>
      </x:c>
    </x:row>
    <x:row r="86">
      <x:c r="A86" s="108" t="str">
        <x:v>RB</x:v>
      </x:c>
      <x:c r="B86" s="108" t="str">
        <x:v>Tyjae Spears</x:v>
      </x:c>
      <x:c r="C86" s="108" t="str">
        <x:v>TEN</x:v>
      </x:c>
      <x:c r="D86" s="108" t="n">
        <x:v>10</x:v>
      </x:c>
      <x:c r="E86" s="109" t="n">
        <x:v>0</x:v>
      </x:c>
      <x:c r="F86" s="109" t="n">
        <x:v>0</x:v>
      </x:c>
      <x:c r="G86" s="109" t="n">
        <x:v>0</x:v>
      </x:c>
      <x:c r="H86" s="109" t="n">
        <x:v>0</x:v>
      </x:c>
      <x:c r="I86" s="109" t="n">
        <x:v>1.4</x:v>
      </x:c>
      <x:c r="J86" s="109" t="n">
        <x:v>7</x:v>
      </x:c>
      <x:c r="K86" s="109" t="n">
        <x:v>5.5</x:v>
      </x:c>
      <x:c r="L86" s="109" t="n">
        <x:v>15.7</x:v>
      </x:c>
      <x:c r="M86" s="109" t="n">
        <x:v>7.7</x:v>
      </x:c>
      <x:c r="N86" s="109"/>
      <x:c r="O86" s="109" t="n">
        <x:v>5.9</x:v>
      </x:c>
      <x:c r="P86" s="109" t="n">
        <x:v>4.5</x:v>
      </x:c>
      <x:c r="Q86" s="109" t="n">
        <x:v>5.4</x:v>
      </x:c>
      <x:c r="R86" s="109" t="n">
        <x:v>5.7</x:v>
      </x:c>
      <x:c r="S86" s="109" t="n">
        <x:v>4.6</x:v>
      </x:c>
      <x:c r="T86" s="109" t="n">
        <x:v>19</x:v>
      </x:c>
      <x:c r="U86" s="109" t="n">
        <x:v>0.6</x:v>
      </x:c>
      <x:c r="V86" s="109" t="n">
        <x:v>6.2</x:v>
      </x:c>
      <x:c r="W86" s="109" t="n">
        <x:f>AVERAGE(E86:V86)</x:f>
        <x:v>5.247058823529412</x:v>
      </x:c>
      <x:c r="X86" s="109" t="n">
        <x:f>MEDIAN(E86:V86)</x:f>
        <x:v>5.4</x:v>
      </x:c>
      <x:c r="Y86" s="109" t="n">
        <x:f>PERCENTILE.INC(E86:V86,0.25)</x:f>
        <x:v>0.6</x:v>
      </x:c>
      <x:c r="Z86" s="109" t="n">
        <x:f>STDEV.P(E86:V86)</x:f>
        <x:v>5.18267676093199</x:v>
      </x:c>
      <x:c r="AA86" s="173" t="n">
        <x:f>IF(W86=0,"",Z86/ABS(W86))</x:f>
        <x:v>0.9877298759623748</x:v>
      </x:c>
      <x:c r="AB86" s="173" t="n">
        <x:f>IF(W86=0,0,(COUNTIF(E86:V86,"&lt;"&amp;0.5*W86)-COUNTBLANK(E86:V86))/COUNT(E86:V86))</x:f>
        <x:v>0.35294117647058826</x:v>
      </x:c>
      <x:c r="AC86" s="109" t="n">
        <x:f>SUM(E86:V86)</x:f>
        <x:v>89.2</x:v>
      </x:c>
    </x:row>
    <x:row r="87">
      <x:c r="A87" s="108" t="str">
        <x:v>RB</x:v>
      </x:c>
      <x:c r="B87" s="108" t="str">
        <x:v>Michael Carter</x:v>
      </x:c>
      <x:c r="C87" s="108" t="str">
        <x:v>ARI</x:v>
      </x:c>
      <x:c r="D87" s="108" t="n">
        <x:v>8</x:v>
      </x:c>
      <x:c r="E87" s="109" t="n">
        <x:v>0</x:v>
      </x:c>
      <x:c r="F87" s="109" t="n">
        <x:v>0</x:v>
      </x:c>
      <x:c r="G87" s="109" t="n">
        <x:v>0</x:v>
      </x:c>
      <x:c r="H87" s="109" t="n">
        <x:v>0.1</x:v>
      </x:c>
      <x:c r="I87" s="109" t="n">
        <x:v>15.8</x:v>
      </x:c>
      <x:c r="J87" s="109" t="n">
        <x:v>7.4</x:v>
      </x:c>
      <x:c r="K87" s="109" t="n">
        <x:v>4.6</x:v>
      </x:c>
      <x:c r="L87" s="109"/>
      <x:c r="M87" s="109" t="n">
        <x:v>0</x:v>
      </x:c>
      <x:c r="N87" s="109" t="n">
        <x:v>0.4</x:v>
      </x:c>
      <x:c r="O87" s="109" t="n">
        <x:v>6.11</x:v>
      </x:c>
      <x:c r="P87" s="109" t="n">
        <x:v>7.3</x:v>
      </x:c>
      <x:c r="Q87" s="109" t="n">
        <x:v>8.9</x:v>
      </x:c>
      <x:c r="R87" s="109" t="n">
        <x:v>4.1</x:v>
      </x:c>
      <x:c r="S87" s="109" t="n">
        <x:v>11.4</x:v>
      </x:c>
      <x:c r="T87" s="109" t="n">
        <x:v>6.5</x:v>
      </x:c>
      <x:c r="U87" s="109" t="n">
        <x:v>5.3</x:v>
      </x:c>
      <x:c r="V87" s="109" t="n">
        <x:v>5.4</x:v>
      </x:c>
      <x:c r="W87" s="109" t="n">
        <x:f>AVERAGE(E87:V87)</x:f>
        <x:v>4.9005882352941175</x:v>
      </x:c>
      <x:c r="X87" s="109" t="n">
        <x:f>MEDIAN(E87:V87)</x:f>
        <x:v>5.3</x:v>
      </x:c>
      <x:c r="Y87" s="109" t="n">
        <x:f>PERCENTILE.INC(E87:V87,0.25)</x:f>
        <x:v>0.1</x:v>
      </x:c>
      <x:c r="Z87" s="109" t="n">
        <x:f>STDEV.P(E87:V87)</x:f>
        <x:v>4.429606901412141</x:v>
      </x:c>
      <x:c r="AA87" s="173" t="n">
        <x:f>IF(W87=0,"",Z87/ABS(W87))</x:f>
        <x:v>0.9038928978994887</x:v>
      </x:c>
      <x:c r="AB87" s="173" t="n">
        <x:f>IF(W87=0,0,(COUNTIF(E87:V87,"&lt;"&amp;0.5*W87)-COUNTBLANK(E87:V87))/COUNT(E87:V87))</x:f>
        <x:v>0.35294117647058826</x:v>
      </x:c>
      <x:c r="AC87" s="109" t="n">
        <x:f>SUM(E87:V87)</x:f>
        <x:v>83.31</x:v>
      </x:c>
    </x:row>
    <x:row r="88">
      <x:c r="A88" s="108" t="str">
        <x:v>RB</x:v>
      </x:c>
      <x:c r="B88" s="108" t="str">
        <x:v>Aaron Jones Sr.</x:v>
      </x:c>
      <x:c r="C88" s="108" t="str">
        <x:v>MIN</x:v>
      </x:c>
      <x:c r="D88" s="108" t="n">
        <x:v>6</x:v>
      </x:c>
      <x:c r="E88" s="109" t="n">
        <x:v>14.2</x:v>
      </x:c>
      <x:c r="F88" s="109" t="n">
        <x:v>2.3</x:v>
      </x:c>
      <x:c r="G88" s="109" t="n">
        <x:v>0</x:v>
      </x:c>
      <x:c r="H88" s="109" t="n">
        <x:v>0</x:v>
      </x:c>
      <x:c r="I88" s="109" t="n">
        <x:v>0</x:v>
      </x:c>
      <x:c r="J88" s="109"/>
      <x:c r="K88" s="109" t="n">
        <x:v>0</x:v>
      </x:c>
      <x:c r="L88" s="109" t="n">
        <x:v>4</x:v>
      </x:c>
      <x:c r="M88" s="109" t="n">
        <x:v>10.8</x:v>
      </x:c>
      <x:c r="N88" s="109" t="n">
        <x:v>14.4</x:v>
      </x:c>
      <x:c r="O88" s="109" t="n">
        <x:v>9.1</x:v>
      </x:c>
      <x:c r="P88" s="109" t="n">
        <x:v>7.2</x:v>
      </x:c>
      <x:c r="Q88" s="109" t="n">
        <x:v>2.5</x:v>
      </x:c>
      <x:c r="R88" s="109" t="n">
        <x:v>7.6</x:v>
      </x:c>
      <x:c r="S88" s="109" t="n">
        <x:v>8</x:v>
      </x:c>
      <x:c r="T88" s="109" t="n">
        <x:v>10.3</x:v>
      </x:c>
      <x:c r="U88" s="109" t="n">
        <x:v>13.8</x:v>
      </x:c>
      <x:c r="V88" s="109" t="n">
        <x:v>0</x:v>
      </x:c>
      <x:c r="W88" s="109" t="n">
        <x:f>AVERAGE(E88:V88)</x:f>
        <x:v>6.129411764705882</x:v>
      </x:c>
      <x:c r="X88" s="109" t="n">
        <x:f>MEDIAN(E88:V88)</x:f>
        <x:v>7.2</x:v>
      </x:c>
      <x:c r="Y88" s="109" t="n">
        <x:f>PERCENTILE.INC(E88:V88,0.25)</x:f>
        <x:v>0</x:v>
      </x:c>
      <x:c r="Z88" s="109" t="n">
        <x:f>STDEV.P(E88:V88)</x:f>
        <x:v>5.243681318656416</x:v>
      </x:c>
      <x:c r="AA88" s="173" t="n">
        <x:f>IF(W88=0,"",Z88/ABS(W88))</x:f>
        <x:v>0.8554950327942331</x:v>
      </x:c>
      <x:c r="AB88" s="173" t="n">
        <x:f>IF(W88=0,0,(COUNTIF(E88:V88,"&lt;"&amp;0.5*W88)-COUNTBLANK(E88:V88))/COUNT(E88:V88))</x:f>
        <x:v>0.4117647058823529</x:v>
      </x:c>
      <x:c r="AC88" s="109" t="n">
        <x:f>SUM(E88:V88)</x:f>
        <x:v>104.19999999999999</x:v>
      </x:c>
    </x:row>
    <x:row r="89">
      <x:c r="A89" s="108" t="str">
        <x:v>RB</x:v>
      </x:c>
      <x:c r="B89" s="108" t="str">
        <x:v>J.K. Dobbins</x:v>
      </x:c>
      <x:c r="C89" s="108" t="str">
        <x:v>DEN</x:v>
      </x:c>
      <x:c r="D89" s="108" t="n">
        <x:v>12</x:v>
      </x:c>
      <x:c r="E89" s="109" t="n">
        <x:v>13.8</x:v>
      </x:c>
      <x:c r="F89" s="109" t="n">
        <x:v>15</x:v>
      </x:c>
      <x:c r="G89" s="109" t="n">
        <x:v>14.8</x:v>
      </x:c>
      <x:c r="H89" s="109" t="n">
        <x:v>11</x:v>
      </x:c>
      <x:c r="I89" s="109" t="n">
        <x:v>14.9</x:v>
      </x:c>
      <x:c r="J89" s="109" t="n">
        <x:v>4</x:v>
      </x:c>
      <x:c r="K89" s="109" t="n">
        <x:v>8.5</x:v>
      </x:c>
      <x:c r="L89" s="109" t="n">
        <x:v>13.1</x:v>
      </x:c>
      <x:c r="M89" s="109" t="n">
        <x:v>6.4</x:v>
      </x:c>
      <x:c r="N89" s="109" t="n">
        <x:v>8.9</x:v>
      </x:c>
      <x:c r="O89" s="109" t="n">
        <x:v>0</x:v>
      </x:c>
      <x:c r="P89" s="109"/>
      <x:c r="Q89" s="109" t="n">
        <x:v>0</x:v>
      </x:c>
      <x:c r="R89" s="109" t="n">
        <x:v>0</x:v>
      </x:c>
      <x:c r="S89" s="109" t="n">
        <x:v>0</x:v>
      </x:c>
      <x:c r="T89" s="109" t="n">
        <x:v>0</x:v>
      </x:c>
      <x:c r="U89" s="109" t="n">
        <x:v>0</x:v>
      </x:c>
      <x:c r="V89" s="109" t="n">
        <x:v>0</x:v>
      </x:c>
      <x:c r="W89" s="109" t="n">
        <x:f>AVERAGE(E89:V89)</x:f>
        <x:v>6.4941176470588236</x:v>
      </x:c>
      <x:c r="X89" s="109" t="n">
        <x:f>MEDIAN(E89:V89)</x:f>
        <x:v>6.4</x:v>
      </x:c>
      <x:c r="Y89" s="109" t="n">
        <x:f>PERCENTILE.INC(E89:V89,0.25)</x:f>
        <x:v>0</x:v>
      </x:c>
      <x:c r="Z89" s="109" t="n">
        <x:f>STDEV.P(E89:V89)</x:f>
        <x:v>6.138448796985929</x:v>
      </x:c>
      <x:c r="AA89" s="173" t="n">
        <x:f>IF(W89=0,"",Z89/ABS(W89))</x:f>
        <x:v>0.9452321517097898</x:v>
      </x:c>
      <x:c r="AB89" s="173" t="n">
        <x:f>IF(W89=0,0,(COUNTIF(E89:V89,"&lt;"&amp;0.5*W89)-COUNTBLANK(E89:V89))/COUNT(E89:V89))</x:f>
        <x:v>0.4117647058823529</x:v>
      </x:c>
      <x:c r="AC89" s="109" t="n">
        <x:f>SUM(E89:V89)</x:f>
        <x:v>110.4</x:v>
      </x:c>
    </x:row>
    <x:row r="90">
      <x:c r="A90" s="108" t="str">
        <x:v>RB</x:v>
      </x:c>
      <x:c r="B90" s="108" t="str">
        <x:v>Chris Rodriguez Jr.</x:v>
      </x:c>
      <x:c r="C90" s="108" t="str">
        <x:v>WSH</x:v>
      </x:c>
      <x:c r="D90" s="108" t="n">
        <x:v>12</x:v>
      </x:c>
      <x:c r="E90" s="109" t="n">
        <x:v>0</x:v>
      </x:c>
      <x:c r="F90" s="109" t="n">
        <x:v>0</x:v>
      </x:c>
      <x:c r="G90" s="109" t="n">
        <x:v>3.9</x:v>
      </x:c>
      <x:c r="H90" s="109" t="n">
        <x:v>5.9</x:v>
      </x:c>
      <x:c r="I90" s="109" t="n">
        <x:v>0.7</x:v>
      </x:c>
      <x:c r="J90" s="109" t="n">
        <x:v>0</x:v>
      </x:c>
      <x:c r="K90" s="109" t="n">
        <x:v>7.2</x:v>
      </x:c>
      <x:c r="L90" s="109" t="n">
        <x:v>0.2</x:v>
      </x:c>
      <x:c r="M90" s="109" t="n">
        <x:v>12.5</x:v>
      </x:c>
      <x:c r="N90" s="109" t="n">
        <x:v>7.6</x:v>
      </x:c>
      <x:c r="O90" s="109" t="n">
        <x:v>9</x:v>
      </x:c>
      <x:c r="P90" s="109"/>
      <x:c r="Q90" s="109" t="n">
        <x:v>10.1</x:v>
      </x:c>
      <x:c r="R90" s="109" t="n">
        <x:v>5.2</x:v>
      </x:c>
      <x:c r="S90" s="109" t="n">
        <x:v>0</x:v>
      </x:c>
      <x:c r="T90" s="109" t="n">
        <x:v>13.4</x:v>
      </x:c>
      <x:c r="U90" s="109" t="n">
        <x:v>0</x:v>
      </x:c>
      <x:c r="V90" s="109" t="n">
        <x:v>14.8</x:v>
      </x:c>
      <x:c r="W90" s="109" t="n">
        <x:f>AVERAGE(E90:V90)</x:f>
        <x:v>5.323529411764706</x:v>
      </x:c>
      <x:c r="X90" s="109" t="n">
        <x:f>MEDIAN(E90:V90)</x:f>
        <x:v>5.2</x:v>
      </x:c>
      <x:c r="Y90" s="109" t="n">
        <x:f>PERCENTILE.INC(E90:V90,0.25)</x:f>
        <x:v>0</x:v>
      </x:c>
      <x:c r="Z90" s="109" t="n">
        <x:f>STDEV.P(E90:V90)</x:f>
        <x:v>5.106343161640145</x:v>
      </x:c>
      <x:c r="AA90" s="173" t="n">
        <x:f>IF(W90=0,"",Z90/ABS(W90))</x:f>
        <x:v>0.95920258284953</x:v>
      </x:c>
      <x:c r="AB90" s="173" t="n">
        <x:f>IF(W90=0,0,(COUNTIF(E90:V90,"&lt;"&amp;0.5*W90)-COUNTBLANK(E90:V90))/COUNT(E90:V90))</x:f>
        <x:v>0.4117647058823529</x:v>
      </x:c>
      <x:c r="AC90" s="109" t="n">
        <x:f>SUM(E90:V90)</x:f>
        <x:v>90.5</x:v>
      </x:c>
    </x:row>
    <x:row r="91">
      <x:c r="A91" s="108" t="str">
        <x:v>RB</x:v>
      </x:c>
      <x:c r="B91" s="108" t="str">
        <x:v>Bucky Irving</x:v>
      </x:c>
      <x:c r="C91" s="108" t="str">
        <x:v>TB</x:v>
      </x:c>
      <x:c r="D91" s="108" t="n">
        <x:v>9</x:v>
      </x:c>
      <x:c r="E91" s="109" t="n">
        <x:v>12.5</x:v>
      </x:c>
      <x:c r="F91" s="109" t="n">
        <x:v>15.1</x:v>
      </x:c>
      <x:c r="G91" s="109" t="n">
        <x:v>11.9</x:v>
      </x:c>
      <x:c r="H91" s="109" t="n">
        <x:v>25</x:v>
      </x:c>
      <x:c r="I91" s="109" t="n">
        <x:v>0</x:v>
      </x:c>
      <x:c r="J91" s="109" t="n">
        <x:v>0</x:v>
      </x:c>
      <x:c r="K91" s="109" t="n">
        <x:v>0</x:v>
      </x:c>
      <x:c r="L91" s="109" t="n">
        <x:v>0</x:v>
      </x:c>
      <x:c r="M91" s="109"/>
      <x:c r="N91" s="109" t="n">
        <x:v>0</x:v>
      </x:c>
      <x:c r="O91" s="109" t="n">
        <x:v>0</x:v>
      </x:c>
      <x:c r="P91" s="109" t="n">
        <x:v>0</x:v>
      </x:c>
      <x:c r="Q91" s="109" t="n">
        <x:v>15.1</x:v>
      </x:c>
      <x:c r="R91" s="109" t="n">
        <x:v>15.1</x:v>
      </x:c>
      <x:c r="S91" s="109" t="n">
        <x:v>7.6</x:v>
      </x:c>
      <x:c r="T91" s="109" t="n">
        <x:v>7.1</x:v>
      </x:c>
      <x:c r="U91" s="109" t="n">
        <x:v>5.8</x:v>
      </x:c>
      <x:c r="V91" s="109" t="n">
        <x:v>10.3</x:v>
      </x:c>
      <x:c r="W91" s="109" t="n">
        <x:f>AVERAGE(E91:V91)</x:f>
        <x:v>7.382352941176469</x:v>
      </x:c>
      <x:c r="X91" s="109" t="n">
        <x:f>MEDIAN(E91:V91)</x:f>
        <x:v>7.1</x:v>
      </x:c>
      <x:c r="Y91" s="109" t="n">
        <x:f>PERCENTILE.INC(E91:V91,0.25)</x:f>
        <x:v>0</x:v>
      </x:c>
      <x:c r="Z91" s="109" t="n">
        <x:f>STDEV.P(E91:V91)</x:f>
        <x:v>7.389598038428759</x:v>
      </x:c>
      <x:c r="AA91" s="173" t="n">
        <x:f>IF(W91=0,"",Z91/ABS(W91))</x:f>
        <x:v>1.0009814075959278</x:v>
      </x:c>
      <x:c r="AB91" s="173" t="n">
        <x:f>IF(W91=0,0,(COUNTIF(E91:V91,"&lt;"&amp;0.5*W91)-COUNTBLANK(E91:V91))/COUNT(E91:V91))</x:f>
        <x:v>0.4117647058823529</x:v>
      </x:c>
      <x:c r="AC91" s="109" t="n">
        <x:f>SUM(E91:V91)</x:f>
        <x:v>125.49999999999997</x:v>
      </x:c>
    </x:row>
    <x:row r="92">
      <x:c r="A92" s="108" t="str">
        <x:v>RB</x:v>
      </x:c>
      <x:c r="B92" s="108" t="str">
        <x:v>Alvin Kamara</x:v>
      </x:c>
      <x:c r="C92" s="108" t="str">
        <x:v>NO</x:v>
      </x:c>
      <x:c r="D92" s="108" t="n">
        <x:v>11</x:v>
      </x:c>
      <x:c r="E92" s="109" t="n">
        <x:v>12.7</x:v>
      </x:c>
      <x:c r="F92" s="109" t="n">
        <x:v>13</x:v>
      </x:c>
      <x:c r="G92" s="109" t="n">
        <x:v>6.1</x:v>
      </x:c>
      <x:c r="H92" s="109" t="n">
        <x:v>9.2</x:v>
      </x:c>
      <x:c r="I92" s="109" t="n">
        <x:v>7.5</x:v>
      </x:c>
      <x:c r="J92" s="109" t="n">
        <x:v>10.1</x:v>
      </x:c>
      <x:c r="K92" s="109" t="n">
        <x:v>4.4</x:v>
      </x:c>
      <x:c r="L92" s="109" t="n">
        <x:v>5.5</x:v>
      </x:c>
      <x:c r="M92" s="109" t="n">
        <x:v>0.2</x:v>
      </x:c>
      <x:c r="N92" s="109" t="n">
        <x:v>13</x:v>
      </x:c>
      <x:c r="O92" s="109"/>
      <x:c r="P92" s="109" t="n">
        <x:v>2.5</x:v>
      </x:c>
      <x:c r="Q92" s="109" t="n">
        <x:v>0</x:v>
      </x:c>
      <x:c r="R92" s="109" t="n">
        <x:v>0</x:v>
      </x:c>
      <x:c r="S92" s="109" t="n">
        <x:v>0</x:v>
      </x:c>
      <x:c r="T92" s="109" t="n">
        <x:v>0</x:v>
      </x:c>
      <x:c r="U92" s="109" t="n">
        <x:v>0</x:v>
      </x:c>
      <x:c r="V92" s="109" t="n">
        <x:v>0</x:v>
      </x:c>
      <x:c r="W92" s="109" t="n">
        <x:f>AVERAGE(E92:V92)</x:f>
        <x:v>4.952941176470588</x:v>
      </x:c>
      <x:c r="X92" s="109" t="n">
        <x:f>MEDIAN(E92:V92)</x:f>
        <x:v>4.4</x:v>
      </x:c>
      <x:c r="Y92" s="109" t="n">
        <x:f>PERCENTILE.INC(E92:V92,0.25)</x:f>
        <x:v>0</x:v>
      </x:c>
      <x:c r="Z92" s="109" t="n">
        <x:f>STDEV.P(E92:V92)</x:f>
        <x:v>4.96020844522377</x:v>
      </x:c>
      <x:c r="AA92" s="173" t="n">
        <x:f>IF(W92=0,"",Z92/ABS(W92))</x:f>
        <x:v>1.0014672632874593</x:v>
      </x:c>
      <x:c r="AB92" s="173" t="n">
        <x:f>IF(W92=0,0,(COUNTIF(E92:V92,"&lt;"&amp;0.5*W92)-COUNTBLANK(E92:V92))/COUNT(E92:V92))</x:f>
        <x:v>0.4117647058823529</x:v>
      </x:c>
      <x:c r="AC92" s="109" t="n">
        <x:f>SUM(E92:V92)</x:f>
        <x:v>84.2</x:v>
      </x:c>
    </x:row>
    <x:row r="93">
      <x:c r="A93" s="108" t="str">
        <x:v>RB</x:v>
      </x:c>
      <x:c r="B93" s="108" t="str">
        <x:v>Bam Knight</x:v>
      </x:c>
      <x:c r="C93" s="108" t="str">
        <x:v>ARI</x:v>
      </x:c>
      <x:c r="D93" s="108" t="n">
        <x:v>8</x:v>
      </x:c>
      <x:c r="E93" s="109" t="n">
        <x:v>0</x:v>
      </x:c>
      <x:c r="F93" s="109" t="n">
        <x:v>1.29</x:v>
      </x:c>
      <x:c r="G93" s="109" t="n">
        <x:v>0</x:v>
      </x:c>
      <x:c r="H93" s="109" t="n">
        <x:v>1.32</x:v>
      </x:c>
      <x:c r="I93" s="109" t="n">
        <x:v>11.6</x:v>
      </x:c>
      <x:c r="J93" s="109" t="n">
        <x:v>11.9</x:v>
      </x:c>
      <x:c r="K93" s="109" t="n">
        <x:v>7.9</x:v>
      </x:c>
      <x:c r="L93" s="109"/>
      <x:c r="M93" s="109" t="n">
        <x:v>5.7</x:v>
      </x:c>
      <x:c r="N93" s="109" t="n">
        <x:v>6.17</x:v>
      </x:c>
      <x:c r="O93" s="109" t="n">
        <x:v>12.5</x:v>
      </x:c>
      <x:c r="P93" s="109" t="n">
        <x:v>11.2</x:v>
      </x:c>
      <x:c r="Q93" s="109" t="n">
        <x:v>15.3</x:v>
      </x:c>
      <x:c r="R93" s="109" t="n">
        <x:v>4.9</x:v>
      </x:c>
      <x:c r="S93" s="109" t="n">
        <x:v>-0.2</x:v>
      </x:c>
      <x:c r="T93" s="109" t="n">
        <x:v>0</x:v>
      </x:c>
      <x:c r="U93" s="109" t="n">
        <x:v>0</x:v>
      </x:c>
      <x:c r="V93" s="109" t="n">
        <x:v>0</x:v>
      </x:c>
      <x:c r="W93" s="109" t="n">
        <x:f>AVERAGE(E93:V93)</x:f>
        <x:v>5.2694117647058825</x:v>
      </x:c>
      <x:c r="X93" s="109" t="n">
        <x:f>MEDIAN(E93:V93)</x:f>
        <x:v>4.9</x:v>
      </x:c>
      <x:c r="Y93" s="109" t="n">
        <x:f>PERCENTILE.INC(E93:V93,0.25)</x:f>
        <x:v>0</x:v>
      </x:c>
      <x:c r="Z93" s="109" t="n">
        <x:f>STDEV.P(E93:V93)</x:f>
        <x:v>5.315579178877915</x:v>
      </x:c>
      <x:c r="AA93" s="173" t="n">
        <x:f>IF(W93=0,"",Z93/ABS(W93))</x:f>
        <x:v>1.0087613980902495</x:v>
      </x:c>
      <x:c r="AB93" s="173" t="n">
        <x:f>IF(W93=0,0,(COUNTIF(E93:V93,"&lt;"&amp;0.5*W93)-COUNTBLANK(E93:V93))/COUNT(E93:V93))</x:f>
        <x:v>0.47058823529411764</x:v>
      </x:c>
      <x:c r="AC93" s="109" t="n">
        <x:f>SUM(E93:V93)</x:f>
        <x:v>89.58</x:v>
      </x:c>
    </x:row>
    <x:row r="94">
      <x:c r="A94" s="108" t="str">
        <x:v>RB</x:v>
      </x:c>
      <x:c r="B94" s="108" t="str">
        <x:v>Omarion Hampton</x:v>
      </x:c>
      <x:c r="C94" s="108" t="str">
        <x:v>LAC</x:v>
      </x:c>
      <x:c r="D94" s="108" t="n">
        <x:v>12</x:v>
      </x:c>
      <x:c r="E94" s="109" t="n">
        <x:v>7.1</x:v>
      </x:c>
      <x:c r="F94" s="109" t="n">
        <x:v>3</x:v>
      </x:c>
      <x:c r="G94" s="109" t="n">
        <x:v>22.3</x:v>
      </x:c>
      <x:c r="H94" s="109" t="n">
        <x:v>27</x:v>
      </x:c>
      <x:c r="I94" s="109" t="n">
        <x:v>10</x:v>
      </x:c>
      <x:c r="J94" s="109" t="n">
        <x:v>0</x:v>
      </x:c>
      <x:c r="K94" s="109" t="n">
        <x:v>0</x:v>
      </x:c>
      <x:c r="L94" s="109" t="n">
        <x:v>0</x:v>
      </x:c>
      <x:c r="M94" s="109" t="n">
        <x:v>0</x:v>
      </x:c>
      <x:c r="N94" s="109" t="n">
        <x:v>0</x:v>
      </x:c>
      <x:c r="O94" s="109" t="n">
        <x:v>0</x:v>
      </x:c>
      <x:c r="P94" s="109"/>
      <x:c r="Q94" s="109" t="n">
        <x:v>0</x:v>
      </x:c>
      <x:c r="R94" s="109" t="n">
        <x:v>13.7</x:v>
      </x:c>
      <x:c r="S94" s="109" t="n">
        <x:v>7</x:v>
      </x:c>
      <x:c r="T94" s="109" t="n">
        <x:v>16</x:v>
      </x:c>
      <x:c r="U94" s="109" t="n">
        <x:v>16</x:v>
      </x:c>
      <x:c r="V94" s="109" t="n">
        <x:v>0</x:v>
      </x:c>
      <x:c r="W94" s="109" t="n">
        <x:f>AVERAGE(E94:V94)</x:f>
        <x:v>7.182352941176471</x:v>
      </x:c>
      <x:c r="X94" s="109" t="n">
        <x:f>MEDIAN(E94:V94)</x:f>
        <x:v>3</x:v>
      </x:c>
      <x:c r="Y94" s="109" t="n">
        <x:f>PERCENTILE.INC(E94:V94,0.25)</x:f>
        <x:v>0</x:v>
      </x:c>
      <x:c r="Z94" s="109" t="n">
        <x:f>STDEV.P(E94:V94)</x:f>
        <x:v>8.600358083798033</x:v>
      </x:c>
      <x:c r="AA94" s="173" t="n">
        <x:f>IF(W94=0,"",Z94/ABS(W94))</x:f>
        <x:v>1.1974290534362535</x:v>
      </x:c>
      <x:c r="AB94" s="173" t="n">
        <x:f>IF(W94=0,0,(COUNTIF(E94:V94,"&lt;"&amp;0.5*W94)-COUNTBLANK(E94:V94))/COUNT(E94:V94))</x:f>
        <x:v>0.5294117647058824</x:v>
      </x:c>
      <x:c r="AC94" s="109" t="n">
        <x:f>SUM(E94:V94)</x:f>
        <x:v>122.10000000000001</x:v>
      </x:c>
    </x:row>
    <x:row r="95">
      <x:c r="A95" s="108" t="str">
        <x:v>RB</x:v>
      </x:c>
      <x:c r="B95" s="108" t="str">
        <x:v>Cam Skattebo</x:v>
      </x:c>
      <x:c r="C95" s="108" t="str">
        <x:v>NYG</x:v>
      </x:c>
      <x:c r="D95" s="108" t="n">
        <x:v>14</x:v>
      </x:c>
      <x:c r="E95" s="109" t="n">
        <x:v>1.9</x:v>
      </x:c>
      <x:c r="F95" s="109" t="n">
        <x:v>12.9</x:v>
      </x:c>
      <x:c r="G95" s="109" t="n">
        <x:v>21.1</x:v>
      </x:c>
      <x:c r="H95" s="109" t="n">
        <x:v>12</x:v>
      </x:c>
      <x:c r="I95" s="109" t="n">
        <x:v>11.4</x:v>
      </x:c>
      <x:c r="J95" s="109" t="n">
        <x:v>30</x:v>
      </x:c>
      <x:c r="K95" s="109" t="n">
        <x:v>16.9</x:v>
      </x:c>
      <x:c r="L95" s="109" t="n">
        <x:v>9.5</x:v>
      </x:c>
      <x:c r="M95" s="109" t="n">
        <x:v>0</x:v>
      </x:c>
      <x:c r="N95" s="109" t="n">
        <x:v>0</x:v>
      </x:c>
      <x:c r="O95" s="109" t="n">
        <x:v>0</x:v>
      </x:c>
      <x:c r="P95" s="109" t="n">
        <x:v>0</x:v>
      </x:c>
      <x:c r="Q95" s="109" t="n">
        <x:v>0</x:v>
      </x:c>
      <x:c r="R95" s="109"/>
      <x:c r="S95" s="109" t="n">
        <x:v>0</x:v>
      </x:c>
      <x:c r="T95" s="109" t="n">
        <x:v>0</x:v>
      </x:c>
      <x:c r="U95" s="109" t="n">
        <x:v>0</x:v>
      </x:c>
      <x:c r="V95" s="109" t="n">
        <x:v>0</x:v>
      </x:c>
      <x:c r="W95" s="109" t="n">
        <x:f>AVERAGE(E95:V95)</x:f>
        <x:v>6.805882352941177</x:v>
      </x:c>
      <x:c r="X95" s="109" t="n">
        <x:f>MEDIAN(E95:V95)</x:f>
        <x:v>0</x:v>
      </x:c>
      <x:c r="Y95" s="109" t="n">
        <x:f>PERCENTILE.INC(E95:V95,0.25)</x:f>
        <x:v>0</x:v>
      </x:c>
      <x:c r="Z95" s="109" t="n">
        <x:f>STDEV.P(E95:V95)</x:f>
        <x:v>9.001991321416895</x:v>
      </x:c>
      <x:c r="AA95" s="173" t="n">
        <x:f>IF(W95=0,"",Z95/ABS(W95))</x:f>
        <x:v>1.3226780679696388</x:v>
      </x:c>
      <x:c r="AB95" s="173" t="n">
        <x:f>IF(W95=0,0,(COUNTIF(E95:V95,"&lt;"&amp;0.5*W95)-COUNTBLANK(E95:V95))/COUNT(E95:V95))</x:f>
        <x:v>0.5882352941176471</x:v>
      </x:c>
      <x:c r="AC95" s="109" t="n">
        <x:f>SUM(E95:V95)</x:f>
        <x:v>115.70000000000002</x:v>
      </x:c>
    </x:row>
    <x:row r="96">
      <x:c r="A96" s="108" t="str">
        <x:v>WR</x:v>
      </x:c>
      <x:c r="B96" s="108" t="str">
        <x:v>Jaxon Smith-Njigba</x:v>
      </x:c>
      <x:c r="C96" s="108" t="str">
        <x:v>SEA</x:v>
      </x:c>
      <x:c r="D96" s="108" t="n">
        <x:v>8</x:v>
      </x:c>
      <x:c r="E96" s="109" t="n">
        <x:v>14.4</x:v>
      </x:c>
      <x:c r="F96" s="109" t="n">
        <x:v>14.3</x:v>
      </x:c>
      <x:c r="G96" s="109" t="n">
        <x:v>18.1</x:v>
      </x:c>
      <x:c r="H96" s="109" t="n">
        <x:v>11</x:v>
      </x:c>
      <x:c r="I96" s="109" t="n">
        <x:v>23.2</x:v>
      </x:c>
      <x:c r="J96" s="109" t="n">
        <x:v>28.2</x:v>
      </x:c>
      <x:c r="K96" s="109" t="n">
        <x:v>22.3</x:v>
      </x:c>
      <x:c r="L96" s="109"/>
      <x:c r="M96" s="109" t="n">
        <x:v>18</x:v>
      </x:c>
      <x:c r="N96" s="109" t="n">
        <x:v>19.8</x:v>
      </x:c>
      <x:c r="O96" s="109" t="n">
        <x:v>16.1</x:v>
      </x:c>
      <x:c r="P96" s="109" t="n">
        <x:v>35.1</x:v>
      </x:c>
      <x:c r="Q96" s="109" t="n">
        <x:v>3.3</x:v>
      </x:c>
      <x:c r="R96" s="109" t="n">
        <x:v>24.1</x:v>
      </x:c>
      <x:c r="S96" s="109" t="n">
        <x:v>14.8</x:v>
      </x:c>
      <x:c r="T96" s="109" t="n">
        <x:v>19.6</x:v>
      </x:c>
      <x:c r="U96" s="109" t="n">
        <x:v>11.7</x:v>
      </x:c>
      <x:c r="V96" s="109" t="n">
        <x:v>11.4</x:v>
      </x:c>
      <x:c r="W96" s="109" t="n">
        <x:f>AVERAGE(E96:V96)</x:f>
        <x:v>17.96470588235294</x:v>
      </x:c>
      <x:c r="X96" s="109" t="n">
        <x:f>MEDIAN(E96:V96)</x:f>
        <x:v>18</x:v>
      </x:c>
      <x:c r="Y96" s="109" t="n">
        <x:f>PERCENTILE.INC(E96:V96,0.25)</x:f>
        <x:v>14.3</x:v>
      </x:c>
      <x:c r="Z96" s="109" t="n">
        <x:f>STDEV.P(E96:V96)</x:f>
        <x:v>7.169456553075413</x:v>
      </x:c>
      <x:c r="AA96" s="173" t="n">
        <x:f>IF(W96=0,"",Z96/ABS(W96))</x:f>
        <x:v>0.39908566274486584</x:v>
      </x:c>
      <x:c r="AB96" s="173" t="n">
        <x:f>IF(W96=0,0,(COUNTIF(E96:V96,"&lt;"&amp;0.5*W96)-COUNTBLANK(E96:V96))/COUNT(E96:V96))</x:f>
        <x:v>0.058823529411764705</x:v>
      </x:c>
      <x:c r="AC96" s="109" t="n">
        <x:f>SUM(E96:V96)</x:f>
        <x:v>305.4</x:v>
      </x:c>
    </x:row>
    <x:row r="97">
      <x:c r="A97" s="108" t="str">
        <x:v>WR</x:v>
      </x:c>
      <x:c r="B97" s="108" t="str">
        <x:v>Puka Nacua</x:v>
      </x:c>
      <x:c r="C97" s="108" t="str">
        <x:v>LAR</x:v>
      </x:c>
      <x:c r="D97" s="108" t="n">
        <x:v>8</x:v>
      </x:c>
      <x:c r="E97" s="109" t="n">
        <x:v>18.1</x:v>
      </x:c>
      <x:c r="F97" s="109" t="n">
        <x:v>25.6</x:v>
      </x:c>
      <x:c r="G97" s="109" t="n">
        <x:v>17.3</x:v>
      </x:c>
      <x:c r="H97" s="109" t="n">
        <x:v>29.5</x:v>
      </x:c>
      <x:c r="I97" s="109" t="n">
        <x:v>19.5</x:v>
      </x:c>
      <x:c r="J97" s="109" t="n">
        <x:v>3.8</x:v>
      </x:c>
      <x:c r="K97" s="109" t="n">
        <x:v>0</x:v>
      </x:c>
      <x:c r="L97" s="109"/>
      <x:c r="M97" s="109" t="n">
        <x:v>19.3</x:v>
      </x:c>
      <x:c r="N97" s="109" t="n">
        <x:v>14.9</x:v>
      </x:c>
      <x:c r="O97" s="109" t="n">
        <x:v>10.8</x:v>
      </x:c>
      <x:c r="P97" s="109" t="n">
        <x:v>13.2</x:v>
      </x:c>
      <x:c r="Q97" s="109" t="n">
        <x:v>10.2</x:v>
      </x:c>
      <x:c r="R97" s="109" t="n">
        <x:v>32.2</x:v>
      </x:c>
      <x:c r="S97" s="109" t="n">
        <x:v>23.4</x:v>
      </x:c>
      <x:c r="T97" s="109" t="n">
        <x:v>42.5</x:v>
      </x:c>
      <x:c r="U97" s="109" t="n">
        <x:v>13.2</x:v>
      </x:c>
      <x:c r="V97" s="109" t="n">
        <x:v>21</x:v>
      </x:c>
      <x:c r="W97" s="109" t="n">
        <x:f>AVERAGE(E97:V97)</x:f>
        <x:v>18.499999999999996</x:v>
      </x:c>
      <x:c r="X97" s="109" t="n">
        <x:f>MEDIAN(E97:V97)</x:f>
        <x:v>18.1</x:v>
      </x:c>
      <x:c r="Y97" s="109" t="n">
        <x:f>PERCENTILE.INC(E97:V97,0.25)</x:f>
        <x:v>13.2</x:v>
      </x:c>
      <x:c r="Z97" s="109" t="n">
        <x:f>STDEV.P(E97:V97)</x:f>
        <x:v>10.071100179400927</x:v>
      </x:c>
      <x:c r="AA97" s="173" t="n">
        <x:f>IF(W97=0,"",Z97/ABS(W97))</x:f>
        <x:v>0.5443837934811313</x:v>
      </x:c>
      <x:c r="AB97" s="173" t="n">
        <x:f>IF(W97=0,0,(COUNTIF(E97:V97,"&lt;"&amp;0.5*W97)-COUNTBLANK(E97:V97))/COUNT(E97:V97))</x:f>
        <x:v>0.11764705882352941</x:v>
      </x:c>
      <x:c r="AC97" s="109" t="n">
        <x:f>SUM(E97:V97)</x:f>
        <x:v>314.49999999999994</x:v>
      </x:c>
    </x:row>
    <x:row r="98">
      <x:c r="A98" s="108" t="str">
        <x:v>WR</x:v>
      </x:c>
      <x:c r="B98" s="108" t="str">
        <x:v>George Pickens</x:v>
      </x:c>
      <x:c r="C98" s="108" t="str">
        <x:v>DAL</x:v>
      </x:c>
      <x:c r="D98" s="108" t="n">
        <x:v>10</x:v>
      </x:c>
      <x:c r="E98" s="109" t="n">
        <x:v>4.5</x:v>
      </x:c>
      <x:c r="F98" s="109" t="n">
        <x:v>15.3</x:v>
      </x:c>
      <x:c r="G98" s="109" t="n">
        <x:v>15.3</x:v>
      </x:c>
      <x:c r="H98" s="109" t="n">
        <x:v>29.4</x:v>
      </x:c>
      <x:c r="I98" s="109" t="n">
        <x:v>14.7</x:v>
      </x:c>
      <x:c r="J98" s="109" t="n">
        <x:v>27.3</x:v>
      </x:c>
      <x:c r="K98" s="109" t="n">
        <x:v>10.2</x:v>
      </x:c>
      <x:c r="L98" s="109" t="n">
        <x:v>11.3</x:v>
      </x:c>
      <x:c r="M98" s="109" t="n">
        <x:v>9.9</x:v>
      </x:c>
      <x:c r="N98" s="109"/>
      <x:c r="O98" s="109" t="n">
        <x:v>24.9</x:v>
      </x:c>
      <x:c r="P98" s="109" t="n">
        <x:v>25.1</x:v>
      </x:c>
      <x:c r="Q98" s="109" t="n">
        <x:v>13.3</x:v>
      </x:c>
      <x:c r="R98" s="109" t="n">
        <x:v>5.7</x:v>
      </x:c>
      <x:c r="S98" s="109" t="n">
        <x:v>4.8</x:v>
      </x:c>
      <x:c r="T98" s="109" t="n">
        <x:v>22.5</x:v>
      </x:c>
      <x:c r="U98" s="109" t="n">
        <x:v>9.8</x:v>
      </x:c>
      <x:c r="V98" s="109" t="n">
        <x:v>1.4</x:v>
      </x:c>
      <x:c r="W98" s="109" t="n">
        <x:f>AVERAGE(E98:V98)</x:f>
        <x:v>14.43529411764706</x:v>
      </x:c>
      <x:c r="X98" s="109" t="n">
        <x:f>MEDIAN(E98:V98)</x:f>
        <x:v>13.3</x:v>
      </x:c>
      <x:c r="Y98" s="109" t="n">
        <x:f>PERCENTILE.INC(E98:V98,0.25)</x:f>
        <x:v>9.8</x:v>
      </x:c>
      <x:c r="Z98" s="109" t="n">
        <x:f>STDEV.P(E98:V98)</x:f>
        <x:v>8.360195689833962</x:v>
      </x:c>
      <x:c r="AA98" s="173" t="n">
        <x:f>IF(W98=0,"",Z98/ABS(W98))</x:f>
        <x:v>0.5791496606649443</x:v>
      </x:c>
      <x:c r="AB98" s="173" t="n">
        <x:f>IF(W98=0,0,(COUNTIF(E98:V98,"&lt;"&amp;0.5*W98)-COUNTBLANK(E98:V98))/COUNT(E98:V98))</x:f>
        <x:v>0.23529411764705882</x:v>
      </x:c>
      <x:c r="AC98" s="109" t="n">
        <x:f>SUM(E98:V98)</x:f>
        <x:v>245.40000000000003</x:v>
      </x:c>
    </x:row>
    <x:row r="99">
      <x:c r="A99" s="108" t="str">
        <x:v>WR</x:v>
      </x:c>
      <x:c r="B99" s="108" t="str">
        <x:v>Zay Flowers</x:v>
      </x:c>
      <x:c r="C99" s="108" t="str">
        <x:v>BAL</x:v>
      </x:c>
      <x:c r="D99" s="108" t="n">
        <x:v>7</x:v>
      </x:c>
      <x:c r="E99" s="109" t="n">
        <x:v>24.6</x:v>
      </x:c>
      <x:c r="F99" s="109" t="n">
        <x:v>11.4</x:v>
      </x:c>
      <x:c r="G99" s="109" t="n">
        <x:v>2.3</x:v>
      </x:c>
      <x:c r="H99" s="109" t="n">
        <x:v>10.9</x:v>
      </x:c>
      <x:c r="I99" s="109" t="n">
        <x:v>9.7</x:v>
      </x:c>
      <x:c r="J99" s="109" t="n">
        <x:v>5.6</x:v>
      </x:c>
      <x:c r="K99" s="109"/>
      <x:c r="L99" s="109" t="n">
        <x:v>10.6</x:v>
      </x:c>
      <x:c r="M99" s="109" t="n">
        <x:v>8.9</x:v>
      </x:c>
      <x:c r="N99" s="109" t="n">
        <x:v>10.1</x:v>
      </x:c>
      <x:c r="O99" s="109" t="n">
        <x:v>9.8</x:v>
      </x:c>
      <x:c r="P99" s="109" t="n">
        <x:v>9.4</x:v>
      </x:c>
      <x:c r="Q99" s="109" t="n">
        <x:v>-0.4</x:v>
      </x:c>
      <x:c r="R99" s="109" t="n">
        <x:v>16.6</x:v>
      </x:c>
      <x:c r="S99" s="109" t="n">
        <x:v>14.3</x:v>
      </x:c>
      <x:c r="T99" s="109" t="n">
        <x:v>17.7</x:v>
      </x:c>
      <x:c r="U99" s="109" t="n">
        <x:v>11</x:v>
      </x:c>
      <x:c r="V99" s="109" t="n">
        <x:v>31.8</x:v>
      </x:c>
      <x:c r="W99" s="109" t="n">
        <x:f>AVERAGE(E99:V99)</x:f>
        <x:v>12.017647058823528</x:v>
      </x:c>
      <x:c r="X99" s="109" t="n">
        <x:f>MEDIAN(E99:V99)</x:f>
        <x:v>10.6</x:v>
      </x:c>
      <x:c r="Y99" s="109" t="n">
        <x:f>PERCENTILE.INC(E99:V99,0.25)</x:f>
        <x:v>9.4</x:v>
      </x:c>
      <x:c r="Z99" s="109" t="n">
        <x:f>STDEV.P(E99:V99)</x:f>
        <x:v>7.408995747945844</x:v>
      </x:c>
      <x:c r="AA99" s="173" t="n">
        <x:f>IF(W99=0,"",Z99/ABS(W99))</x:f>
        <x:v>0.6165096804458119</x:v>
      </x:c>
      <x:c r="AB99" s="173" t="n">
        <x:f>IF(W99=0,0,(COUNTIF(E99:V99,"&lt;"&amp;0.5*W99)-COUNTBLANK(E99:V99))/COUNT(E99:V99))</x:f>
        <x:v>0.17647058823529413</x:v>
      </x:c>
      <x:c r="AC99" s="109" t="n">
        <x:f>SUM(E99:V99)</x:f>
        <x:v>204.29999999999998</x:v>
      </x:c>
    </x:row>
    <x:row r="100">
      <x:c r="A100" s="108" t="str">
        <x:v>WR</x:v>
      </x:c>
      <x:c r="B100" s="108" t="str">
        <x:v>Amon-Ra St. Brown</x:v>
      </x:c>
      <x:c r="C100" s="108" t="str">
        <x:v>DET</x:v>
      </x:c>
      <x:c r="D100" s="108" t="n">
        <x:v>8</x:v>
      </x:c>
      <x:c r="E100" s="109" t="n">
        <x:v>6.5</x:v>
      </x:c>
      <x:c r="F100" s="109" t="n">
        <x:v>34.7</x:v>
      </x:c>
      <x:c r="G100" s="109" t="n">
        <x:v>17.2</x:v>
      </x:c>
      <x:c r="H100" s="109" t="n">
        <x:v>22.5</x:v>
      </x:c>
      <x:c r="I100" s="109" t="n">
        <x:v>14</x:v>
      </x:c>
      <x:c r="J100" s="109" t="n">
        <x:v>8.7</x:v>
      </x:c>
      <x:c r="K100" s="109" t="n">
        <x:v>17.6</x:v>
      </x:c>
      <x:c r="L100" s="109"/>
      <x:c r="M100" s="109" t="n">
        <x:v>14.2</x:v>
      </x:c>
      <x:c r="N100" s="109" t="n">
        <x:v>14.3</x:v>
      </x:c>
      <x:c r="O100" s="109" t="n">
        <x:v>5.2</x:v>
      </x:c>
      <x:c r="P100" s="109" t="n">
        <x:v>25.4</x:v>
      </x:c>
      <x:c r="Q100" s="109" t="n">
        <x:v>0</x:v>
      </x:c>
      <x:c r="R100" s="109" t="n">
        <x:v>12.2</x:v>
      </x:c>
      <x:c r="S100" s="109" t="n">
        <x:v>34.9</x:v>
      </x:c>
      <x:c r="T100" s="109" t="n">
        <x:v>7.4</x:v>
      </x:c>
      <x:c r="U100" s="109" t="n">
        <x:v>10.8</x:v>
      </x:c>
      <x:c r="V100" s="109" t="n">
        <x:v>19.4</x:v>
      </x:c>
      <x:c r="W100" s="109" t="n">
        <x:f>AVERAGE(E100:V100)</x:f>
        <x:v>15.588235294117647</x:v>
      </x:c>
      <x:c r="X100" s="109" t="n">
        <x:f>MEDIAN(E100:V100)</x:f>
        <x:v>14.2</x:v>
      </x:c>
      <x:c r="Y100" s="109" t="n">
        <x:f>PERCENTILE.INC(E100:V100,0.25)</x:f>
        <x:v>8.7</x:v>
      </x:c>
      <x:c r="Z100" s="109" t="n">
        <x:f>STDEV.P(E100:V100)</x:f>
        <x:v>9.368086147249274</x:v>
      </x:c>
      <x:c r="AA100" s="173" t="n">
        <x:f>IF(W100=0,"",Z100/ABS(W100))</x:f>
        <x:v>0.600971564163161</x:v>
      </x:c>
      <x:c r="AB100" s="173" t="n">
        <x:f>IF(W100=0,0,(COUNTIF(E100:V100,"&lt;"&amp;0.5*W100)-COUNTBLANK(E100:V100))/COUNT(E100:V100))</x:f>
        <x:v>0.23529411764705882</x:v>
      </x:c>
      <x:c r="AC100" s="109" t="n">
        <x:f>SUM(E100:V100)</x:f>
        <x:v>265</x:v>
      </x:c>
    </x:row>
    <x:row r="101">
      <x:c r="A101" s="108" t="str">
        <x:v>WR</x:v>
      </x:c>
      <x:c r="B101" s="108" t="str">
        <x:v>Chris Olave</x:v>
      </x:c>
      <x:c r="C101" s="108" t="str">
        <x:v>NO</x:v>
      </x:c>
      <x:c r="D101" s="108" t="n">
        <x:v>11</x:v>
      </x:c>
      <x:c r="E101" s="109" t="n">
        <x:v>8.9</x:v>
      </x:c>
      <x:c r="F101" s="109" t="n">
        <x:v>8.4</x:v>
      </x:c>
      <x:c r="G101" s="109" t="n">
        <x:v>10.7</x:v>
      </x:c>
      <x:c r="H101" s="109" t="n">
        <x:v>7.5</x:v>
      </x:c>
      <x:c r="I101" s="109" t="n">
        <x:v>9.4</x:v>
      </x:c>
      <x:c r="J101" s="109" t="n">
        <x:v>12.8</x:v>
      </x:c>
      <x:c r="K101" s="109" t="n">
        <x:v>24.3</x:v>
      </x:c>
      <x:c r="L101" s="109" t="n">
        <x:v>10</x:v>
      </x:c>
      <x:c r="M101" s="109" t="n">
        <x:v>7.2</x:v>
      </x:c>
      <x:c r="N101" s="109" t="n">
        <x:v>20.9</x:v>
      </x:c>
      <x:c r="O101" s="109"/>
      <x:c r="P101" s="109" t="n">
        <x:v>11.5</x:v>
      </x:c>
      <x:c r="Q101" s="109" t="n">
        <x:v>12.7</x:v>
      </x:c>
      <x:c r="R101" s="109" t="n">
        <x:v>4.5</x:v>
      </x:c>
      <x:c r="S101" s="109" t="n">
        <x:v>17.5</x:v>
      </x:c>
      <x:c r="T101" s="109" t="n">
        <x:v>31.8</x:v>
      </x:c>
      <x:c r="U101" s="109" t="n">
        <x:v>21.9</x:v>
      </x:c>
      <x:c r="V101" s="109" t="n">
        <x:v>0</x:v>
      </x:c>
      <x:c r="W101" s="109" t="n">
        <x:f>AVERAGE(E101:V101)</x:f>
        <x:v>12.941176470588236</x:v>
      </x:c>
      <x:c r="X101" s="109" t="n">
        <x:f>MEDIAN(E101:V101)</x:f>
        <x:v>10.7</x:v>
      </x:c>
      <x:c r="Y101" s="109" t="n">
        <x:f>PERCENTILE.INC(E101:V101,0.25)</x:f>
        <x:v>8.4</x:v>
      </x:c>
      <x:c r="Z101" s="109" t="n">
        <x:f>STDEV.P(E101:V101)</x:f>
        <x:v>7.729550540432052</x:v>
      </x:c>
      <x:c r="AA101" s="173" t="n">
        <x:f>IF(W101=0,"",Z101/ABS(W101))</x:f>
        <x:v>0.5972834508515676</x:v>
      </x:c>
      <x:c r="AB101" s="173" t="n">
        <x:f>IF(W101=0,0,(COUNTIF(E101:V101,"&lt;"&amp;0.5*W101)-COUNTBLANK(E101:V101))/COUNT(E101:V101))</x:f>
        <x:v>0.11764705882352941</x:v>
      </x:c>
      <x:c r="AC101" s="109" t="n">
        <x:f>SUM(E101:V101)</x:f>
        <x:v>220</x:v>
      </x:c>
    </x:row>
    <x:row r="102">
      <x:c r="A102" s="108" t="str">
        <x:v>WR</x:v>
      </x:c>
      <x:c r="B102" s="108" t="str">
        <x:v>Nico Collins</x:v>
      </x:c>
      <x:c r="C102" s="108" t="str">
        <x:v>HOU</x:v>
      </x:c>
      <x:c r="D102" s="108" t="n">
        <x:v>6</x:v>
      </x:c>
      <x:c r="E102" s="109" t="n">
        <x:v>4</x:v>
      </x:c>
      <x:c r="F102" s="109" t="n">
        <x:v>12.7</x:v>
      </x:c>
      <x:c r="G102" s="109" t="n">
        <x:v>20.4</x:v>
      </x:c>
      <x:c r="H102" s="109" t="n">
        <x:v>9.9</x:v>
      </x:c>
      <x:c r="I102" s="109" t="n">
        <x:v>14</x:v>
      </x:c>
      <x:c r="J102" s="109"/>
      <x:c r="K102" s="109" t="n">
        <x:v>4.7</x:v>
      </x:c>
      <x:c r="L102" s="109" t="n">
        <x:v>0</x:v>
      </x:c>
      <x:c r="M102" s="109" t="n">
        <x:v>11</x:v>
      </x:c>
      <x:c r="N102" s="109" t="n">
        <x:v>19.1</x:v>
      </x:c>
      <x:c r="O102" s="109" t="n">
        <x:v>19.7</x:v>
      </x:c>
      <x:c r="P102" s="109" t="n">
        <x:v>7</x:v>
      </x:c>
      <x:c r="Q102" s="109" t="n">
        <x:v>19</x:v>
      </x:c>
      <x:c r="R102" s="109" t="n">
        <x:v>14.1</x:v>
      </x:c>
      <x:c r="S102" s="109" t="n">
        <x:v>24</x:v>
      </x:c>
      <x:c r="T102" s="109" t="n">
        <x:v>7.9</x:v>
      </x:c>
      <x:c r="U102" s="109" t="n">
        <x:v>7.2</x:v>
      </x:c>
      <x:c r="V102" s="109" t="n">
        <x:v>0</x:v>
      </x:c>
      <x:c r="W102" s="109" t="n">
        <x:f>AVERAGE(E102:V102)</x:f>
        <x:v>11.452941176470588</x:v>
      </x:c>
      <x:c r="X102" s="109" t="n">
        <x:f>MEDIAN(E102:V102)</x:f>
        <x:v>11</x:v>
      </x:c>
      <x:c r="Y102" s="109" t="n">
        <x:f>PERCENTILE.INC(E102:V102,0.25)</x:f>
        <x:v>7</x:v>
      </x:c>
      <x:c r="Z102" s="109" t="n">
        <x:f>STDEV.P(E102:V102)</x:f>
        <x:v>7.081966962317978</x:v>
      </x:c>
      <x:c r="AA102" s="173" t="n">
        <x:f>IF(W102=0,"",Z102/ABS(W102))</x:f>
        <x:v>0.6183535611679796</x:v>
      </x:c>
      <x:c r="AB102" s="173" t="n">
        <x:f>IF(W102=0,0,(COUNTIF(E102:V102,"&lt;"&amp;0.5*W102)-COUNTBLANK(E102:V102))/COUNT(E102:V102))</x:f>
        <x:v>0.23529411764705882</x:v>
      </x:c>
      <x:c r="AC102" s="109" t="n">
        <x:f>SUM(E102:V102)</x:f>
        <x:v>194.7</x:v>
      </x:c>
    </x:row>
    <x:row r="103">
      <x:c r="A103" s="108" t="str">
        <x:v>WR</x:v>
      </x:c>
      <x:c r="B103" s="108" t="str">
        <x:v>Tetairoa McMillan</x:v>
      </x:c>
      <x:c r="C103" s="108" t="str">
        <x:v>CAR</x:v>
      </x:c>
      <x:c r="D103" s="108" t="n">
        <x:v>14</x:v>
      </x:c>
      <x:c r="E103" s="109" t="n">
        <x:v>9.3</x:v>
      </x:c>
      <x:c r="F103" s="109" t="n">
        <x:v>13</x:v>
      </x:c>
      <x:c r="G103" s="109" t="n">
        <x:v>6.3</x:v>
      </x:c>
      <x:c r="H103" s="109" t="n">
        <x:v>8.2</x:v>
      </x:c>
      <x:c r="I103" s="109" t="n">
        <x:v>10.3</x:v>
      </x:c>
      <x:c r="J103" s="109" t="n">
        <x:v>16.4</x:v>
      </x:c>
      <x:c r="K103" s="109" t="n">
        <x:v>4.8</x:v>
      </x:c>
      <x:c r="L103" s="109" t="n">
        <x:v>13.4</x:v>
      </x:c>
      <x:c r="M103" s="109" t="n">
        <x:v>6.6</x:v>
      </x:c>
      <x:c r="N103" s="109" t="n">
        <x:v>8.5</x:v>
      </x:c>
      <x:c r="O103" s="109" t="n">
        <x:v>29</x:v>
      </x:c>
      <x:c r="P103" s="109" t="n">
        <x:v>10.5</x:v>
      </x:c>
      <x:c r="Q103" s="109" t="n">
        <x:v>12.8</x:v>
      </x:c>
      <x:c r="R103" s="109"/>
      <x:c r="S103" s="109" t="n">
        <x:v>3.5</x:v>
      </x:c>
      <x:c r="T103" s="109" t="n">
        <x:v>16.3</x:v>
      </x:c>
      <x:c r="U103" s="109" t="n">
        <x:v>1</x:v>
      </x:c>
      <x:c r="V103" s="109" t="n">
        <x:v>8.5</x:v>
      </x:c>
      <x:c r="W103" s="109" t="n">
        <x:f>AVERAGE(E103:V103)</x:f>
        <x:v>10.494117647058825</x:v>
      </x:c>
      <x:c r="X103" s="109" t="n">
        <x:f>MEDIAN(E103:V103)</x:f>
        <x:v>9.3</x:v>
      </x:c>
      <x:c r="Y103" s="109" t="n">
        <x:f>PERCENTILE.INC(E103:V103,0.25)</x:f>
        <x:v>6.6</x:v>
      </x:c>
      <x:c r="Z103" s="109" t="n">
        <x:f>STDEV.P(E103:V103)</x:f>
        <x:v>6.183514191045821</x:v>
      </x:c>
      <x:c r="AA103" s="173" t="n">
        <x:f>IF(W103=0,"",Z103/ABS(W103))</x:f>
        <x:v>0.5892362177566084</x:v>
      </x:c>
      <x:c r="AB103" s="173" t="n">
        <x:f>IF(W103=0,0,(COUNTIF(E103:V103,"&lt;"&amp;0.5*W103)-COUNTBLANK(E103:V103))/COUNT(E103:V103))</x:f>
        <x:v>0.17647058823529413</x:v>
      </x:c>
      <x:c r="AC103" s="109" t="n">
        <x:f>SUM(E103:V103)</x:f>
        <x:v>178.40000000000003</x:v>
      </x:c>
    </x:row>
    <x:row r="104">
      <x:c r="A104" s="108" t="str">
        <x:v>WR</x:v>
      </x:c>
      <x:c r="B104" s="108" t="str">
        <x:v>Ja'Marr Chase</x:v>
      </x:c>
      <x:c r="C104" s="108" t="str">
        <x:v>CIN</x:v>
      </x:c>
      <x:c r="D104" s="108" t="n">
        <x:v>10</x:v>
      </x:c>
      <x:c r="E104" s="109" t="n">
        <x:v>3.6</x:v>
      </x:c>
      <x:c r="F104" s="109" t="n">
        <x:v>29.5</x:v>
      </x:c>
      <x:c r="G104" s="109" t="n">
        <x:v>6.4</x:v>
      </x:c>
      <x:c r="H104" s="109" t="n">
        <x:v>4.8</x:v>
      </x:c>
      <x:c r="I104" s="109" t="n">
        <x:v>28</x:v>
      </x:c>
      <x:c r="J104" s="109" t="n">
        <x:v>20.1</x:v>
      </x:c>
      <x:c r="K104" s="109" t="n">
        <x:v>30.1</x:v>
      </x:c>
      <x:c r="L104" s="109" t="n">
        <x:v>15.1</x:v>
      </x:c>
      <x:c r="M104" s="109" t="n">
        <x:v>14.1</x:v>
      </x:c>
      <x:c r="N104" s="109"/>
      <x:c r="O104" s="109" t="n">
        <x:v>4.5</x:v>
      </x:c>
      <x:c r="P104" s="109" t="n">
        <x:v>0</x:v>
      </x:c>
      <x:c r="Q104" s="109" t="n">
        <x:v>14.5</x:v>
      </x:c>
      <x:c r="R104" s="109" t="n">
        <x:v>7.7</x:v>
      </x:c>
      <x:c r="S104" s="109" t="n">
        <x:v>18.2</x:v>
      </x:c>
      <x:c r="T104" s="109" t="n">
        <x:v>15.4</x:v>
      </x:c>
      <x:c r="U104" s="109" t="n">
        <x:v>21.5</x:v>
      </x:c>
      <x:c r="V104" s="109" t="n">
        <x:v>19.6</x:v>
      </x:c>
      <x:c r="W104" s="109" t="n">
        <x:f>AVERAGE(E104:V104)</x:f>
        <x:v>14.888235294117646</x:v>
      </x:c>
      <x:c r="X104" s="109" t="n">
        <x:f>MEDIAN(E104:V104)</x:f>
        <x:v>15.1</x:v>
      </x:c>
      <x:c r="Y104" s="109" t="n">
        <x:f>PERCENTILE.INC(E104:V104,0.25)</x:f>
        <x:v>6.4</x:v>
      </x:c>
      <x:c r="Z104" s="109" t="n">
        <x:f>STDEV.P(E104:V104)</x:f>
        <x:v>9.089223247272251</x:v>
      </x:c>
      <x:c r="AA104" s="173" t="n">
        <x:f>IF(W104=0,"",Z104/ABS(W104))</x:f>
        <x:v>0.6104970177938691</x:v>
      </x:c>
      <x:c r="AB104" s="173" t="n">
        <x:f>IF(W104=0,0,(COUNTIF(E104:V104,"&lt;"&amp;0.5*W104)-COUNTBLANK(E104:V104))/COUNT(E104:V104))</x:f>
        <x:v>0.29411764705882354</x:v>
      </x:c>
      <x:c r="AC104" s="109" t="n">
        <x:f>SUM(E104:V104)</x:f>
        <x:v>253.09999999999997</x:v>
      </x:c>
    </x:row>
    <x:row r="105">
      <x:c r="A105" s="108" t="str">
        <x:v>WR</x:v>
      </x:c>
      <x:c r="B105" s="108" t="str">
        <x:v>Courtland Sutton</x:v>
      </x:c>
      <x:c r="C105" s="108" t="str">
        <x:v>DEN</x:v>
      </x:c>
      <x:c r="D105" s="108" t="n">
        <x:v>12</x:v>
      </x:c>
      <x:c r="E105" s="109" t="n">
        <x:v>15.1</x:v>
      </x:c>
      <x:c r="F105" s="109" t="n">
        <x:v>1.1</x:v>
      </x:c>
      <x:c r="G105" s="109" t="n">
        <x:v>22.8</x:v>
      </x:c>
      <x:c r="H105" s="109" t="n">
        <x:v>16.6</x:v>
      </x:c>
      <x:c r="I105" s="109" t="n">
        <x:v>13.9</x:v>
      </x:c>
      <x:c r="J105" s="109" t="n">
        <x:v>2.2</x:v>
      </x:c>
      <x:c r="K105" s="109" t="n">
        <x:v>13.7</x:v>
      </x:c>
      <x:c r="L105" s="109" t="n">
        <x:v>8.7</x:v>
      </x:c>
      <x:c r="M105" s="109" t="n">
        <x:v>9.5</x:v>
      </x:c>
      <x:c r="N105" s="109" t="n">
        <x:v>3.4</x:v>
      </x:c>
      <x:c r="O105" s="109" t="n">
        <x:v>7.9</x:v>
      </x:c>
      <x:c r="P105" s="109"/>
      <x:c r="Q105" s="109" t="n">
        <x:v>14.7</x:v>
      </x:c>
      <x:c r="R105" s="109" t="n">
        <x:v>9.2</x:v>
      </x:c>
      <x:c r="S105" s="109" t="n">
        <x:v>20.8</x:v>
      </x:c>
      <x:c r="T105" s="109" t="n">
        <x:v>17.6</x:v>
      </x:c>
      <x:c r="U105" s="109" t="n">
        <x:v>6</x:v>
      </x:c>
      <x:c r="V105" s="109" t="n">
        <x:v>1</x:v>
      </x:c>
      <x:c r="W105" s="109" t="n">
        <x:f>AVERAGE(E105:V105)</x:f>
        <x:v>10.83529411764706</x:v>
      </x:c>
      <x:c r="X105" s="109" t="n">
        <x:f>MEDIAN(E105:V105)</x:f>
        <x:v>9.5</x:v>
      </x:c>
      <x:c r="Y105" s="109" t="n">
        <x:f>PERCENTILE.INC(E105:V105,0.25)</x:f>
        <x:v>6</x:v>
      </x:c>
      <x:c r="Z105" s="109" t="n">
        <x:f>STDEV.P(E105:V105)</x:f>
        <x:v>6.573291876218901</x:v>
      </x:c>
      <x:c r="AA105" s="173" t="n">
        <x:f>IF(W105=0,"",Z105/ABS(W105))</x:f>
        <x:v>0.6066556020397466</x:v>
      </x:c>
      <x:c r="AB105" s="173" t="n">
        <x:f>IF(W105=0,0,(COUNTIF(E105:V105,"&lt;"&amp;0.5*W105)-COUNTBLANK(E105:V105))/COUNT(E105:V105))</x:f>
        <x:v>0.23529411764705882</x:v>
      </x:c>
      <x:c r="AC105" s="109" t="n">
        <x:f>SUM(E105:V105)</x:f>
        <x:v>184.20000000000002</x:v>
      </x:c>
    </x:row>
    <x:row r="106">
      <x:c r="A106" s="108" t="str">
        <x:v>WR</x:v>
      </x:c>
      <x:c r="B106" s="108" t="str">
        <x:v>Malik Washington</x:v>
      </x:c>
      <x:c r="C106" s="108" t="str">
        <x:v>MIA</x:v>
      </x:c>
      <x:c r="D106" s="108" t="n">
        <x:v>12</x:v>
      </x:c>
      <x:c r="E106" s="109" t="n">
        <x:v>5.7</x:v>
      </x:c>
      <x:c r="F106" s="109" t="n">
        <x:v>14.14</x:v>
      </x:c>
      <x:c r="G106" s="109" t="n">
        <x:v>7.24</x:v>
      </x:c>
      <x:c r="H106" s="109" t="n">
        <x:v>5.98</x:v>
      </x:c>
      <x:c r="I106" s="109" t="n">
        <x:v>6.39</x:v>
      </x:c>
      <x:c r="J106" s="109" t="n">
        <x:v>9.29</x:v>
      </x:c>
      <x:c r="K106" s="109" t="n">
        <x:v>9.47</x:v>
      </x:c>
      <x:c r="L106" s="109" t="n">
        <x:v>12.05</x:v>
      </x:c>
      <x:c r="M106" s="109" t="n">
        <x:v>7.5</x:v>
      </x:c>
      <x:c r="N106" s="109" t="n">
        <x:v>9.67</x:v>
      </x:c>
      <x:c r="O106" s="109" t="n">
        <x:v>6.48</x:v>
      </x:c>
      <x:c r="P106" s="109"/>
      <x:c r="Q106" s="109" t="n">
        <x:v>6.6</x:v>
      </x:c>
      <x:c r="R106" s="109" t="n">
        <x:v>4.85</x:v>
      </x:c>
      <x:c r="S106" s="109" t="n">
        <x:v>2.2</x:v>
      </x:c>
      <x:c r="T106" s="109" t="n">
        <x:v>13.66</x:v>
      </x:c>
      <x:c r="U106" s="109" t="n">
        <x:v>2.41</x:v>
      </x:c>
      <x:c r="V106" s="109" t="n">
        <x:v>12.02</x:v>
      </x:c>
      <x:c r="W106" s="109" t="n">
        <x:f>AVERAGE(E106:V106)</x:f>
        <x:v>7.979411764705882</x:v>
      </x:c>
      <x:c r="X106" s="109" t="n">
        <x:f>MEDIAN(E106:V106)</x:f>
        <x:v>7.24</x:v>
      </x:c>
      <x:c r="Y106" s="109" t="n">
        <x:f>PERCENTILE.INC(E106:V106,0.25)</x:f>
        <x:v>5.98</x:v>
      </x:c>
      <x:c r="Z106" s="109" t="n">
        <x:f>STDEV.P(E106:V106)</x:f>
        <x:v>3.4366184997469196</x:v>
      </x:c>
      <x:c r="AA106" s="173" t="n">
        <x:f>IF(W106=0,"",Z106/ABS(W106))</x:f>
        <x:v>0.43068569477108465</x:v>
      </x:c>
      <x:c r="AB106" s="173" t="n">
        <x:f>IF(W106=0,0,(COUNTIF(E106:V106,"&lt;"&amp;0.5*W106)-COUNTBLANK(E106:V106))/COUNT(E106:V106))</x:f>
        <x:v>0.11764705882352941</x:v>
      </x:c>
      <x:c r="AC106" s="109" t="n">
        <x:f>SUM(E106:V106)</x:f>
        <x:v>135.65</x:v>
      </x:c>
    </x:row>
    <x:row r="107">
      <x:c r="A107" s="108" t="str">
        <x:v>WR</x:v>
      </x:c>
      <x:c r="B107" s="108" t="str">
        <x:v>Davante Adams</x:v>
      </x:c>
      <x:c r="C107" s="108" t="str">
        <x:v>LAR</x:v>
      </x:c>
      <x:c r="D107" s="108" t="n">
        <x:v>8</x:v>
      </x:c>
      <x:c r="E107" s="109" t="n">
        <x:v>7.1</x:v>
      </x:c>
      <x:c r="F107" s="109" t="n">
        <x:v>19.6</x:v>
      </x:c>
      <x:c r="G107" s="109" t="n">
        <x:v>15.1</x:v>
      </x:c>
      <x:c r="H107" s="109" t="n">
        <x:v>13.6</x:v>
      </x:c>
      <x:c r="I107" s="109" t="n">
        <x:v>11.3</x:v>
      </x:c>
      <x:c r="J107" s="109" t="n">
        <x:v>5.9</x:v>
      </x:c>
      <x:c r="K107" s="109" t="n">
        <x:v>24</x:v>
      </x:c>
      <x:c r="L107" s="109"/>
      <x:c r="M107" s="109" t="n">
        <x:v>20.5</x:v>
      </x:c>
      <x:c r="N107" s="109" t="n">
        <x:v>16.7</x:v>
      </x:c>
      <x:c r="O107" s="109" t="n">
        <x:v>6.6</x:v>
      </x:c>
      <x:c r="P107" s="109" t="n">
        <x:v>20.7</x:v>
      </x:c>
      <x:c r="Q107" s="109" t="n">
        <x:v>19.8</x:v>
      </x:c>
      <x:c r="R107" s="109" t="n">
        <x:v>4.9</x:v>
      </x:c>
      <x:c r="S107" s="109" t="n">
        <x:v>9.1</x:v>
      </x:c>
      <x:c r="T107" s="109" t="n">
        <x:v>0</x:v>
      </x:c>
      <x:c r="U107" s="109" t="n">
        <x:v>0</x:v>
      </x:c>
      <x:c r="V107" s="109" t="n">
        <x:v>0</x:v>
      </x:c>
      <x:c r="W107" s="109" t="n">
        <x:f>AVERAGE(E107:V107)</x:f>
        <x:v>11.464705882352941</x:v>
      </x:c>
      <x:c r="X107" s="109" t="n">
        <x:f>MEDIAN(E107:V107)</x:f>
        <x:v>11.3</x:v>
      </x:c>
      <x:c r="Y107" s="109" t="n">
        <x:f>PERCENTILE.INC(E107:V107,0.25)</x:f>
        <x:v>5.9</x:v>
      </x:c>
      <x:c r="Z107" s="109" t="n">
        <x:f>STDEV.P(E107:V107)</x:f>
        <x:v>7.7521109972377715</x:v>
      </x:c>
      <x:c r="AA107" s="173" t="n">
        <x:f>IF(W107=0,"",Z107/ABS(W107))</x:f>
        <x:v>0.6761718160751263</x:v>
      </x:c>
      <x:c r="AB107" s="173" t="n">
        <x:f>IF(W107=0,0,(COUNTIF(E107:V107,"&lt;"&amp;0.5*W107)-COUNTBLANK(E107:V107))/COUNT(E107:V107))</x:f>
        <x:v>0.23529411764705882</x:v>
      </x:c>
      <x:c r="AC107" s="109" t="n">
        <x:f>SUM(E107:V107)</x:f>
        <x:v>194.9</x:v>
      </x:c>
    </x:row>
    <x:row r="108">
      <x:c r="A108" s="108" t="str">
        <x:v>WR</x:v>
      </x:c>
      <x:c r="B108" s="108" t="str">
        <x:v>Justin Jefferson</x:v>
      </x:c>
      <x:c r="C108" s="108" t="str">
        <x:v>MIN</x:v>
      </x:c>
      <x:c r="D108" s="108" t="n">
        <x:v>6</x:v>
      </x:c>
      <x:c r="E108" s="109" t="n">
        <x:v>12.8</x:v>
      </x:c>
      <x:c r="F108" s="109" t="n">
        <x:v>9.6</x:v>
      </x:c>
      <x:c r="G108" s="109" t="n">
        <x:v>10</x:v>
      </x:c>
      <x:c r="H108" s="109" t="n">
        <x:v>17.6</x:v>
      </x:c>
      <x:c r="I108" s="109" t="n">
        <x:v>15.8</x:v>
      </x:c>
      <x:c r="J108" s="109"/>
      <x:c r="K108" s="109" t="n">
        <x:v>10.4</x:v>
      </x:c>
      <x:c r="L108" s="109" t="n">
        <x:v>10.9</x:v>
      </x:c>
      <x:c r="M108" s="109" t="n">
        <x:v>13.7</x:v>
      </x:c>
      <x:c r="N108" s="109" t="n">
        <x:v>5.7</x:v>
      </x:c>
      <x:c r="O108" s="109" t="n">
        <x:v>8.6</x:v>
      </x:c>
      <x:c r="P108" s="109" t="n">
        <x:v>6.8</x:v>
      </x:c>
      <x:c r="Q108" s="109" t="n">
        <x:v>1.4</x:v>
      </x:c>
      <x:c r="R108" s="109" t="n">
        <x:v>2.1</x:v>
      </x:c>
      <x:c r="S108" s="109" t="n">
        <x:v>3.2</x:v>
      </x:c>
      <x:c r="T108" s="109" t="n">
        <x:v>11.5</x:v>
      </x:c>
      <x:c r="U108" s="109" t="n">
        <x:v>5</x:v>
      </x:c>
      <x:c r="V108" s="109" t="n">
        <x:v>14.4</x:v>
      </x:c>
      <x:c r="W108" s="109" t="n">
        <x:f>AVERAGE(E108:V108)</x:f>
        <x:v>9.382352941176471</x:v>
      </x:c>
      <x:c r="X108" s="109" t="n">
        <x:f>MEDIAN(E108:V108)</x:f>
        <x:v>10</x:v>
      </x:c>
      <x:c r="Y108" s="109" t="n">
        <x:f>PERCENTILE.INC(E108:V108,0.25)</x:f>
        <x:v>5.7</x:v>
      </x:c>
      <x:c r="Z108" s="109" t="n">
        <x:f>STDEV.P(E108:V108)</x:f>
        <x:v>4.64938140023426</x:v>
      </x:c>
      <x:c r="AA108" s="173" t="n">
        <x:f>IF(W108=0,"",Z108/ABS(W108))</x:f>
        <x:v>0.49554535300302455</x:v>
      </x:c>
      <x:c r="AB108" s="173" t="n">
        <x:f>IF(W108=0,0,(COUNTIF(E108:V108,"&lt;"&amp;0.5*W108)-COUNTBLANK(E108:V108))/COUNT(E108:V108))</x:f>
        <x:v>0.17647058823529413</x:v>
      </x:c>
      <x:c r="AC108" s="109" t="n">
        <x:f>SUM(E108:V108)</x:f>
        <x:v>159.5</x:v>
      </x:c>
    </x:row>
    <x:row r="109">
      <x:c r="A109" s="108" t="str">
        <x:v>WR</x:v>
      </x:c>
      <x:c r="B109" s="108" t="str">
        <x:v>DeVonta Smith</x:v>
      </x:c>
      <x:c r="C109" s="108" t="str">
        <x:v>PHI</x:v>
      </x:c>
      <x:c r="D109" s="108" t="n">
        <x:v>9</x:v>
      </x:c>
      <x:c r="E109" s="109" t="n">
        <x:v>3.1</x:v>
      </x:c>
      <x:c r="F109" s="109" t="n">
        <x:v>7.3</x:v>
      </x:c>
      <x:c r="G109" s="109" t="n">
        <x:v>16</x:v>
      </x:c>
      <x:c r="H109" s="109" t="n">
        <x:v>3.9</x:v>
      </x:c>
      <x:c r="I109" s="109" t="n">
        <x:v>15.4</x:v>
      </x:c>
      <x:c r="J109" s="109" t="n">
        <x:v>6.9</x:v>
      </x:c>
      <x:c r="K109" s="109" t="n">
        <x:v>30.8</x:v>
      </x:c>
      <x:c r="L109" s="109" t="n">
        <x:v>11.4</x:v>
      </x:c>
      <x:c r="M109" s="109"/>
      <x:c r="N109" s="109" t="n">
        <x:v>14.9</x:v>
      </x:c>
      <x:c r="O109" s="109" t="n">
        <x:v>1.3</x:v>
      </x:c>
      <x:c r="P109" s="109" t="n">
        <x:v>11.9</x:v>
      </x:c>
      <x:c r="Q109" s="109" t="n">
        <x:v>7.3</x:v>
      </x:c>
      <x:c r="R109" s="109" t="n">
        <x:v>5.7</x:v>
      </x:c>
      <x:c r="S109" s="109" t="n">
        <x:v>6</x:v>
      </x:c>
      <x:c r="T109" s="109" t="n">
        <x:v>13.2</x:v>
      </x:c>
      <x:c r="U109" s="109" t="n">
        <x:v>3.5</x:v>
      </x:c>
      <x:c r="V109" s="109" t="n">
        <x:v>6.7</x:v>
      </x:c>
      <x:c r="W109" s="109" t="n">
        <x:f>AVERAGE(E109:V109)</x:f>
        <x:v>9.723529411764705</x:v>
      </x:c>
      <x:c r="X109" s="109" t="n">
        <x:f>MEDIAN(E109:V109)</x:f>
        <x:v>7.3</x:v>
      </x:c>
      <x:c r="Y109" s="109" t="n">
        <x:f>PERCENTILE.INC(E109:V109,0.25)</x:f>
        <x:v>5.7</x:v>
      </x:c>
      <x:c r="Z109" s="109" t="n">
        <x:f>STDEV.P(E109:V109)</x:f>
        <x:v>6.896932771957377</x:v>
      </x:c>
      <x:c r="AA109" s="173" t="n">
        <x:f>IF(W109=0,"",Z109/ABS(W109))</x:f>
        <x:v>0.7093034308728096</x:v>
      </x:c>
      <x:c r="AB109" s="173" t="n">
        <x:f>IF(W109=0,0,(COUNTIF(E109:V109,"&lt;"&amp;0.5*W109)-COUNTBLANK(E109:V109))/COUNT(E109:V109))</x:f>
        <x:v>0.23529411764705882</x:v>
      </x:c>
      <x:c r="AC109" s="109" t="n">
        <x:f>SUM(E109:V109)</x:f>
        <x:v>165.29999999999998</x:v>
      </x:c>
    </x:row>
    <x:row r="110">
      <x:c r="A110" s="108" t="str">
        <x:v>WR</x:v>
      </x:c>
      <x:c r="B110" s="108" t="str">
        <x:v>Wan'Dale Robinson</x:v>
      </x:c>
      <x:c r="C110" s="108" t="str">
        <x:v>NYG</x:v>
      </x:c>
      <x:c r="D110" s="108" t="n">
        <x:v>14</x:v>
      </x:c>
      <x:c r="E110" s="109" t="n">
        <x:v>9.73</x:v>
      </x:c>
      <x:c r="F110" s="109" t="n">
        <x:v>24.2</x:v>
      </x:c>
      <x:c r="G110" s="109" t="n">
        <x:v>3.1</x:v>
      </x:c>
      <x:c r="H110" s="109" t="n">
        <x:v>2.9</x:v>
      </x:c>
      <x:c r="I110" s="109" t="n">
        <x:v>5.7</x:v>
      </x:c>
      <x:c r="J110" s="109" t="n">
        <x:v>17.4</x:v>
      </x:c>
      <x:c r="K110" s="109" t="n">
        <x:v>12.5</x:v>
      </x:c>
      <x:c r="L110" s="109" t="n">
        <x:v>6.3</x:v>
      </x:c>
      <x:c r="M110" s="109" t="n">
        <x:v>9.1</x:v>
      </x:c>
      <x:c r="N110" s="109" t="n">
        <x:v>9.2</x:v>
      </x:c>
      <x:c r="O110" s="109" t="n">
        <x:v>5.6</x:v>
      </x:c>
      <x:c r="P110" s="109" t="n">
        <x:v>25.6</x:v>
      </x:c>
      <x:c r="Q110" s="109" t="n">
        <x:v>6.9</x:v>
      </x:c>
      <x:c r="R110" s="109"/>
      <x:c r="S110" s="109" t="n">
        <x:v>13.9</x:v>
      </x:c>
      <x:c r="T110" s="109" t="n">
        <x:v>3.7</x:v>
      </x:c>
      <x:c r="U110" s="109" t="n">
        <x:v>16.8</x:v>
      </x:c>
      <x:c r="V110" s="109" t="n">
        <x:v>0</x:v>
      </x:c>
      <x:c r="W110" s="109" t="n">
        <x:f>AVERAGE(E110:V110)</x:f>
        <x:v>10.15470588235294</x:v>
      </x:c>
      <x:c r="X110" s="109" t="n">
        <x:f>MEDIAN(E110:V110)</x:f>
        <x:v>9.1</x:v>
      </x:c>
      <x:c r="Y110" s="109" t="n">
        <x:f>PERCENTILE.INC(E110:V110,0.25)</x:f>
        <x:v>5.6</x:v>
      </x:c>
      <x:c r="Z110" s="109" t="n">
        <x:f>STDEV.P(E110:V110)</x:f>
        <x:v>7.143223953013553</x:v>
      </x:c>
      <x:c r="AA110" s="173" t="n">
        <x:f>IF(W110=0,"",Z110/ABS(W110))</x:f>
        <x:v>0.7034397682976911</x:v>
      </x:c>
      <x:c r="AB110" s="173" t="n">
        <x:f>IF(W110=0,0,(COUNTIF(E110:V110,"&lt;"&amp;0.5*W110)-COUNTBLANK(E110:V110))/COUNT(E110:V110))</x:f>
        <x:v>0.23529411764705882</x:v>
      </x:c>
      <x:c r="AC110" s="109" t="n">
        <x:f>SUM(E110:V110)</x:f>
        <x:v>172.63</x:v>
      </x:c>
    </x:row>
    <x:row r="111">
      <x:c r="A111" s="108" t="str">
        <x:v>WR</x:v>
      </x:c>
      <x:c r="B111" s="108" t="str">
        <x:v>Chimere Dike</x:v>
      </x:c>
      <x:c r="C111" s="108" t="str">
        <x:v>TEN</x:v>
      </x:c>
      <x:c r="D111" s="108" t="n">
        <x:v>10</x:v>
      </x:c>
      <x:c r="E111" s="109" t="n">
        <x:v>5.82</x:v>
      </x:c>
      <x:c r="F111" s="109" t="n">
        <x:v>6.14</x:v>
      </x:c>
      <x:c r="G111" s="109" t="n">
        <x:v>6.86</x:v>
      </x:c>
      <x:c r="H111" s="109" t="n">
        <x:v>3.83</x:v>
      </x:c>
      <x:c r="I111" s="109" t="n">
        <x:v>8.43</x:v>
      </x:c>
      <x:c r="J111" s="109" t="n">
        <x:v>3.78</x:v>
      </x:c>
      <x:c r="K111" s="109" t="n">
        <x:v>18.17</x:v>
      </x:c>
      <x:c r="L111" s="109" t="n">
        <x:v>18.15</x:v>
      </x:c>
      <x:c r="M111" s="109" t="n">
        <x:v>15.41</x:v>
      </x:c>
      <x:c r="N111" s="109"/>
      <x:c r="O111" s="109" t="n">
        <x:v>1.9</x:v>
      </x:c>
      <x:c r="P111" s="109" t="n">
        <x:v>26.34</x:v>
      </x:c>
      <x:c r="Q111" s="109" t="n">
        <x:v>5.48</x:v>
      </x:c>
      <x:c r="R111" s="109" t="n">
        <x:v>12.03</x:v>
      </x:c>
      <x:c r="S111" s="109" t="n">
        <x:v>5.7</x:v>
      </x:c>
      <x:c r="T111" s="109" t="n">
        <x:v>16.31</x:v>
      </x:c>
      <x:c r="U111" s="109" t="n">
        <x:v>9.54</x:v>
      </x:c>
      <x:c r="V111" s="109" t="n">
        <x:v>5.25</x:v>
      </x:c>
      <x:c r="W111" s="109" t="n">
        <x:f>AVERAGE(E111:V111)</x:f>
        <x:v>9.949411764705882</x:v>
      </x:c>
      <x:c r="X111" s="109" t="n">
        <x:f>MEDIAN(E111:V111)</x:f>
        <x:v>6.86</x:v>
      </x:c>
      <x:c r="Y111" s="109" t="n">
        <x:f>PERCENTILE.INC(E111:V111,0.25)</x:f>
        <x:v>5.48</x:v>
      </x:c>
      <x:c r="Z111" s="109" t="n">
        <x:f>STDEV.P(E111:V111)</x:f>
        <x:v>6.517338387254358</x:v>
      </x:c>
      <x:c r="AA111" s="173" t="n">
        <x:f>IF(W111=0,"",Z111/ABS(W111))</x:f>
        <x:v>0.6550476089826421</x:v>
      </x:c>
      <x:c r="AB111" s="173" t="n">
        <x:f>IF(W111=0,0,(COUNTIF(E111:V111,"&lt;"&amp;0.5*W111)-COUNTBLANK(E111:V111))/COUNT(E111:V111))</x:f>
        <x:v>0.17647058823529413</x:v>
      </x:c>
      <x:c r="AC111" s="109" t="n">
        <x:f>SUM(E111:V111)</x:f>
        <x:v>169.14</x:v>
      </x:c>
    </x:row>
    <x:row r="112">
      <x:c r="A112" s="108" t="str">
        <x:v>WR</x:v>
      </x:c>
      <x:c r="B112" s="108" t="str">
        <x:v>Jakobi Meyers</x:v>
      </x:c>
      <x:c r="C112" s="108" t="str">
        <x:v>JAX/LV</x:v>
      </x:c>
      <x:c r="D112" s="108" t="n">
        <x:v>8</x:v>
      </x:c>
      <x:c r="E112" s="109" t="n">
        <x:v>13.7</x:v>
      </x:c>
      <x:c r="F112" s="109" t="n">
        <x:v>9.8</x:v>
      </x:c>
      <x:c r="G112" s="109" t="n">
        <x:v>7.8</x:v>
      </x:c>
      <x:c r="H112" s="109" t="n">
        <x:v>5</x:v>
      </x:c>
      <x:c r="I112" s="109" t="n">
        <x:v>5.2</x:v>
      </x:c>
      <x:c r="J112" s="109" t="n">
        <x:v>5.9</x:v>
      </x:c>
      <x:c r="K112" s="109" t="n">
        <x:v>0</x:v>
      </x:c>
      <x:c r="L112" s="109"/>
      <x:c r="M112" s="109" t="n">
        <x:v>4.3</x:v>
      </x:c>
      <x:c r="N112" s="109" t="n">
        <x:v>5.6</x:v>
      </x:c>
      <x:c r="O112" s="109" t="n">
        <x:v>8.9</x:v>
      </x:c>
      <x:c r="P112" s="109" t="n">
        <x:v>13</x:v>
      </x:c>
      <x:c r="Q112" s="109" t="n">
        <x:v>18.3</x:v>
      </x:c>
      <x:c r="R112" s="109" t="n">
        <x:v>12.8</x:v>
      </x:c>
      <x:c r="S112" s="109" t="n">
        <x:v>9.6</x:v>
      </x:c>
      <x:c r="T112" s="109" t="n">
        <x:v>6.6</x:v>
      </x:c>
      <x:c r="U112" s="109" t="n">
        <x:v>4.9</x:v>
      </x:c>
      <x:c r="V112" s="109" t="n">
        <x:v>6.9</x:v>
      </x:c>
      <x:c r="W112" s="109" t="n">
        <x:f>AVERAGE(E112:V112)</x:f>
        <x:v>8.135294117647058</x:v>
      </x:c>
      <x:c r="X112" s="109" t="n">
        <x:f>MEDIAN(E112:V112)</x:f>
        <x:v>6.9</x:v>
      </x:c>
      <x:c r="Y112" s="109" t="n">
        <x:f>PERCENTILE.INC(E112:V112,0.25)</x:f>
        <x:v>5.2</x:v>
      </x:c>
      <x:c r="Z112" s="109" t="n">
        <x:f>STDEV.P(E112:V112)</x:f>
        <x:v>4.273301682123085</x:v>
      </x:c>
      <x:c r="AA112" s="173" t="n">
        <x:f>IF(W112=0,"",Z112/ABS(W112))</x:f>
        <x:v>0.5252793101669736</x:v>
      </x:c>
      <x:c r="AB112" s="173" t="n">
        <x:f>IF(W112=0,0,(COUNTIF(E112:V112,"&lt;"&amp;0.5*W112)-COUNTBLANK(E112:V112))/COUNT(E112:V112))</x:f>
        <x:v>0.058823529411764705</x:v>
      </x:c>
      <x:c r="AC112" s="109" t="n">
        <x:f>SUM(E112:V112)</x:f>
        <x:v>138.29999999999998</x:v>
      </x:c>
    </x:row>
    <x:row r="113">
      <x:c r="A113" s="108" t="str">
        <x:v>WR</x:v>
      </x:c>
      <x:c r="B113" s="108" t="str">
        <x:v>Jauan Jennings</x:v>
      </x:c>
      <x:c r="C113" s="108" t="str">
        <x:v>SF</x:v>
      </x:c>
      <x:c r="D113" s="108" t="n">
        <x:v>14</x:v>
      </x:c>
      <x:c r="E113" s="109" t="n">
        <x:v>2.6</x:v>
      </x:c>
      <x:c r="F113" s="109" t="n">
        <x:v>19.4</x:v>
      </x:c>
      <x:c r="G113" s="109" t="n">
        <x:v>0</x:v>
      </x:c>
      <x:c r="H113" s="109" t="n">
        <x:v>5.4</x:v>
      </x:c>
      <x:c r="I113" s="109" t="n">
        <x:v>0</x:v>
      </x:c>
      <x:c r="J113" s="109" t="n">
        <x:v>1.2</x:v>
      </x:c>
      <x:c r="K113" s="109" t="n">
        <x:v>5.1</x:v>
      </x:c>
      <x:c r="L113" s="109" t="n">
        <x:v>6.5</x:v>
      </x:c>
      <x:c r="M113" s="109" t="n">
        <x:v>12.1</x:v>
      </x:c>
      <x:c r="N113" s="109" t="n">
        <x:v>14.1</x:v>
      </x:c>
      <x:c r="O113" s="109" t="n">
        <x:v>7.4</x:v>
      </x:c>
      <x:c r="P113" s="109" t="n">
        <x:v>12.6</x:v>
      </x:c>
      <x:c r="Q113" s="109" t="n">
        <x:v>11.9</x:v>
      </x:c>
      <x:c r="R113" s="109"/>
      <x:c r="S113" s="109" t="n">
        <x:v>17.2</x:v>
      </x:c>
      <x:c r="T113" s="109" t="n">
        <x:v>15.6</x:v>
      </x:c>
      <x:c r="U113" s="109" t="n">
        <x:v>11.2</x:v>
      </x:c>
      <x:c r="V113" s="109" t="n">
        <x:v>5.5</x:v>
      </x:c>
      <x:c r="W113" s="109" t="n">
        <x:f>AVERAGE(E113:V113)</x:f>
        <x:v>8.694117647058823</x:v>
      </x:c>
      <x:c r="X113" s="109" t="n">
        <x:f>MEDIAN(E113:V113)</x:f>
        <x:v>7.4</x:v>
      </x:c>
      <x:c r="Y113" s="109" t="n">
        <x:f>PERCENTILE.INC(E113:V113,0.25)</x:f>
        <x:v>5.1</x:v>
      </x:c>
      <x:c r="Z113" s="109" t="n">
        <x:f>STDEV.P(E113:V113)</x:f>
        <x:v>5.902289743942878</x:v>
      </x:c>
      <x:c r="AA113" s="173" t="n">
        <x:f>IF(W113=0,"",Z113/ABS(W113))</x:f>
        <x:v>0.6788831234575705</x:v>
      </x:c>
      <x:c r="AB113" s="173" t="n">
        <x:f>IF(W113=0,0,(COUNTIF(E113:V113,"&lt;"&amp;0.5*W113)-COUNTBLANK(E113:V113))/COUNT(E113:V113))</x:f>
        <x:v>0.23529411764705882</x:v>
      </x:c>
      <x:c r="AC113" s="109" t="n">
        <x:f>SUM(E113:V113)</x:f>
        <x:v>147.79999999999998</x:v>
      </x:c>
    </x:row>
    <x:row r="114">
      <x:c r="A114" s="108" t="str">
        <x:v>WR</x:v>
      </x:c>
      <x:c r="B114" s="108" t="str">
        <x:v>Michael Wilson</x:v>
      </x:c>
      <x:c r="C114" s="108" t="str">
        <x:v>ARI</x:v>
      </x:c>
      <x:c r="D114" s="108" t="n">
        <x:v>8</x:v>
      </x:c>
      <x:c r="E114" s="109" t="n">
        <x:v>1</x:v>
      </x:c>
      <x:c r="F114" s="109" t="n">
        <x:v>7.6</x:v>
      </x:c>
      <x:c r="G114" s="109" t="n">
        <x:v>1</x:v>
      </x:c>
      <x:c r="H114" s="109" t="n">
        <x:v>3</x:v>
      </x:c>
      <x:c r="I114" s="109" t="n">
        <x:v>2.6</x:v>
      </x:c>
      <x:c r="J114" s="109" t="n">
        <x:v>6.4</x:v>
      </x:c>
      <x:c r="K114" s="109" t="n">
        <x:v>5.5</x:v>
      </x:c>
      <x:c r="L114" s="109"/>
      <x:c r="M114" s="109" t="n">
        <x:v>7.6</x:v>
      </x:c>
      <x:c r="N114" s="109" t="n">
        <x:v>5.4</x:v>
      </x:c>
      <x:c r="O114" s="109" t="n">
        <x:v>26</x:v>
      </x:c>
      <x:c r="P114" s="109" t="n">
        <x:v>16.8</x:v>
      </x:c>
      <x:c r="Q114" s="109" t="n">
        <x:v>5.1</x:v>
      </x:c>
      <x:c r="R114" s="109" t="n">
        <x:v>31.7</x:v>
      </x:c>
      <x:c r="S114" s="109" t="n">
        <x:v>13.9</x:v>
      </x:c>
      <x:c r="T114" s="109" t="n">
        <x:v>12.2</x:v>
      </x:c>
      <x:c r="U114" s="109" t="n">
        <x:v>17.4</x:v>
      </x:c>
      <x:c r="V114" s="109" t="n">
        <x:v>20.4</x:v>
      </x:c>
      <x:c r="W114" s="109" t="n">
        <x:f>AVERAGE(E114:V114)</x:f>
        <x:v>10.799999999999999</x:v>
      </x:c>
      <x:c r="X114" s="109" t="n">
        <x:f>MEDIAN(E114:V114)</x:f>
        <x:v>7.6</x:v>
      </x:c>
      <x:c r="Y114" s="109" t="n">
        <x:f>PERCENTILE.INC(E114:V114,0.25)</x:f>
        <x:v>5.1</x:v>
      </x:c>
      <x:c r="Z114" s="109" t="n">
        <x:f>STDEV.P(E114:V114)</x:f>
        <x:v>8.747705581532593</x:v>
      </x:c>
      <x:c r="AA114" s="173" t="n">
        <x:f>IF(W114=0,"",Z114/ABS(W114))</x:f>
        <x:v>0.8099727390307957</x:v>
      </x:c>
      <x:c r="AB114" s="173" t="n">
        <x:f>IF(W114=0,0,(COUNTIF(E114:V114,"&lt;"&amp;0.5*W114)-COUNTBLANK(E114:V114))/COUNT(E114:V114))</x:f>
        <x:v>0.29411764705882354</x:v>
      </x:c>
      <x:c r="AC114" s="109" t="n">
        <x:f>SUM(E114:V114)</x:f>
        <x:v>183.6</x:v>
      </x:c>
    </x:row>
    <x:row r="115">
      <x:c r="A115" s="108" t="str">
        <x:v>WR</x:v>
      </x:c>
      <x:c r="B115" s="108" t="str">
        <x:v>Deebo Samuel</x:v>
      </x:c>
      <x:c r="C115" s="108" t="str">
        <x:v>WSH</x:v>
      </x:c>
      <x:c r="D115" s="108" t="n">
        <x:v>12</x:v>
      </x:c>
      <x:c r="E115" s="109" t="n">
        <x:v>20.6</x:v>
      </x:c>
      <x:c r="F115" s="109" t="n">
        <x:v>16.24</x:v>
      </x:c>
      <x:c r="G115" s="109" t="n">
        <x:v>6.69</x:v>
      </x:c>
      <x:c r="H115" s="109" t="n">
        <x:v>16.6</x:v>
      </x:c>
      <x:c r="I115" s="109" t="n">
        <x:v>19.6</x:v>
      </x:c>
      <x:c r="J115" s="109" t="n">
        <x:v>3.4</x:v>
      </x:c>
      <x:c r="K115" s="109" t="n">
        <x:v>0</x:v>
      </x:c>
      <x:c r="L115" s="109" t="n">
        <x:v>2.7</x:v>
      </x:c>
      <x:c r="M115" s="109" t="n">
        <x:v>7.8</x:v>
      </x:c>
      <x:c r="N115" s="109" t="n">
        <x:v>10.9</x:v>
      </x:c>
      <x:c r="O115" s="109" t="n">
        <x:v>17.2</x:v>
      </x:c>
      <x:c r="P115" s="109"/>
      <x:c r="Q115" s="109" t="n">
        <x:v>11.52</x:v>
      </x:c>
      <x:c r="R115" s="109" t="n">
        <x:v>7.31</x:v>
      </x:c>
      <x:c r="S115" s="109" t="n">
        <x:v>5.8</x:v>
      </x:c>
      <x:c r="T115" s="109" t="n">
        <x:v>5</x:v>
      </x:c>
      <x:c r="U115" s="109" t="n">
        <x:v>10.3</x:v>
      </x:c>
      <x:c r="V115" s="109" t="n">
        <x:v>2.6</x:v>
      </x:c>
      <x:c r="W115" s="109" t="n">
        <x:f>AVERAGE(E115:V115)</x:f>
        <x:v>9.662352941176474</x:v>
      </x:c>
      <x:c r="X115" s="109" t="n">
        <x:f>MEDIAN(E115:V115)</x:f>
        <x:v>7.8</x:v>
      </x:c>
      <x:c r="Y115" s="109" t="n">
        <x:f>PERCENTILE.INC(E115:V115,0.25)</x:f>
        <x:v>5</x:v>
      </x:c>
      <x:c r="Z115" s="109" t="n">
        <x:f>STDEV.P(E115:V115)</x:f>
        <x:v>6.2186252778263436</x:v>
      </x:c>
      <x:c r="AA115" s="173" t="n">
        <x:f>IF(W115=0,"",Z115/ABS(W115))</x:f>
        <x:v>0.6435932650861306</x:v>
      </x:c>
      <x:c r="AB115" s="173" t="n">
        <x:f>IF(W115=0,0,(COUNTIF(E115:V115,"&lt;"&amp;0.5*W115)-COUNTBLANK(E115:V115))/COUNT(E115:V115))</x:f>
        <x:v>0.23529411764705882</x:v>
      </x:c>
      <x:c r="AC115" s="109" t="n">
        <x:f>SUM(E115:V115)</x:f>
        <x:v>164.26000000000005</x:v>
      </x:c>
    </x:row>
    <x:row r="116">
      <x:c r="A116" s="108" t="str">
        <x:v>WR</x:v>
      </x:c>
      <x:c r="B116" s="108" t="str">
        <x:v>Marvin Mims Jr.</x:v>
      </x:c>
      <x:c r="C116" s="108" t="str">
        <x:v>DEN</x:v>
      </x:c>
      <x:c r="D116" s="108" t="n">
        <x:v>12</x:v>
      </x:c>
      <x:c r="E116" s="109" t="n">
        <x:v>5.51</x:v>
      </x:c>
      <x:c r="F116" s="109" t="n">
        <x:v>10.96</x:v>
      </x:c>
      <x:c r="G116" s="109" t="n">
        <x:v>7.12</x:v>
      </x:c>
      <x:c r="H116" s="109" t="n">
        <x:v>18.7</x:v>
      </x:c>
      <x:c r="I116" s="109" t="n">
        <x:v>5</x:v>
      </x:c>
      <x:c r="J116" s="109" t="n">
        <x:v>6.97</x:v>
      </x:c>
      <x:c r="K116" s="109" t="n">
        <x:v>14.25</x:v>
      </x:c>
      <x:c r="L116" s="109" t="n">
        <x:v>5.89</x:v>
      </x:c>
      <x:c r="M116" s="109" t="n">
        <x:v>0</x:v>
      </x:c>
      <x:c r="N116" s="109" t="n">
        <x:v>0</x:v>
      </x:c>
      <x:c r="O116" s="109" t="n">
        <x:v>5.25</x:v>
      </x:c>
      <x:c r="P116" s="109"/>
      <x:c r="Q116" s="109" t="n">
        <x:v>5.24</x:v>
      </x:c>
      <x:c r="R116" s="109" t="n">
        <x:v>10.77</x:v>
      </x:c>
      <x:c r="S116" s="109" t="n">
        <x:v>6.81</x:v>
      </x:c>
      <x:c r="T116" s="109" t="n">
        <x:v>7.17</x:v>
      </x:c>
      <x:c r="U116" s="109" t="n">
        <x:v>2.9</x:v>
      </x:c>
      <x:c r="V116" s="109" t="n">
        <x:v>3.8</x:v>
      </x:c>
      <x:c r="W116" s="109" t="n">
        <x:f>AVERAGE(E116:V116)</x:f>
        <x:v>6.843529411764705</x:v>
      </x:c>
      <x:c r="X116" s="109" t="n">
        <x:f>MEDIAN(E116:V116)</x:f>
        <x:v>5.89</x:v>
      </x:c>
      <x:c r="Y116" s="109" t="n">
        <x:f>PERCENTILE.INC(E116:V116,0.25)</x:f>
        <x:v>5</x:v>
      </x:c>
      <x:c r="Z116" s="109" t="n">
        <x:f>STDEV.P(E116:V116)</x:f>
        <x:v>4.586895581181716</x:v>
      </x:c>
      <x:c r="AA116" s="173" t="n">
        <x:f>IF(W116=0,"",Z116/ABS(W116))</x:f>
        <x:v>0.6702529214379335</x:v>
      </x:c>
      <x:c r="AB116" s="173" t="n">
        <x:f>IF(W116=0,0,(COUNTIF(E116:V116,"&lt;"&amp;0.5*W116)-COUNTBLANK(E116:V116))/COUNT(E116:V116))</x:f>
        <x:v>0.17647058823529413</x:v>
      </x:c>
      <x:c r="AC116" s="109" t="n">
        <x:f>SUM(E116:V116)</x:f>
        <x:v>116.33999999999999</x:v>
      </x:c>
    </x:row>
    <x:row r="117">
      <x:c r="A117" s="108" t="str">
        <x:v>WR</x:v>
      </x:c>
      <x:c r="B117" s="108" t="str">
        <x:v>DK Metcalf</x:v>
      </x:c>
      <x:c r="C117" s="108" t="str">
        <x:v>PIT</x:v>
      </x:c>
      <x:c r="D117" s="108" t="n">
        <x:v>5</x:v>
      </x:c>
      <x:c r="E117" s="109" t="n">
        <x:v>10.3</x:v>
      </x:c>
      <x:c r="F117" s="109" t="n">
        <x:v>9.5</x:v>
      </x:c>
      <x:c r="G117" s="109" t="n">
        <x:v>10.7</x:v>
      </x:c>
      <x:c r="H117" s="109" t="n">
        <x:v>23.1</x:v>
      </x:c>
      <x:c r="I117" s="109"/>
      <x:c r="J117" s="109" t="n">
        <x:v>17.5</x:v>
      </x:c>
      <x:c r="K117" s="109" t="n">
        <x:v>6.5</x:v>
      </x:c>
      <x:c r="L117" s="109" t="n">
        <x:v>14</x:v>
      </x:c>
      <x:c r="M117" s="109" t="n">
        <x:v>1.6</x:v>
      </x:c>
      <x:c r="N117" s="109" t="n">
        <x:v>5</x:v>
      </x:c>
      <x:c r="O117" s="109" t="n">
        <x:v>7.4</x:v>
      </x:c>
      <x:c r="P117" s="109" t="n">
        <x:v>11.9</x:v>
      </x:c>
      <x:c r="Q117" s="109" t="n">
        <x:v>4.7</x:v>
      </x:c>
      <x:c r="R117" s="109" t="n">
        <x:v>18.3</x:v>
      </x:c>
      <x:c r="S117" s="109" t="n">
        <x:v>13</x:v>
      </x:c>
      <x:c r="T117" s="109" t="n">
        <x:v>6.2</x:v>
      </x:c>
      <x:c r="U117" s="109" t="n">
        <x:v>0</x:v>
      </x:c>
      <x:c r="V117" s="109" t="n">
        <x:v>0</x:v>
      </x:c>
      <x:c r="W117" s="109" t="n">
        <x:f>AVERAGE(E117:V117)</x:f>
        <x:v>9.394117647058822</x:v>
      </x:c>
      <x:c r="X117" s="109" t="n">
        <x:f>MEDIAN(E117:V117)</x:f>
        <x:v>9.5</x:v>
      </x:c>
      <x:c r="Y117" s="109" t="n">
        <x:f>PERCENTILE.INC(E117:V117,0.25)</x:f>
        <x:v>5</x:v>
      </x:c>
      <x:c r="Z117" s="109" t="n">
        <x:f>STDEV.P(E117:V117)</x:f>
        <x:v>6.310818963190053</x:v>
      </x:c>
      <x:c r="AA117" s="173" t="n">
        <x:f>IF(W117=0,"",Z117/ABS(W117))</x:f>
        <x:v>0.6717841100452782</x:v>
      </x:c>
      <x:c r="AB117" s="173" t="n">
        <x:f>IF(W117=0,0,(COUNTIF(E117:V117,"&lt;"&amp;0.5*W117)-COUNTBLANK(E117:V117))/COUNT(E117:V117))</x:f>
        <x:v>0.17647058823529413</x:v>
      </x:c>
      <x:c r="AC117" s="109" t="n">
        <x:f>SUM(E117:V117)</x:f>
        <x:v>159.7</x:v>
      </x:c>
    </x:row>
    <x:row r="118">
      <x:c r="A118" s="108" t="str">
        <x:v>WR</x:v>
      </x:c>
      <x:c r="B118" s="108" t="str">
        <x:v>Jaylen Waddle</x:v>
      </x:c>
      <x:c r="C118" s="108" t="str">
        <x:v>MIA</x:v>
      </x:c>
      <x:c r="D118" s="108" t="n">
        <x:v>12</x:v>
      </x:c>
      <x:c r="E118" s="109" t="n">
        <x:v>5</x:v>
      </x:c>
      <x:c r="F118" s="109" t="n">
        <x:v>15.3</x:v>
      </x:c>
      <x:c r="G118" s="109" t="n">
        <x:v>12.4</x:v>
      </x:c>
      <x:c r="H118" s="109" t="n">
        <x:v>6.3</x:v>
      </x:c>
      <x:c r="I118" s="109" t="n">
        <x:v>22</x:v>
      </x:c>
      <x:c r="J118" s="109" t="n">
        <x:v>12.9</x:v>
      </x:c>
      <x:c r="K118" s="109" t="n">
        <x:v>2</x:v>
      </x:c>
      <x:c r="L118" s="109" t="n">
        <x:v>20.4</x:v>
      </x:c>
      <x:c r="M118" s="109" t="n">
        <x:v>11.2</x:v>
      </x:c>
      <x:c r="N118" s="109" t="n">
        <x:v>16.9</x:v>
      </x:c>
      <x:c r="O118" s="109" t="n">
        <x:v>6.7</x:v>
      </x:c>
      <x:c r="P118" s="109"/>
      <x:c r="Q118" s="109" t="n">
        <x:v>5.5</x:v>
      </x:c>
      <x:c r="R118" s="109" t="n">
        <x:v>15.6</x:v>
      </x:c>
      <x:c r="S118" s="109" t="n">
        <x:v>3.6</x:v>
      </x:c>
      <x:c r="T118" s="109" t="n">
        <x:v>9.2</x:v>
      </x:c>
      <x:c r="U118" s="109" t="n">
        <x:v>0.7</x:v>
      </x:c>
      <x:c r="V118" s="109" t="n">
        <x:v>0</x:v>
      </x:c>
      <x:c r="W118" s="109" t="n">
        <x:f>AVERAGE(E118:V118)</x:f>
        <x:v>9.747058823529409</x:v>
      </x:c>
      <x:c r="X118" s="109" t="n">
        <x:f>MEDIAN(E118:V118)</x:f>
        <x:v>9.2</x:v>
      </x:c>
      <x:c r="Y118" s="109" t="n">
        <x:f>PERCENTILE.INC(E118:V118,0.25)</x:f>
        <x:v>5</x:v>
      </x:c>
      <x:c r="Z118" s="109" t="n">
        <x:f>STDEV.P(E118:V118)</x:f>
        <x:v>6.5783171142293915</x:v>
      </x:c>
      <x:c r="AA118" s="173" t="n">
        <x:f>IF(W118=0,"",Z118/ABS(W118))</x:f>
        <x:v>0.6749027817857555</x:v>
      </x:c>
      <x:c r="AB118" s="173" t="n">
        <x:f>IF(W118=0,0,(COUNTIF(E118:V118,"&lt;"&amp;0.5*W118)-COUNTBLANK(E118:V118))/COUNT(E118:V118))</x:f>
        <x:v>0.23529411764705882</x:v>
      </x:c>
      <x:c r="AC118" s="109" t="n">
        <x:f>SUM(E118:V118)</x:f>
        <x:v>165.69999999999996</x:v>
      </x:c>
    </x:row>
    <x:row r="119">
      <x:c r="A119" s="108" t="str">
        <x:v>WR</x:v>
      </x:c>
      <x:c r="B119" s="108" t="str">
        <x:v>Keenan Allen</x:v>
      </x:c>
      <x:c r="C119" s="108" t="str">
        <x:v>LAC</x:v>
      </x:c>
      <x:c r="D119" s="108" t="n">
        <x:v>12</x:v>
      </x:c>
      <x:c r="E119" s="109" t="n">
        <x:v>16.3</x:v>
      </x:c>
      <x:c r="F119" s="109" t="n">
        <x:v>14.6</x:v>
      </x:c>
      <x:c r="G119" s="109" t="n">
        <x:v>16</x:v>
      </x:c>
      <x:c r="H119" s="109" t="n">
        <x:v>6.2</x:v>
      </x:c>
      <x:c r="I119" s="109" t="n">
        <x:v>8.3</x:v>
      </x:c>
      <x:c r="J119" s="109" t="n">
        <x:v>4.2</x:v>
      </x:c>
      <x:c r="K119" s="109" t="n">
        <x:v>23.4</x:v>
      </x:c>
      <x:c r="L119" s="109" t="n">
        <x:v>6.4</x:v>
      </x:c>
      <x:c r="M119" s="109" t="n">
        <x:v>5.1</x:v>
      </x:c>
      <x:c r="N119" s="109" t="n">
        <x:v>2.9</x:v>
      </x:c>
      <x:c r="O119" s="109" t="n">
        <x:v>7.3</x:v>
      </x:c>
      <x:c r="P119" s="109"/>
      <x:c r="Q119" s="109" t="n">
        <x:v>5</x:v>
      </x:c>
      <x:c r="R119" s="109" t="n">
        <x:v>3.7</x:v>
      </x:c>
      <x:c r="S119" s="109" t="n">
        <x:v>5.6</x:v>
      </x:c>
      <x:c r="T119" s="109" t="n">
        <x:v>6.9</x:v>
      </x:c>
      <x:c r="U119" s="109" t="n">
        <x:v>2.2</x:v>
      </x:c>
      <x:c r="V119" s="109" t="n">
        <x:v>7.1</x:v>
      </x:c>
      <x:c r="W119" s="109" t="n">
        <x:f>AVERAGE(E119:V119)</x:f>
        <x:v>8.305882352941175</x:v>
      </x:c>
      <x:c r="X119" s="109" t="n">
        <x:f>MEDIAN(E119:V119)</x:f>
        <x:v>6.4</x:v>
      </x:c>
      <x:c r="Y119" s="109" t="n">
        <x:f>PERCENTILE.INC(E119:V119,0.25)</x:f>
        <x:v>5</x:v>
      </x:c>
      <x:c r="Z119" s="109" t="n">
        <x:f>STDEV.P(E119:V119)</x:f>
        <x:v>5.615992980998975</x:v>
      </x:c>
      <x:c r="AA119" s="173" t="n">
        <x:f>IF(W119=0,"",Z119/ABS(W119))</x:f>
        <x:v>0.676146463718007</x:v>
      </x:c>
      <x:c r="AB119" s="173" t="n">
        <x:f>IF(W119=0,0,(COUNTIF(E119:V119,"&lt;"&amp;0.5*W119)-COUNTBLANK(E119:V119))/COUNT(E119:V119))</x:f>
        <x:v>0.17647058823529413</x:v>
      </x:c>
      <x:c r="AC119" s="109" t="n">
        <x:f>SUM(E119:V119)</x:f>
        <x:v>141.2</x:v>
      </x:c>
    </x:row>
    <x:row r="120">
      <x:c r="A120" s="108" t="str">
        <x:v>WR</x:v>
      </x:c>
      <x:c r="B120" s="108" t="str">
        <x:v>KaVontae Turpin</x:v>
      </x:c>
      <x:c r="C120" s="108" t="str">
        <x:v>DAL</x:v>
      </x:c>
      <x:c r="D120" s="108" t="n">
        <x:v>10</x:v>
      </x:c>
      <x:c r="E120" s="109" t="n">
        <x:v>6.13</x:v>
      </x:c>
      <x:c r="F120" s="109" t="n">
        <x:v>16.4</x:v>
      </x:c>
      <x:c r="G120" s="109" t="n">
        <x:v>10.67</x:v>
      </x:c>
      <x:c r="H120" s="109" t="n">
        <x:v>10.15</x:v>
      </x:c>
      <x:c r="I120" s="109" t="n">
        <x:v>0</x:v>
      </x:c>
      <x:c r="J120" s="109" t="n">
        <x:v>0</x:v>
      </x:c>
      <x:c r="K120" s="109" t="n">
        <x:v>4.8</x:v>
      </x:c>
      <x:c r="L120" s="109" t="n">
        <x:v>2.88</x:v>
      </x:c>
      <x:c r="M120" s="109" t="n">
        <x:v>7.13</x:v>
      </x:c>
      <x:c r="N120" s="109"/>
      <x:c r="O120" s="109" t="n">
        <x:v>4.53</x:v>
      </x:c>
      <x:c r="P120" s="109" t="n">
        <x:v>6.3</x:v>
      </x:c>
      <x:c r="Q120" s="109" t="n">
        <x:v>10.64</x:v>
      </x:c>
      <x:c r="R120" s="109" t="n">
        <x:v>9.28</x:v>
      </x:c>
      <x:c r="S120" s="109" t="n">
        <x:v>5.92</x:v>
      </x:c>
      <x:c r="T120" s="109" t="n">
        <x:v>8.14</x:v>
      </x:c>
      <x:c r="U120" s="109" t="n">
        <x:v>20.55</x:v>
      </x:c>
      <x:c r="V120" s="109" t="n">
        <x:v>7.15</x:v>
      </x:c>
      <x:c r="W120" s="109" t="n">
        <x:f>AVERAGE(E120:V120)</x:f>
        <x:v>7.686470588235293</x:v>
      </x:c>
      <x:c r="X120" s="109" t="n">
        <x:f>MEDIAN(E120:V120)</x:f>
        <x:v>7.13</x:v>
      </x:c>
      <x:c r="Y120" s="109" t="n">
        <x:f>PERCENTILE.INC(E120:V120,0.25)</x:f>
        <x:v>4.8</x:v>
      </x:c>
      <x:c r="Z120" s="109" t="n">
        <x:f>STDEV.P(E120:V120)</x:f>
        <x:v>5.06114604689081</x:v>
      </x:c>
      <x:c r="AA120" s="173" t="n">
        <x:f>IF(W120=0,"",Z120/ABS(W120))</x:f>
        <x:v>0.6584486324109878</x:v>
      </x:c>
      <x:c r="AB120" s="173" t="n">
        <x:f>IF(W120=0,0,(COUNTIF(E120:V120,"&lt;"&amp;0.5*W120)-COUNTBLANK(E120:V120))/COUNT(E120:V120))</x:f>
        <x:v>0.17647058823529413</x:v>
      </x:c>
      <x:c r="AC120" s="109" t="n">
        <x:f>SUM(E120:V120)</x:f>
        <x:v>130.67</x:v>
      </x:c>
    </x:row>
    <x:row r="121">
      <x:c r="A121" s="108" t="str">
        <x:v>WR</x:v>
      </x:c>
      <x:c r="B121" s="108" t="str">
        <x:v>Khalil Shakir</x:v>
      </x:c>
      <x:c r="C121" s="108" t="str">
        <x:v>BUF</x:v>
      </x:c>
      <x:c r="D121" s="108" t="n">
        <x:v>7</x:v>
      </x:c>
      <x:c r="E121" s="109" t="n">
        <x:v>9.4</x:v>
      </x:c>
      <x:c r="F121" s="109" t="n">
        <x:v>1.7</x:v>
      </x:c>
      <x:c r="G121" s="109" t="n">
        <x:v>12.5</x:v>
      </x:c>
      <x:c r="H121" s="109" t="n">
        <x:v>17.7</x:v>
      </x:c>
      <x:c r="I121" s="109" t="n">
        <x:v>8</x:v>
      </x:c>
      <x:c r="J121" s="109" t="n">
        <x:v>4.8</x:v>
      </x:c>
      <x:c r="K121" s="109"/>
      <x:c r="L121" s="109" t="n">
        <x:v>20.2</x:v>
      </x:c>
      <x:c r="M121" s="109" t="n">
        <x:v>8.5</x:v>
      </x:c>
      <x:c r="N121" s="109" t="n">
        <x:v>9.65</x:v>
      </x:c>
      <x:c r="O121" s="109" t="n">
        <x:v>0.2</x:v>
      </x:c>
      <x:c r="P121" s="109" t="n">
        <x:v>13.75</x:v>
      </x:c>
      <x:c r="Q121" s="109" t="n">
        <x:v>1</x:v>
      </x:c>
      <x:c r="R121" s="109" t="n">
        <x:v>9.05</x:v>
      </x:c>
      <x:c r="S121" s="109" t="n">
        <x:v>9.6</x:v>
      </x:c>
      <x:c r="T121" s="109" t="n">
        <x:v>5.55</x:v>
      </x:c>
      <x:c r="U121" s="109" t="n">
        <x:v>9</x:v>
      </x:c>
      <x:c r="V121" s="109" t="n">
        <x:v>0</x:v>
      </x:c>
      <x:c r="W121" s="109" t="n">
        <x:f>AVERAGE(E121:V121)</x:f>
        <x:v>8.270588235294117</x:v>
      </x:c>
      <x:c r="X121" s="109" t="n">
        <x:f>MEDIAN(E121:V121)</x:f>
        <x:v>9</x:v>
      </x:c>
      <x:c r="Y121" s="109" t="n">
        <x:f>PERCENTILE.INC(E121:V121,0.25)</x:f>
        <x:v>4.8</x:v>
      </x:c>
      <x:c r="Z121" s="109" t="n">
        <x:f>STDEV.P(E121:V121)</x:f>
        <x:v>5.606536595363996</x:v>
      </x:c>
      <x:c r="AA121" s="173" t="n">
        <x:f>IF(W121=0,"",Z121/ABS(W121))</x:f>
        <x:v>0.677888493038321</x:v>
      </x:c>
      <x:c r="AB121" s="173" t="n">
        <x:f>IF(W121=0,0,(COUNTIF(E121:V121,"&lt;"&amp;0.5*W121)-COUNTBLANK(E121:V121))/COUNT(E121:V121))</x:f>
        <x:v>0.23529411764705882</x:v>
      </x:c>
      <x:c r="AC121" s="109" t="n">
        <x:f>SUM(E121:V121)</x:f>
        <x:v>140.6</x:v>
      </x:c>
    </x:row>
    <x:row r="122">
      <x:c r="A122" s="108" t="str">
        <x:v>WR</x:v>
      </x:c>
      <x:c r="B122" s="108" t="str">
        <x:v>Tee Higgins</x:v>
      </x:c>
      <x:c r="C122" s="108" t="str">
        <x:v>CIN</x:v>
      </x:c>
      <x:c r="D122" s="108" t="n">
        <x:v>10</x:v>
      </x:c>
      <x:c r="E122" s="109" t="n">
        <x:v>4.8</x:v>
      </x:c>
      <x:c r="F122" s="109" t="n">
        <x:v>15.1</x:v>
      </x:c>
      <x:c r="G122" s="109" t="n">
        <x:v>2</x:v>
      </x:c>
      <x:c r="H122" s="109" t="n">
        <x:v>4.7</x:v>
      </x:c>
      <x:c r="I122" s="109" t="n">
        <x:v>9.7</x:v>
      </x:c>
      <x:c r="J122" s="109" t="n">
        <x:v>8.7</x:v>
      </x:c>
      <x:c r="K122" s="109" t="n">
        <x:v>18.6</x:v>
      </x:c>
      <x:c r="L122" s="109" t="n">
        <x:v>12.9</x:v>
      </x:c>
      <x:c r="M122" s="109" t="n">
        <x:v>31.6</x:v>
      </x:c>
      <x:c r="N122" s="109"/>
      <x:c r="O122" s="109" t="n">
        <x:v>13.8</x:v>
      </x:c>
      <x:c r="P122" s="109" t="n">
        <x:v>5.6</x:v>
      </x:c>
      <x:c r="Q122" s="109" t="n">
        <x:v>0</x:v>
      </x:c>
      <x:c r="R122" s="109" t="n">
        <x:v>24.2</x:v>
      </x:c>
      <x:c r="S122" s="109" t="n">
        <x:v>0</x:v>
      </x:c>
      <x:c r="T122" s="109" t="n">
        <x:v>12.8</x:v>
      </x:c>
      <x:c r="U122" s="109" t="n">
        <x:v>7.9</x:v>
      </x:c>
      <x:c r="V122" s="109" t="n">
        <x:v>15.7</x:v>
      </x:c>
      <x:c r="W122" s="109" t="n">
        <x:f>AVERAGE(E122:V122)</x:f>
        <x:v>11.064705882352941</x:v>
      </x:c>
      <x:c r="X122" s="109" t="n">
        <x:f>MEDIAN(E122:V122)</x:f>
        <x:v>9.7</x:v>
      </x:c>
      <x:c r="Y122" s="109" t="n">
        <x:f>PERCENTILE.INC(E122:V122,0.25)</x:f>
        <x:v>4.8</x:v>
      </x:c>
      <x:c r="Z122" s="109" t="n">
        <x:f>STDEV.P(E122:V122)</x:f>
        <x:v>8.248917303392044</x:v>
      </x:c>
      <x:c r="AA122" s="173" t="n">
        <x:f>IF(W122=0,"",Z122/ABS(W122))</x:f>
        <x:v>0.7455161837196426</x:v>
      </x:c>
      <x:c r="AB122" s="173" t="n">
        <x:f>IF(W122=0,0,(COUNTIF(E122:V122,"&lt;"&amp;0.5*W122)-COUNTBLANK(E122:V122))/COUNT(E122:V122))</x:f>
        <x:v>0.29411764705882354</x:v>
      </x:c>
      <x:c r="AC122" s="109" t="n">
        <x:f>SUM(E122:V122)</x:f>
        <x:v>188.1</x:v>
      </x:c>
    </x:row>
    <x:row r="123">
      <x:c r="A123" s="108" t="str">
        <x:v>WR</x:v>
      </x:c>
      <x:c r="B123" s="108" t="str">
        <x:v>Jameson Williams</x:v>
      </x:c>
      <x:c r="C123" s="108" t="str">
        <x:v>DET</x:v>
      </x:c>
      <x:c r="D123" s="108" t="n">
        <x:v>8</x:v>
      </x:c>
      <x:c r="E123" s="109" t="n">
        <x:v>4.6</x:v>
      </x:c>
      <x:c r="F123" s="109" t="n">
        <x:v>19.8</x:v>
      </x:c>
      <x:c r="G123" s="109" t="n">
        <x:v>5.3</x:v>
      </x:c>
      <x:c r="H123" s="109" t="n">
        <x:v>4.7</x:v>
      </x:c>
      <x:c r="I123" s="109" t="n">
        <x:v>1.5</x:v>
      </x:c>
      <x:c r="J123" s="109" t="n">
        <x:v>15.6</x:v>
      </x:c>
      <x:c r="K123" s="109" t="n">
        <x:v>0</x:v>
      </x:c>
      <x:c r="L123" s="109"/>
      <x:c r="M123" s="109" t="n">
        <x:v>14.6</x:v>
      </x:c>
      <x:c r="N123" s="109" t="n">
        <x:v>20.9</x:v>
      </x:c>
      <x:c r="O123" s="109" t="n">
        <x:v>19.7</x:v>
      </x:c>
      <x:c r="P123" s="109" t="n">
        <x:v>0</x:v>
      </x:c>
      <x:c r="Q123" s="109" t="n">
        <x:v>23.4</x:v>
      </x:c>
      <x:c r="R123" s="109" t="n">
        <x:v>13.8</x:v>
      </x:c>
      <x:c r="S123" s="109" t="n">
        <x:v>22.9</x:v>
      </x:c>
      <x:c r="T123" s="109" t="n">
        <x:v>9.5</x:v>
      </x:c>
      <x:c r="U123" s="109" t="n">
        <x:v>4.7</x:v>
      </x:c>
      <x:c r="V123" s="109" t="n">
        <x:v>10.4</x:v>
      </x:c>
      <x:c r="W123" s="109" t="n">
        <x:f>AVERAGE(E123:V123)</x:f>
        <x:v>11.258823529411766</x:v>
      </x:c>
      <x:c r="X123" s="109" t="n">
        <x:f>MEDIAN(E123:V123)</x:f>
        <x:v>10.4</x:v>
      </x:c>
      <x:c r="Y123" s="109" t="n">
        <x:f>PERCENTILE.INC(E123:V123,0.25)</x:f>
        <x:v>4.7</x:v>
      </x:c>
      <x:c r="Z123" s="109" t="n">
        <x:f>STDEV.P(E123:V123)</x:f>
        <x:v>7.952140579264651</x:v>
      </x:c>
      <x:c r="AA123" s="173" t="n">
        <x:f>IF(W123=0,"",Z123/ABS(W123))</x:f>
        <x:v>0.7063029772596607</x:v>
      </x:c>
      <x:c r="AB123" s="173" t="n">
        <x:f>IF(W123=0,0,(COUNTIF(E123:V123,"&lt;"&amp;0.5*W123)-COUNTBLANK(E123:V123))/COUNT(E123:V123))</x:f>
        <x:v>0.4117647058823529</x:v>
      </x:c>
      <x:c r="AC123" s="109" t="n">
        <x:f>SUM(E123:V123)</x:f>
        <x:v>191.4</x:v>
      </x:c>
    </x:row>
    <x:row r="124">
      <x:c r="A124" s="108" t="str">
        <x:v>WR</x:v>
      </x:c>
      <x:c r="B124" s="108" t="str">
        <x:v>Parker Washington</x:v>
      </x:c>
      <x:c r="C124" s="108" t="str">
        <x:v>JAX</x:v>
      </x:c>
      <x:c r="D124" s="108" t="n">
        <x:v>8</x:v>
      </x:c>
      <x:c r="E124" s="109" t="n">
        <x:v>0.35</x:v>
      </x:c>
      <x:c r="F124" s="109" t="n">
        <x:v>13.3</x:v>
      </x:c>
      <x:c r="G124" s="109" t="n">
        <x:v>6.25</x:v>
      </x:c>
      <x:c r="H124" s="109" t="n">
        <x:v>10.25</x:v>
      </x:c>
      <x:c r="I124" s="109" t="n">
        <x:v>8.55</x:v>
      </x:c>
      <x:c r="J124" s="109" t="n">
        <x:v>4.6</x:v>
      </x:c>
      <x:c r="K124" s="109" t="n">
        <x:v>9.15</x:v>
      </x:c>
      <x:c r="L124" s="109"/>
      <x:c r="M124" s="109" t="n">
        <x:v>13.2</x:v>
      </x:c>
      <x:c r="N124" s="109" t="n">
        <x:v>20.9</x:v>
      </x:c>
      <x:c r="O124" s="109" t="n">
        <x:v>3</x:v>
      </x:c>
      <x:c r="P124" s="109" t="n">
        <x:v>17.75</x:v>
      </x:c>
      <x:c r="Q124" s="109" t="n">
        <x:v>3.8</x:v>
      </x:c>
      <x:c r="R124" s="109" t="n">
        <x:v>0</x:v>
      </x:c>
      <x:c r="S124" s="109" t="n">
        <x:v>6.8</x:v>
      </x:c>
      <x:c r="T124" s="109" t="n">
        <x:v>23.6</x:v>
      </x:c>
      <x:c r="U124" s="109" t="n">
        <x:v>15.5</x:v>
      </x:c>
      <x:c r="V124" s="109" t="n">
        <x:v>17</x:v>
      </x:c>
      <x:c r="W124" s="109" t="n">
        <x:f>AVERAGE(E124:V124)</x:f>
        <x:v>10.235294117647058</x:v>
      </x:c>
      <x:c r="X124" s="109" t="n">
        <x:f>MEDIAN(E124:V124)</x:f>
        <x:v>9.15</x:v>
      </x:c>
      <x:c r="Y124" s="109" t="n">
        <x:f>PERCENTILE.INC(E124:V124,0.25)</x:f>
        <x:v>4.6</x:v>
      </x:c>
      <x:c r="Z124" s="109" t="n">
        <x:f>STDEV.P(E124:V124)</x:f>
        <x:v>6.860731497311398</x:v>
      </x:c>
      <x:c r="AA124" s="173" t="n">
        <x:f>IF(W124=0,"",Z124/ABS(W124))</x:f>
        <x:v>0.6703013531855964</x:v>
      </x:c>
      <x:c r="AB124" s="173" t="n">
        <x:f>IF(W124=0,0,(COUNTIF(E124:V124,"&lt;"&amp;0.5*W124)-COUNTBLANK(E124:V124))/COUNT(E124:V124))</x:f>
        <x:v>0.29411764705882354</x:v>
      </x:c>
      <x:c r="AC124" s="109" t="n">
        <x:f>SUM(E124:V124)</x:f>
        <x:v>174</x:v>
      </x:c>
    </x:row>
    <x:row r="125">
      <x:c r="A125" s="108" t="str">
        <x:v>WR</x:v>
      </x:c>
      <x:c r="B125" s="108" t="str">
        <x:v>Emeka Egbuka</x:v>
      </x:c>
      <x:c r="C125" s="108" t="str">
        <x:v>TB</x:v>
      </x:c>
      <x:c r="D125" s="108" t="n">
        <x:v>9</x:v>
      </x:c>
      <x:c r="E125" s="109" t="n">
        <x:v>21.6</x:v>
      </x:c>
      <x:c r="F125" s="109" t="n">
        <x:v>10.9</x:v>
      </x:c>
      <x:c r="G125" s="109" t="n">
        <x:v>11.5</x:v>
      </x:c>
      <x:c r="H125" s="109" t="n">
        <x:v>20.1</x:v>
      </x:c>
      <x:c r="I125" s="109" t="n">
        <x:v>27.8</x:v>
      </x:c>
      <x:c r="J125" s="109" t="n">
        <x:v>3.4</x:v>
      </x:c>
      <x:c r="K125" s="109" t="n">
        <x:v>7.8</x:v>
      </x:c>
      <x:c r="L125" s="109" t="n">
        <x:v>5</x:v>
      </x:c>
      <x:c r="M125" s="109"/>
      <x:c r="N125" s="109" t="n">
        <x:v>20.5</x:v>
      </x:c>
      <x:c r="O125" s="109" t="n">
        <x:v>6.5</x:v>
      </x:c>
      <x:c r="P125" s="109" t="n">
        <x:v>4.7</x:v>
      </x:c>
      <x:c r="Q125" s="109" t="n">
        <x:v>6.2</x:v>
      </x:c>
      <x:c r="R125" s="109" t="n">
        <x:v>2.5</x:v>
      </x:c>
      <x:c r="S125" s="109" t="n">
        <x:v>8.4</x:v>
      </x:c>
      <x:c r="T125" s="109" t="n">
        <x:v>4.5</x:v>
      </x:c>
      <x:c r="U125" s="109" t="n">
        <x:v>3.5</x:v>
      </x:c>
      <x:c r="V125" s="109" t="n">
        <x:v>1.3</x:v>
      </x:c>
      <x:c r="W125" s="109" t="n">
        <x:f>AVERAGE(E125:V125)</x:f>
        <x:v>9.776470588235293</x:v>
      </x:c>
      <x:c r="X125" s="109" t="n">
        <x:f>MEDIAN(E125:V125)</x:f>
        <x:v>6.5</x:v>
      </x:c>
      <x:c r="Y125" s="109" t="n">
        <x:f>PERCENTILE.INC(E125:V125,0.25)</x:f>
        <x:v>4.5</x:v>
      </x:c>
      <x:c r="Z125" s="109" t="n">
        <x:f>STDEV.P(E125:V125)</x:f>
        <x:v>7.6736776528417705</x:v>
      </x:c>
      <x:c r="AA125" s="173" t="n">
        <x:f>IF(W125=0,"",Z125/ABS(W125))</x:f>
        <x:v>0.7849128766444652</x:v>
      </x:c>
      <x:c r="AB125" s="173" t="n">
        <x:f>IF(W125=0,0,(COUNTIF(E125:V125,"&lt;"&amp;0.5*W125)-COUNTBLANK(E125:V125))/COUNT(E125:V125))</x:f>
        <x:v>0.35294117647058826</x:v>
      </x:c>
      <x:c r="AC125" s="109" t="n">
        <x:f>SUM(E125:V125)</x:f>
        <x:v>166.2</x:v>
      </x:c>
    </x:row>
    <x:row r="126">
      <x:c r="A126" s="108" t="str">
        <x:v>WR</x:v>
      </x:c>
      <x:c r="B126" s="108" t="str">
        <x:v>Romeo Doubs</x:v>
      </x:c>
      <x:c r="C126" s="108" t="str">
        <x:v>GB</x:v>
      </x:c>
      <x:c r="D126" s="108" t="n">
        <x:v>5</x:v>
      </x:c>
      <x:c r="E126" s="109" t="n">
        <x:v>7.8</x:v>
      </x:c>
      <x:c r="F126" s="109" t="n">
        <x:v>10.3</x:v>
      </x:c>
      <x:c r="G126" s="109" t="n">
        <x:v>3.5</x:v>
      </x:c>
      <x:c r="H126" s="109" t="n">
        <x:v>27.05</x:v>
      </x:c>
      <x:c r="I126" s="109"/>
      <x:c r="J126" s="109" t="n">
        <x:v>8.7</x:v>
      </x:c>
      <x:c r="K126" s="109" t="n">
        <x:v>10.2</x:v>
      </x:c>
      <x:c r="L126" s="109" t="n">
        <x:v>8.75</x:v>
      </x:c>
      <x:c r="M126" s="109" t="n">
        <x:v>12.9</x:v>
      </x:c>
      <x:c r="N126" s="109" t="n">
        <x:v>2.1</x:v>
      </x:c>
      <x:c r="O126" s="109" t="n">
        <x:v>7.3</x:v>
      </x:c>
      <x:c r="P126" s="109" t="n">
        <x:v>4.35</x:v>
      </x:c>
      <x:c r="Q126" s="109" t="n">
        <x:v>9.6</x:v>
      </x:c>
      <x:c r="R126" s="109" t="n">
        <x:v>0.35</x:v>
      </x:c>
      <x:c r="S126" s="109" t="n">
        <x:v>4.6</x:v>
      </x:c>
      <x:c r="T126" s="109" t="n">
        <x:v>16.9</x:v>
      </x:c>
      <x:c r="U126" s="109" t="n">
        <x:v>7.7</x:v>
      </x:c>
      <x:c r="V126" s="109" t="n">
        <x:v>0</x:v>
      </x:c>
      <x:c r="W126" s="109" t="n">
        <x:f>AVERAGE(E126:V126)</x:f>
        <x:v>8.358823529411763</x:v>
      </x:c>
      <x:c r="X126" s="109" t="n">
        <x:f>MEDIAN(E126:V126)</x:f>
        <x:v>7.8</x:v>
      </x:c>
      <x:c r="Y126" s="109" t="n">
        <x:f>PERCENTILE.INC(E126:V126,0.25)</x:f>
        <x:v>4.35</x:v>
      </x:c>
      <x:c r="Z126" s="109" t="n">
        <x:f>STDEV.P(E126:V126)</x:f>
        <x:v>6.328094111697865</x:v>
      </x:c>
      <x:c r="AA126" s="173" t="n">
        <x:f>IF(W126=0,"",Z126/ABS(W126))</x:f>
        <x:v>0.7570555939399277</x:v>
      </x:c>
      <x:c r="AB126" s="173" t="n">
        <x:f>IF(W126=0,0,(COUNTIF(E126:V126,"&lt;"&amp;0.5*W126)-COUNTBLANK(E126:V126))/COUNT(E126:V126))</x:f>
        <x:v>0.23529411764705882</x:v>
      </x:c>
      <x:c r="AC126" s="109" t="n">
        <x:f>SUM(E126:V126)</x:f>
        <x:v>142.09999999999997</x:v>
      </x:c>
    </x:row>
    <x:row r="127">
      <x:c r="A127" s="108" t="str">
        <x:v>WR</x:v>
      </x:c>
      <x:c r="B127" s="108" t="str">
        <x:v>Rashid Shaheed</x:v>
      </x:c>
      <x:c r="C127" s="108" t="str">
        <x:v>SEA/NO</x:v>
      </x:c>
      <x:c r="D127" s="108" t="n">
        <x:v>11</x:v>
      </x:c>
      <x:c r="E127" s="109" t="n">
        <x:v>7.2</x:v>
      </x:c>
      <x:c r="F127" s="109" t="n">
        <x:v>14.35</x:v>
      </x:c>
      <x:c r="G127" s="109" t="n">
        <x:v>8.2</x:v>
      </x:c>
      <x:c r="H127" s="109" t="n">
        <x:v>7.7</x:v>
      </x:c>
      <x:c r="I127" s="109" t="n">
        <x:v>21.4</x:v>
      </x:c>
      <x:c r="J127" s="109" t="n">
        <x:v>5.85</x:v>
      </x:c>
      <x:c r="K127" s="109" t="n">
        <x:v>6</x:v>
      </x:c>
      <x:c r="L127" s="109" t="n">
        <x:v>10.4</x:v>
      </x:c>
      <x:c r="M127" s="109" t="n">
        <x:v>10.62</x:v>
      </x:c>
      <x:c r="N127" s="109" t="n">
        <x:v>4.31</x:v>
      </x:c>
      <x:c r="O127" s="109"/>
      <x:c r="P127" s="109" t="n">
        <x:v>3.64</x:v>
      </x:c>
      <x:c r="Q127" s="109" t="n">
        <x:v>4.25</x:v>
      </x:c>
      <x:c r="R127" s="109" t="n">
        <x:v>19.14</x:v>
      </x:c>
      <x:c r="S127" s="109" t="n">
        <x:v>13.83</x:v>
      </x:c>
      <x:c r="T127" s="109" t="n">
        <x:v>12</x:v>
      </x:c>
      <x:c r="U127" s="109" t="n">
        <x:v>1.95</x:v>
      </x:c>
      <x:c r="V127" s="109" t="n">
        <x:v>3.22</x:v>
      </x:c>
      <x:c r="W127" s="109" t="n">
        <x:f>AVERAGE(E127:V127)</x:f>
        <x:v>9.06235294117647</x:v>
      </x:c>
      <x:c r="X127" s="109" t="n">
        <x:f>MEDIAN(E127:V127)</x:f>
        <x:v>7.7</x:v>
      </x:c>
      <x:c r="Y127" s="109" t="n">
        <x:f>PERCENTILE.INC(E127:V127,0.25)</x:f>
        <x:v>4.31</x:v>
      </x:c>
      <x:c r="Z127" s="109" t="n">
        <x:f>STDEV.P(E127:V127)</x:f>
        <x:v>5.4391873629752965</x:v>
      </x:c>
      <x:c r="AA127" s="173" t="n">
        <x:f>IF(W127=0,"",Z127/ABS(W127))</x:f>
        <x:v>0.6001959312643128</x:v>
      </x:c>
      <x:c r="AB127" s="173" t="n">
        <x:f>IF(W127=0,0,(COUNTIF(E127:V127,"&lt;"&amp;0.5*W127)-COUNTBLANK(E127:V127))/COUNT(E127:V127))</x:f>
        <x:v>0.29411764705882354</x:v>
      </x:c>
      <x:c r="AC127" s="109" t="n">
        <x:f>SUM(E127:V127)</x:f>
        <x:v>154.06</x:v>
      </x:c>
    </x:row>
    <x:row r="128">
      <x:c r="A128" s="108" t="str">
        <x:v>WR</x:v>
      </x:c>
      <x:c r="B128" s="108" t="str">
        <x:v>Stefon Diggs</x:v>
      </x:c>
      <x:c r="C128" s="108" t="str">
        <x:v>NE</x:v>
      </x:c>
      <x:c r="D128" s="108" t="n">
        <x:v>14</x:v>
      </x:c>
      <x:c r="E128" s="109" t="n">
        <x:v>8.7</x:v>
      </x:c>
      <x:c r="F128" s="109" t="n">
        <x:v>5.2</x:v>
      </x:c>
      <x:c r="G128" s="109" t="n">
        <x:v>3.8</x:v>
      </x:c>
      <x:c r="H128" s="109" t="n">
        <x:v>13.1</x:v>
      </x:c>
      <x:c r="I128" s="109" t="n">
        <x:v>19.6</x:v>
      </x:c>
      <x:c r="J128" s="109" t="n">
        <x:v>4.3</x:v>
      </x:c>
      <x:c r="K128" s="109" t="n">
        <x:v>10.4</x:v>
      </x:c>
      <x:c r="L128" s="109" t="n">
        <x:v>8.9</x:v>
      </x:c>
      <x:c r="M128" s="109" t="n">
        <x:v>11.3</x:v>
      </x:c>
      <x:c r="N128" s="109" t="n">
        <x:v>13.1</x:v>
      </x:c>
      <x:c r="O128" s="109" t="n">
        <x:v>15</x:v>
      </x:c>
      <x:c r="P128" s="109" t="n">
        <x:v>3</x:v>
      </x:c>
      <x:c r="Q128" s="109" t="n">
        <x:v>4.1</x:v>
      </x:c>
      <x:c r="R128" s="109"/>
      <x:c r="S128" s="109" t="n">
        <x:v>4.1</x:v>
      </x:c>
      <x:c r="T128" s="109" t="n">
        <x:v>18.3</x:v>
      </x:c>
      <x:c r="U128" s="109" t="n">
        <x:v>19.1</x:v>
      </x:c>
      <x:c r="V128" s="109" t="n">
        <x:v>5.8</x:v>
      </x:c>
      <x:c r="W128" s="109" t="n">
        <x:f>AVERAGE(E128:V128)</x:f>
        <x:v>9.870588235294116</x:v>
      </x:c>
      <x:c r="X128" s="109" t="n">
        <x:f>MEDIAN(E128:V128)</x:f>
        <x:v>8.9</x:v>
      </x:c>
      <x:c r="Y128" s="109" t="n">
        <x:f>PERCENTILE.INC(E128:V128,0.25)</x:f>
        <x:v>4.3</x:v>
      </x:c>
      <x:c r="Z128" s="109" t="n">
        <x:f>STDEV.P(E128:V128)</x:f>
        <x:v>5.545402410039632</x:v>
      </x:c>
      <x:c r="AA128" s="173" t="n">
        <x:f>IF(W128=0,"",Z128/ABS(W128))</x:f>
        <x:v>0.5618107328407256</x:v>
      </x:c>
      <x:c r="AB128" s="173" t="n">
        <x:f>IF(W128=0,0,(COUNTIF(E128:V128,"&lt;"&amp;0.5*W128)-COUNTBLANK(E128:V128))/COUNT(E128:V128))</x:f>
        <x:v>0.29411764705882354</x:v>
      </x:c>
      <x:c r="AC128" s="109" t="n">
        <x:f>SUM(E128:V128)</x:f>
        <x:v>167.79999999999998</x:v>
      </x:c>
    </x:row>
    <x:row r="129">
      <x:c r="A129" s="108" t="str">
        <x:v>WR</x:v>
      </x:c>
      <x:c r="B129" s="108" t="str">
        <x:v>Josh Downs</x:v>
      </x:c>
      <x:c r="C129" s="108" t="str">
        <x:v>IND</x:v>
      </x:c>
      <x:c r="D129" s="108" t="n">
        <x:v>11</x:v>
      </x:c>
      <x:c r="E129" s="109" t="n">
        <x:v>2.2</x:v>
      </x:c>
      <x:c r="F129" s="109" t="n">
        <x:v>8.1</x:v>
      </x:c>
      <x:c r="G129" s="109" t="n">
        <x:v>4.4</x:v>
      </x:c>
      <x:c r="H129" s="109" t="n">
        <x:v>4.4</x:v>
      </x:c>
      <x:c r="I129" s="109" t="n">
        <x:v>8.4</x:v>
      </x:c>
      <x:c r="J129" s="109" t="n">
        <x:v>13.2</x:v>
      </x:c>
      <x:c r="K129" s="109" t="n">
        <x:v>0</x:v>
      </x:c>
      <x:c r="L129" s="109" t="n">
        <x:v>11.4</x:v>
      </x:c>
      <x:c r="M129" s="109" t="n">
        <x:v>13.85</x:v>
      </x:c>
      <x:c r="N129" s="109" t="n">
        <x:v>2.4</x:v>
      </x:c>
      <x:c r="O129" s="109"/>
      <x:c r="P129" s="109" t="n">
        <x:v>2</x:v>
      </x:c>
      <x:c r="Q129" s="109" t="n">
        <x:v>5.4</x:v>
      </x:c>
      <x:c r="R129" s="109" t="n">
        <x:v>4.3</x:v>
      </x:c>
      <x:c r="S129" s="109" t="n">
        <x:v>8.8</x:v>
      </x:c>
      <x:c r="T129" s="109" t="n">
        <x:v>9.3</x:v>
      </x:c>
      <x:c r="U129" s="109" t="n">
        <x:v>4.4</x:v>
      </x:c>
      <x:c r="V129" s="109" t="n">
        <x:v>8.25</x:v>
      </x:c>
      <x:c r="W129" s="109" t="n">
        <x:f>AVERAGE(E129:V129)</x:f>
        <x:v>6.51764705882353</x:v>
      </x:c>
      <x:c r="X129" s="109" t="n">
        <x:f>MEDIAN(E129:V129)</x:f>
        <x:v>5.4</x:v>
      </x:c>
      <x:c r="Y129" s="109" t="n">
        <x:f>PERCENTILE.INC(E129:V129,0.25)</x:f>
        <x:v>4.3</x:v>
      </x:c>
      <x:c r="Z129" s="109" t="n">
        <x:f>STDEV.P(E129:V129)</x:f>
        <x:v>3.928476024545972</x:v>
      </x:c>
      <x:c r="AA129" s="173" t="n">
        <x:f>IF(W129=0,"",Z129/ABS(W129))</x:f>
        <x:v>0.6027445164014577</x:v>
      </x:c>
      <x:c r="AB129" s="173" t="n">
        <x:f>IF(W129=0,0,(COUNTIF(E129:V129,"&lt;"&amp;0.5*W129)-COUNTBLANK(E129:V129))/COUNT(E129:V129))</x:f>
        <x:v>0.23529411764705882</x:v>
      </x:c>
      <x:c r="AC129" s="109" t="n">
        <x:f>SUM(E129:V129)</x:f>
        <x:v>110.80000000000001</x:v>
      </x:c>
    </x:row>
    <x:row r="130">
      <x:c r="A130" s="108" t="str">
        <x:v>WR</x:v>
      </x:c>
      <x:c r="B130" s="108" t="str">
        <x:v>Tre Tucker</x:v>
      </x:c>
      <x:c r="C130" s="108" t="str">
        <x:v>LV</x:v>
      </x:c>
      <x:c r="D130" s="108" t="n">
        <x:v>8</x:v>
      </x:c>
      <x:c r="E130" s="109" t="n">
        <x:v>13.05</x:v>
      </x:c>
      <x:c r="F130" s="109" t="n">
        <x:v>4.15</x:v>
      </x:c>
      <x:c r="G130" s="109" t="n">
        <x:v>40.09</x:v>
      </x:c>
      <x:c r="H130" s="109" t="n">
        <x:v>3.55</x:v>
      </x:c>
      <x:c r="I130" s="109" t="n">
        <x:v>9.1</x:v>
      </x:c>
      <x:c r="J130" s="109" t="n">
        <x:v>9.5</x:v>
      </x:c>
      <x:c r="K130" s="109" t="n">
        <x:v>5.8</x:v>
      </x:c>
      <x:c r="L130" s="109"/>
      <x:c r="M130" s="109" t="n">
        <x:v>5.3</x:v>
      </x:c>
      <x:c r="N130" s="109" t="n">
        <x:v>4.5</x:v>
      </x:c>
      <x:c r="O130" s="109" t="n">
        <x:v>12.9</x:v>
      </x:c>
      <x:c r="P130" s="109" t="n">
        <x:v>4.3</x:v>
      </x:c>
      <x:c r="Q130" s="109" t="n">
        <x:v>3.5</x:v>
      </x:c>
      <x:c r="R130" s="109" t="n">
        <x:v>3.4</x:v>
      </x:c>
      <x:c r="S130" s="109" t="n">
        <x:v>0</x:v>
      </x:c>
      <x:c r="T130" s="109" t="n">
        <x:v>7.4</x:v>
      </x:c>
      <x:c r="U130" s="109" t="n">
        <x:v>7.4</x:v>
      </x:c>
      <x:c r="V130" s="109" t="n">
        <x:v>4.4</x:v>
      </x:c>
      <x:c r="W130" s="109" t="n">
        <x:f>AVERAGE(E130:V130)</x:f>
        <x:v>8.13764705882353</x:v>
      </x:c>
      <x:c r="X130" s="109" t="n">
        <x:f>MEDIAN(E130:V130)</x:f>
        <x:v>5.3</x:v>
      </x:c>
      <x:c r="Y130" s="109" t="n">
        <x:f>PERCENTILE.INC(E130:V130,0.25)</x:f>
        <x:v>4.15</x:v>
      </x:c>
      <x:c r="Z130" s="109" t="n">
        <x:f>STDEV.P(E130:V130)</x:f>
        <x:v>8.657548579410012</x:v>
      </x:c>
      <x:c r="AA130" s="173" t="n">
        <x:f>IF(W130=0,"",Z130/ABS(W130))</x:f>
        <x:v>1.0638884332078227</x:v>
      </x:c>
      <x:c r="AB130" s="173" t="n">
        <x:f>IF(W130=0,0,(COUNTIF(E130:V130,"&lt;"&amp;0.5*W130)-COUNTBLANK(E130:V130))/COUNT(E130:V130))</x:f>
        <x:v>0.23529411764705882</x:v>
      </x:c>
      <x:c r="AC130" s="109" t="n">
        <x:f>SUM(E130:V130)</x:f>
        <x:v>138.34</x:v>
      </x:c>
    </x:row>
    <x:row r="131">
      <x:c r="A131" s="108" t="str">
        <x:v>WR</x:v>
      </x:c>
      <x:c r="B131" s="108" t="str">
        <x:v>Brian Thomas Jr.</x:v>
      </x:c>
      <x:c r="C131" s="108" t="str">
        <x:v>JAX</x:v>
      </x:c>
      <x:c r="D131" s="108" t="n">
        <x:v>8</x:v>
      </x:c>
      <x:c r="E131" s="109" t="n">
        <x:v>8.5</x:v>
      </x:c>
      <x:c r="F131" s="109" t="n">
        <x:v>6.9</x:v>
      </x:c>
      <x:c r="G131" s="109" t="n">
        <x:v>6.5</x:v>
      </x:c>
      <x:c r="H131" s="109" t="n">
        <x:v>8.1</x:v>
      </x:c>
      <x:c r="I131" s="109" t="n">
        <x:v>10</x:v>
      </x:c>
      <x:c r="J131" s="109" t="n">
        <x:v>19</x:v>
      </x:c>
      <x:c r="K131" s="109" t="n">
        <x:v>4.6</x:v>
      </x:c>
      <x:c r="L131" s="109"/>
      <x:c r="M131" s="109" t="n">
        <x:v>7</x:v>
      </x:c>
      <x:c r="N131" s="109" t="n">
        <x:v>0</x:v>
      </x:c>
      <x:c r="O131" s="109" t="n">
        <x:v>0</x:v>
      </x:c>
      <x:c r="P131" s="109" t="n">
        <x:v>0</x:v>
      </x:c>
      <x:c r="Q131" s="109" t="n">
        <x:v>3.8</x:v>
      </x:c>
      <x:c r="R131" s="109" t="n">
        <x:v>10.2</x:v>
      </x:c>
      <x:c r="S131" s="109" t="n">
        <x:v>15.1</x:v>
      </x:c>
      <x:c r="T131" s="109" t="n">
        <x:v>2.8</x:v>
      </x:c>
      <x:c r="U131" s="109" t="n">
        <x:v>5.9</x:v>
      </x:c>
      <x:c r="V131" s="109" t="n">
        <x:v>6.4</x:v>
      </x:c>
      <x:c r="W131" s="109" t="n">
        <x:f>AVERAGE(E131:V131)</x:f>
        <x:v>6.752941176470588</x:v>
      </x:c>
      <x:c r="X131" s="109" t="n">
        <x:f>MEDIAN(E131:V131)</x:f>
        <x:v>6.5</x:v>
      </x:c>
      <x:c r="Y131" s="109" t="n">
        <x:f>PERCENTILE.INC(E131:V131,0.25)</x:f>
        <x:v>3.8</x:v>
      </x:c>
      <x:c r="Z131" s="109" t="n">
        <x:f>STDEV.P(E131:V131)</x:f>
        <x:v>4.933334112659311</x:v>
      </x:c>
      <x:c r="AA131" s="173" t="n">
        <x:f>IF(W131=0,"",Z131/ABS(W131))</x:f>
        <x:v>0.7305459922927551</x:v>
      </x:c>
      <x:c r="AB131" s="173" t="n">
        <x:f>IF(W131=0,0,(COUNTIF(E131:V131,"&lt;"&amp;0.5*W131)-COUNTBLANK(E131:V131))/COUNT(E131:V131))</x:f>
        <x:v>0.23529411764705882</x:v>
      </x:c>
      <x:c r="AC131" s="109" t="n">
        <x:f>SUM(E131:V131)</x:f>
        <x:v>114.8</x:v>
      </x:c>
    </x:row>
    <x:row r="132">
      <x:c r="A132" s="108" t="str">
        <x:v>WR</x:v>
      </x:c>
      <x:c r="B132" s="108" t="str">
        <x:v>Hollywood Brown</x:v>
      </x:c>
      <x:c r="C132" s="108" t="str">
        <x:v>KC</x:v>
      </x:c>
      <x:c r="D132" s="108" t="n">
        <x:v>10</x:v>
      </x:c>
      <x:c r="E132" s="109" t="n">
        <x:v>14.9</x:v>
      </x:c>
      <x:c r="F132" s="109" t="n">
        <x:v>5.5</x:v>
      </x:c>
      <x:c r="G132" s="109" t="n">
        <x:v>6.2</x:v>
      </x:c>
      <x:c r="H132" s="109" t="n">
        <x:v>11.3</x:v>
      </x:c>
      <x:c r="I132" s="109" t="n">
        <x:v>6.8</x:v>
      </x:c>
      <x:c r="J132" s="109" t="n">
        <x:v>18.5</x:v>
      </x:c>
      <x:c r="K132" s="109" t="n">
        <x:v>7.9</x:v>
      </x:c>
      <x:c r="L132" s="109" t="n">
        <x:v>0</x:v>
      </x:c>
      <x:c r="M132" s="109" t="n">
        <x:v>8.3</x:v>
      </x:c>
      <x:c r="N132" s="109"/>
      <x:c r="O132" s="109" t="n">
        <x:v>6</x:v>
      </x:c>
      <x:c r="P132" s="109" t="n">
        <x:v>1.5</x:v>
      </x:c>
      <x:c r="Q132" s="109" t="n">
        <x:v>9</x:v>
      </x:c>
      <x:c r="R132" s="109" t="n">
        <x:v>4</x:v>
      </x:c>
      <x:c r="S132" s="109" t="n">
        <x:v>0</x:v>
      </x:c>
      <x:c r="T132" s="109" t="n">
        <x:v>3.7</x:v>
      </x:c>
      <x:c r="U132" s="109" t="n">
        <x:v>1.2</x:v>
      </x:c>
      <x:c r="V132" s="109" t="n">
        <x:v>7.9</x:v>
      </x:c>
      <x:c r="W132" s="109" t="n">
        <x:f>AVERAGE(E132:V132)</x:f>
        <x:v>6.629411764705883</x:v>
      </x:c>
      <x:c r="X132" s="109" t="n">
        <x:f>MEDIAN(E132:V132)</x:f>
        <x:v>6.2</x:v>
      </x:c>
      <x:c r="Y132" s="109" t="n">
        <x:f>PERCENTILE.INC(E132:V132,0.25)</x:f>
        <x:v>3.7</x:v>
      </x:c>
      <x:c r="Z132" s="109" t="n">
        <x:f>STDEV.P(E132:V132)</x:f>
        <x:v>4.873911909445847</x:v>
      </x:c>
      <x:c r="AA132" s="173" t="n">
        <x:f>IF(W132=0,"",Z132/ABS(W132))</x:f>
        <x:v>0.7351952303511925</x:v>
      </x:c>
      <x:c r="AB132" s="173" t="n">
        <x:f>IF(W132=0,0,(COUNTIF(E132:V132,"&lt;"&amp;0.5*W132)-COUNTBLANK(E132:V132))/COUNT(E132:V132))</x:f>
        <x:v>0.23529411764705882</x:v>
      </x:c>
      <x:c r="AC132" s="109" t="n">
        <x:f>SUM(E132:V132)</x:f>
        <x:v>112.7</x:v>
      </x:c>
    </x:row>
    <x:row r="133">
      <x:c r="A133" s="108" t="str">
        <x:v>WR</x:v>
      </x:c>
      <x:c r="B133" s="108" t="str">
        <x:v>Cooper Kupp</x:v>
      </x:c>
      <x:c r="C133" s="108" t="str">
        <x:v>SEA</x:v>
      </x:c>
      <x:c r="D133" s="108" t="n">
        <x:v>8</x:v>
      </x:c>
      <x:c r="E133" s="109" t="n">
        <x:v>2.5</x:v>
      </x:c>
      <x:c r="F133" s="109" t="n">
        <x:v>12.5</x:v>
      </x:c>
      <x:c r="G133" s="109" t="n">
        <x:v>4.1</x:v>
      </x:c>
      <x:c r="H133" s="109" t="n">
        <x:v>4.6</x:v>
      </x:c>
      <x:c r="I133" s="109" t="n">
        <x:v>8.9</x:v>
      </x:c>
      <x:c r="J133" s="109" t="n">
        <x:v>11</x:v>
      </x:c>
      <x:c r="K133" s="109" t="n">
        <x:v>1.7</x:v>
      </x:c>
      <x:c r="L133" s="109"/>
      <x:c r="M133" s="109" t="n">
        <x:v>0</x:v>
      </x:c>
      <x:c r="N133" s="109" t="n">
        <x:v>8.4</x:v>
      </x:c>
      <x:c r="O133" s="109" t="n">
        <x:v>3.8</x:v>
      </x:c>
      <x:c r="P133" s="109" t="n">
        <x:v>3.4</x:v>
      </x:c>
      <x:c r="Q133" s="109" t="n">
        <x:v>3.9</x:v>
      </x:c>
      <x:c r="R133" s="109" t="n">
        <x:v>10.5</x:v>
      </x:c>
      <x:c r="S133" s="109" t="n">
        <x:v>7.1</x:v>
      </x:c>
      <x:c r="T133" s="109" t="n">
        <x:v>5.4</x:v>
      </x:c>
      <x:c r="U133" s="109" t="n">
        <x:v>1.1</x:v>
      </x:c>
      <x:c r="V133" s="109" t="n">
        <x:v>3.9</x:v>
      </x:c>
      <x:c r="W133" s="109" t="n">
        <x:f>AVERAGE(E133:V133)</x:f>
        <x:v>5.458823529411765</x:v>
      </x:c>
      <x:c r="X133" s="109" t="n">
        <x:f>MEDIAN(E133:V133)</x:f>
        <x:v>4.1</x:v>
      </x:c>
      <x:c r="Y133" s="109" t="n">
        <x:f>PERCENTILE.INC(E133:V133,0.25)</x:f>
        <x:v>3.4</x:v>
      </x:c>
      <x:c r="Z133" s="109" t="n">
        <x:f>STDEV.P(E133:V133)</x:f>
        <x:v>3.5562800828508516</x:v>
      </x:c>
      <x:c r="AA133" s="173" t="n">
        <x:f>IF(W133=0,"",Z133/ABS(W133))</x:f>
        <x:v>0.6514737220739707</x:v>
      </x:c>
      <x:c r="AB133" s="173" t="n">
        <x:f>IF(W133=0,0,(COUNTIF(E133:V133,"&lt;"&amp;0.5*W133)-COUNTBLANK(E133:V133))/COUNT(E133:V133))</x:f>
        <x:v>0.23529411764705882</x:v>
      </x:c>
      <x:c r="AC133" s="109" t="n">
        <x:f>SUM(E133:V133)</x:f>
        <x:v>92.8</x:v>
      </x:c>
    </x:row>
    <x:row r="134">
      <x:c r="A134" s="108" t="str">
        <x:v>WR</x:v>
      </x:c>
      <x:c r="B134" s="108" t="str">
        <x:v>Jaylin Noel</x:v>
      </x:c>
      <x:c r="C134" s="108" t="str">
        <x:v>HOU</x:v>
      </x:c>
      <x:c r="D134" s="108" t="n">
        <x:v>6</x:v>
      </x:c>
      <x:c r="E134" s="109" t="n">
        <x:v>2.2</x:v>
      </x:c>
      <x:c r="F134" s="109" t="n">
        <x:v>5.69</x:v>
      </x:c>
      <x:c r="G134" s="109" t="n">
        <x:v>3.04</x:v>
      </x:c>
      <x:c r="H134" s="109" t="n">
        <x:v>1.25</x:v>
      </x:c>
      <x:c r="I134" s="109" t="n">
        <x:v>10.33</x:v>
      </x:c>
      <x:c r="J134" s="109"/>
      <x:c r="K134" s="109" t="n">
        <x:v>9.7</x:v>
      </x:c>
      <x:c r="L134" s="109" t="n">
        <x:v>9.35</x:v>
      </x:c>
      <x:c r="M134" s="109" t="n">
        <x:v>2.8</x:v>
      </x:c>
      <x:c r="N134" s="109" t="n">
        <x:v>5.9</x:v>
      </x:c>
      <x:c r="O134" s="109" t="n">
        <x:v>5.13</x:v>
      </x:c>
      <x:c r="P134" s="109" t="n">
        <x:v>4.28</x:v>
      </x:c>
      <x:c r="Q134" s="109" t="n">
        <x:v>3.74</x:v>
      </x:c>
      <x:c r="R134" s="109" t="n">
        <x:v>3.35</x:v>
      </x:c>
      <x:c r="S134" s="109" t="n">
        <x:v>3.89</x:v>
      </x:c>
      <x:c r="T134" s="109" t="n">
        <x:v>3.59</x:v>
      </x:c>
      <x:c r="U134" s="109" t="n">
        <x:v>16.53</x:v>
      </x:c>
      <x:c r="V134" s="109" t="n">
        <x:v>7.35</x:v>
      </x:c>
      <x:c r="W134" s="109" t="n">
        <x:f>AVERAGE(E134:V134)</x:f>
        <x:v>5.771764705882353</x:v>
      </x:c>
      <x:c r="X134" s="109" t="n">
        <x:f>MEDIAN(E134:V134)</x:f>
        <x:v>4.28</x:v>
      </x:c>
      <x:c r="Y134" s="109" t="n">
        <x:f>PERCENTILE.INC(E134:V134,0.25)</x:f>
        <x:v>3.35</x:v>
      </x:c>
      <x:c r="Z134" s="109" t="n">
        <x:f>STDEV.P(E134:V134)</x:f>
        <x:v>3.739259497774326</x:v>
      </x:c>
      <x:c r="AA134" s="173" t="n">
        <x:f>IF(W134=0,"",Z134/ABS(W134))</x:f>
        <x:v>0.6478537654113692</x:v>
      </x:c>
      <x:c r="AB134" s="173" t="n">
        <x:f>IF(W134=0,0,(COUNTIF(E134:V134,"&lt;"&amp;0.5*W134)-COUNTBLANK(E134:V134))/COUNT(E134:V134))</x:f>
        <x:v>0.17647058823529413</x:v>
      </x:c>
      <x:c r="AC134" s="109" t="n">
        <x:f>SUM(E134:V134)</x:f>
        <x:v>98.11999999999999</x:v>
      </x:c>
    </x:row>
    <x:row r="135">
      <x:c r="A135" s="108" t="str">
        <x:v>WR</x:v>
      </x:c>
      <x:c r="B135" s="108" t="str">
        <x:v>Troy Franklin</x:v>
      </x:c>
      <x:c r="C135" s="108" t="str">
        <x:v>DEN</x:v>
      </x:c>
      <x:c r="D135" s="108" t="n">
        <x:v>12</x:v>
      </x:c>
      <x:c r="E135" s="109" t="n">
        <x:v>6.4</x:v>
      </x:c>
      <x:c r="F135" s="109" t="n">
        <x:v>20</x:v>
      </x:c>
      <x:c r="G135" s="109" t="n">
        <x:v>1.8</x:v>
      </x:c>
      <x:c r="H135" s="109" t="n">
        <x:v>7.5</x:v>
      </x:c>
      <x:c r="I135" s="109" t="n">
        <x:v>7</x:v>
      </x:c>
      <x:c r="J135" s="109" t="n">
        <x:v>1.6</x:v>
      </x:c>
      <x:c r="K135" s="109" t="n">
        <x:v>11.4</x:v>
      </x:c>
      <x:c r="L135" s="109" t="n">
        <x:v>23.9</x:v>
      </x:c>
      <x:c r="M135" s="109" t="n">
        <x:v>6.3</x:v>
      </x:c>
      <x:c r="N135" s="109" t="n">
        <x:v>12.5</x:v>
      </x:c>
      <x:c r="O135" s="109" t="n">
        <x:v>10.4</x:v>
      </x:c>
      <x:c r="P135" s="109"/>
      <x:c r="Q135" s="109" t="n">
        <x:v>3.1</x:v>
      </x:c>
      <x:c r="R135" s="109" t="n">
        <x:v>2.6</x:v>
      </x:c>
      <x:c r="S135" s="109" t="n">
        <x:v>17.8</x:v>
      </x:c>
      <x:c r="T135" s="109" t="n">
        <x:v>8.6</x:v>
      </x:c>
      <x:c r="U135" s="109" t="n">
        <x:v>3.7</x:v>
      </x:c>
      <x:c r="V135" s="109" t="n">
        <x:v>0</x:v>
      </x:c>
      <x:c r="W135" s="109" t="n">
        <x:f>AVERAGE(E135:V135)</x:f>
        <x:v>8.505882352941175</x:v>
      </x:c>
      <x:c r="X135" s="109" t="n">
        <x:f>MEDIAN(E135:V135)</x:f>
        <x:v>7</x:v>
      </x:c>
      <x:c r="Y135" s="109" t="n">
        <x:f>PERCENTILE.INC(E135:V135,0.25)</x:f>
        <x:v>3.1</x:v>
      </x:c>
      <x:c r="Z135" s="109" t="n">
        <x:f>STDEV.P(E135:V135)</x:f>
        <x:v>6.634089377488979</x:v>
      </x:c>
      <x:c r="AA135" s="173" t="n">
        <x:f>IF(W135=0,"",Z135/ABS(W135))</x:f>
        <x:v>0.7799413514336976</x:v>
      </x:c>
      <x:c r="AB135" s="173" t="n">
        <x:f>IF(W135=0,0,(COUNTIF(E135:V135,"&lt;"&amp;0.5*W135)-COUNTBLANK(E135:V135))/COUNT(E135:V135))</x:f>
        <x:v>0.35294117647058826</x:v>
      </x:c>
      <x:c r="AC135" s="109" t="n">
        <x:f>SUM(E135:V135)</x:f>
        <x:v>144.59999999999997</x:v>
      </x:c>
    </x:row>
    <x:row r="136">
      <x:c r="A136" s="108" t="str">
        <x:v>WR</x:v>
      </x:c>
      <x:c r="B136" s="108" t="str">
        <x:v>Alec Pierce</x:v>
      </x:c>
      <x:c r="C136" s="108" t="str">
        <x:v>IND</x:v>
      </x:c>
      <x:c r="D136" s="108" t="n">
        <x:v>11</x:v>
      </x:c>
      <x:c r="E136" s="109" t="n">
        <x:v>4.1</x:v>
      </x:c>
      <x:c r="F136" s="109" t="n">
        <x:v>8.8</x:v>
      </x:c>
      <x:c r="G136" s="109" t="n">
        <x:v>8.7</x:v>
      </x:c>
      <x:c r="H136" s="109" t="n">
        <x:v>0</x:v>
      </x:c>
      <x:c r="I136" s="109" t="n">
        <x:v>0</x:v>
      </x:c>
      <x:c r="J136" s="109" t="n">
        <x:v>5.8</x:v>
      </x:c>
      <x:c r="K136" s="109" t="n">
        <x:v>12.3</x:v>
      </x:c>
      <x:c r="L136" s="109" t="n">
        <x:v>7.9</x:v>
      </x:c>
      <x:c r="M136" s="109" t="n">
        <x:v>14.5</x:v>
      </x:c>
      <x:c r="N136" s="109" t="n">
        <x:v>16.4</x:v>
      </x:c>
      <x:c r="O136" s="109"/>
      <x:c r="P136" s="109" t="n">
        <x:v>3.1</x:v>
      </x:c>
      <x:c r="Q136" s="109" t="n">
        <x:v>15.8</x:v>
      </x:c>
      <x:c r="R136" s="109" t="n">
        <x:v>10.5</x:v>
      </x:c>
      <x:c r="S136" s="109" t="n">
        <x:v>2.1</x:v>
      </x:c>
      <x:c r="T136" s="109" t="n">
        <x:v>22.6</x:v>
      </x:c>
      <x:c r="U136" s="109" t="n">
        <x:v>0</x:v>
      </x:c>
      <x:c r="V136" s="109" t="n">
        <x:v>29.2</x:v>
      </x:c>
      <x:c r="W136" s="109" t="n">
        <x:f>AVERAGE(E136:V136)</x:f>
        <x:v>9.517647058823528</x:v>
      </x:c>
      <x:c r="X136" s="109" t="n">
        <x:f>MEDIAN(E136:V136)</x:f>
        <x:v>8.7</x:v>
      </x:c>
      <x:c r="Y136" s="109" t="n">
        <x:f>PERCENTILE.INC(E136:V136,0.25)</x:f>
        <x:v>3.1</x:v>
      </x:c>
      <x:c r="Z136" s="109" t="n">
        <x:f>STDEV.P(E136:V136)</x:f>
        <x:v>8.021459108439917</x:v>
      </x:c>
      <x:c r="AA136" s="173" t="n">
        <x:f>IF(W136=0,"",Z136/ABS(W136))</x:f>
        <x:v>0.8427985466222411</x:v>
      </x:c>
      <x:c r="AB136" s="173" t="n">
        <x:f>IF(W136=0,0,(COUNTIF(E136:V136,"&lt;"&amp;0.5*W136)-COUNTBLANK(E136:V136))/COUNT(E136:V136))</x:f>
        <x:v>0.35294117647058826</x:v>
      </x:c>
      <x:c r="AC136" s="109" t="n">
        <x:f>SUM(E136:V136)</x:f>
        <x:v>161.79999999999998</x:v>
      </x:c>
    </x:row>
    <x:row r="137">
      <x:c r="A137" s="108" t="str">
        <x:v>WR</x:v>
      </x:c>
      <x:c r="B137" s="108" t="str">
        <x:v>Michael Pittman Jr.</x:v>
      </x:c>
      <x:c r="C137" s="108" t="str">
        <x:v>IND</x:v>
      </x:c>
      <x:c r="D137" s="108" t="n">
        <x:v>11</x:v>
      </x:c>
      <x:c r="E137" s="109" t="n">
        <x:v>17</x:v>
      </x:c>
      <x:c r="F137" s="109" t="n">
        <x:v>6</x:v>
      </x:c>
      <x:c r="G137" s="109" t="n">
        <x:v>16.3</x:v>
      </x:c>
      <x:c r="H137" s="109" t="n">
        <x:v>12.6</x:v>
      </x:c>
      <x:c r="I137" s="109" t="n">
        <x:v>12.4</x:v>
      </x:c>
      <x:c r="J137" s="109" t="n">
        <x:v>3</x:v>
      </x:c>
      <x:c r="K137" s="109" t="n">
        <x:v>17.3</x:v>
      </x:c>
      <x:c r="L137" s="109" t="n">
        <x:v>19.5</x:v>
      </x:c>
      <x:c r="M137" s="109" t="n">
        <x:v>16</x:v>
      </x:c>
      <x:c r="N137" s="109" t="n">
        <x:v>2.9</x:v>
      </x:c>
      <x:c r="O137" s="109"/>
      <x:c r="P137" s="109" t="n">
        <x:v>11.2</x:v>
      </x:c>
      <x:c r="Q137" s="109" t="n">
        <x:v>1.8</x:v>
      </x:c>
      <x:c r="R137" s="109" t="n">
        <x:v>12.4</x:v>
      </x:c>
      <x:c r="S137" s="109" t="n">
        <x:v>4.1</x:v>
      </x:c>
      <x:c r="T137" s="109" t="n">
        <x:v>5.2</x:v>
      </x:c>
      <x:c r="U137" s="109" t="n">
        <x:v>2.6</x:v>
      </x:c>
      <x:c r="V137" s="109" t="n">
        <x:v>2.1</x:v>
      </x:c>
      <x:c r="W137" s="109" t="n">
        <x:f>AVERAGE(E137:V137)</x:f>
        <x:v>9.552941176470586</x:v>
      </x:c>
      <x:c r="X137" s="109" t="n">
        <x:f>MEDIAN(E137:V137)</x:f>
        <x:v>11.2</x:v>
      </x:c>
      <x:c r="Y137" s="109" t="n">
        <x:f>PERCENTILE.INC(E137:V137,0.25)</x:f>
        <x:v>3</x:v>
      </x:c>
      <x:c r="Z137" s="109" t="n">
        <x:f>STDEV.P(E137:V137)</x:f>
        <x:v>6.146363597048911</x:v>
      </x:c>
      <x:c r="AA137" s="173" t="n">
        <x:f>IF(W137=0,"",Z137/ABS(W137))</x:f>
        <x:v>0.6434001302329526</x:v>
      </x:c>
      <x:c r="AB137" s="173" t="n">
        <x:f>IF(W137=0,0,(COUNTIF(E137:V137,"&lt;"&amp;0.5*W137)-COUNTBLANK(E137:V137))/COUNT(E137:V137))</x:f>
        <x:v>0.35294117647058826</x:v>
      </x:c>
      <x:c r="AC137" s="109" t="n">
        <x:f>SUM(E137:V137)</x:f>
        <x:v>162.39999999999998</x:v>
      </x:c>
    </x:row>
    <x:row r="138">
      <x:c r="A138" s="108" t="str">
        <x:v>WR</x:v>
      </x:c>
      <x:c r="B138" s="108" t="str">
        <x:v>Ladd McConkey</x:v>
      </x:c>
      <x:c r="C138" s="108" t="str">
        <x:v>LAC</x:v>
      </x:c>
      <x:c r="D138" s="108" t="n">
        <x:v>12</x:v>
      </x:c>
      <x:c r="E138" s="109" t="n">
        <x:v>10.4</x:v>
      </x:c>
      <x:c r="F138" s="109" t="n">
        <x:v>7.3</x:v>
      </x:c>
      <x:c r="G138" s="109" t="n">
        <x:v>6.6</x:v>
      </x:c>
      <x:c r="H138" s="109" t="n">
        <x:v>1.6</x:v>
      </x:c>
      <x:c r="I138" s="109" t="n">
        <x:v>12.4</x:v>
      </x:c>
      <x:c r="J138" s="109" t="n">
        <x:v>19.5</x:v>
      </x:c>
      <x:c r="K138" s="109" t="n">
        <x:v>11.2</x:v>
      </x:c>
      <x:c r="L138" s="109" t="n">
        <x:v>17.8</x:v>
      </x:c>
      <x:c r="M138" s="109" t="n">
        <x:v>7.6</x:v>
      </x:c>
      <x:c r="N138" s="109" t="n">
        <x:v>18.7</x:v>
      </x:c>
      <x:c r="O138" s="109" t="n">
        <x:v>2.8</x:v>
      </x:c>
      <x:c r="P138" s="109"/>
      <x:c r="Q138" s="109" t="n">
        <x:v>11.9</x:v>
      </x:c>
      <x:c r="R138" s="109" t="n">
        <x:v>1.7</x:v>
      </x:c>
      <x:c r="S138" s="109" t="n">
        <x:v>3</x:v>
      </x:c>
      <x:c r="T138" s="109" t="n">
        <x:v>12.3</x:v>
      </x:c>
      <x:c r="U138" s="109" t="n">
        <x:v>4.25</x:v>
      </x:c>
      <x:c r="V138" s="109" t="n">
        <x:v>0</x:v>
      </x:c>
      <x:c r="W138" s="109" t="n">
        <x:f>AVERAGE(E138:V138)</x:f>
        <x:v>8.76764705882353</x:v>
      </x:c>
      <x:c r="X138" s="109" t="n">
        <x:f>MEDIAN(E138:V138)</x:f>
        <x:v>7.6</x:v>
      </x:c>
      <x:c r="Y138" s="109" t="n">
        <x:f>PERCENTILE.INC(E138:V138,0.25)</x:f>
        <x:v>3</x:v>
      </x:c>
      <x:c r="Z138" s="109" t="n">
        <x:f>STDEV.P(E138:V138)</x:f>
        <x:v>6.015591046616984</x:v>
      </x:c>
      <x:c r="AA138" s="173" t="n">
        <x:f>IF(W138=0,"",Z138/ABS(W138))</x:f>
        <x:v>0.6861123635859693</x:v>
      </x:c>
      <x:c r="AB138" s="173" t="n">
        <x:f>IF(W138=0,0,(COUNTIF(E138:V138,"&lt;"&amp;0.5*W138)-COUNTBLANK(E138:V138))/COUNT(E138:V138))</x:f>
        <x:v>0.35294117647058826</x:v>
      </x:c>
      <x:c r="AC138" s="109" t="n">
        <x:f>SUM(E138:V138)</x:f>
        <x:v>149.05</x:v>
      </x:c>
    </x:row>
    <x:row r="139">
      <x:c r="A139" s="108" t="str">
        <x:v>WR</x:v>
      </x:c>
      <x:c r="B139" s="108" t="str">
        <x:v>Jerry Jeudy</x:v>
      </x:c>
      <x:c r="C139" s="108" t="str">
        <x:v>CLE</x:v>
      </x:c>
      <x:c r="D139" s="108" t="n">
        <x:v>9</x:v>
      </x:c>
      <x:c r="E139" s="109" t="n">
        <x:v>9.1</x:v>
      </x:c>
      <x:c r="F139" s="109" t="n">
        <x:v>7.1</x:v>
      </x:c>
      <x:c r="G139" s="109" t="n">
        <x:v>2.2</x:v>
      </x:c>
      <x:c r="H139" s="109" t="n">
        <x:v>6.3</x:v>
      </x:c>
      <x:c r="I139" s="109" t="n">
        <x:v>2.5</x:v>
      </x:c>
      <x:c r="J139" s="109" t="n">
        <x:v>6.8</x:v>
      </x:c>
      <x:c r="K139" s="109" t="n">
        <x:v>2.7</x:v>
      </x:c>
      <x:c r="L139" s="109" t="n">
        <x:v>0</x:v>
      </x:c>
      <x:c r="M139" s="109"/>
      <x:c r="N139" s="109" t="n">
        <x:v>16.8</x:v>
      </x:c>
      <x:c r="O139" s="109" t="n">
        <x:v>3.6</x:v>
      </x:c>
      <x:c r="P139" s="109" t="n">
        <x:v>2.4</x:v>
      </x:c>
      <x:c r="Q139" s="109" t="n">
        <x:v>4.1</x:v>
      </x:c>
      <x:c r="R139" s="109" t="n">
        <x:v>17.1</x:v>
      </x:c>
      <x:c r="S139" s="109" t="n">
        <x:v>3.2</x:v>
      </x:c>
      <x:c r="T139" s="109" t="n">
        <x:v>2.7</x:v>
      </x:c>
      <x:c r="U139" s="109" t="n">
        <x:v>7.9</x:v>
      </x:c>
      <x:c r="V139" s="109" t="n">
        <x:v>3.2</x:v>
      </x:c>
      <x:c r="W139" s="109" t="n">
        <x:f>AVERAGE(E139:V139)</x:f>
        <x:v>5.747058823529413</x:v>
      </x:c>
      <x:c r="X139" s="109" t="n">
        <x:f>MEDIAN(E139:V139)</x:f>
        <x:v>3.6</x:v>
      </x:c>
      <x:c r="Y139" s="109" t="n">
        <x:f>PERCENTILE.INC(E139:V139,0.25)</x:f>
        <x:v>2.7</x:v>
      </x:c>
      <x:c r="Z139" s="109" t="n">
        <x:f>STDEV.P(E139:V139)</x:f>
        <x:v>4.705455863026741</x:v>
      </x:c>
      <x:c r="AA139" s="173" t="n">
        <x:f>IF(W139=0,"",Z139/ABS(W139))</x:f>
        <x:v>0.818758952624919</x:v>
      </x:c>
      <x:c r="AB139" s="173" t="n">
        <x:f>IF(W139=0,0,(COUNTIF(E139:V139,"&lt;"&amp;0.5*W139)-COUNTBLANK(E139:V139))/COUNT(E139:V139))</x:f>
        <x:v>0.35294117647058826</x:v>
      </x:c>
      <x:c r="AC139" s="109" t="n">
        <x:f>SUM(E139:V139)</x:f>
        <x:v>97.70000000000002</x:v>
      </x:c>
    </x:row>
    <x:row r="140">
      <x:c r="A140" s="108" t="str">
        <x:v>WR</x:v>
      </x:c>
      <x:c r="B140" s="108" t="str">
        <x:v>DJ Moore</x:v>
      </x:c>
      <x:c r="C140" s="108" t="str">
        <x:v>CHI</x:v>
      </x:c>
      <x:c r="D140" s="108" t="n">
        <x:v>5</x:v>
      </x:c>
      <x:c r="E140" s="109" t="n">
        <x:v>7.1</x:v>
      </x:c>
      <x:c r="F140" s="109" t="n">
        <x:v>7.1</x:v>
      </x:c>
      <x:c r="G140" s="109" t="n">
        <x:v>10.8</x:v>
      </x:c>
      <x:c r="H140" s="109" t="n">
        <x:v>5.8</x:v>
      </x:c>
      <x:c r="I140" s="109"/>
      <x:c r="J140" s="109" t="n">
        <x:v>6.7</x:v>
      </x:c>
      <x:c r="K140" s="109" t="n">
        <x:v>6.7</x:v>
      </x:c>
      <x:c r="L140" s="109" t="n">
        <x:v>9.6</x:v>
      </x:c>
      <x:c r="M140" s="109" t="n">
        <x:v>21</x:v>
      </x:c>
      <x:c r="N140" s="109" t="n">
        <x:v>0</x:v>
      </x:c>
      <x:c r="O140" s="109" t="n">
        <x:v>2.6</x:v>
      </x:c>
      <x:c r="P140" s="109" t="n">
        <x:v>20.9</x:v>
      </x:c>
      <x:c r="Q140" s="109" t="n">
        <x:v>3.7</x:v>
      </x:c>
      <x:c r="R140" s="109" t="n">
        <x:v>0.1</x:v>
      </x:c>
      <x:c r="S140" s="109" t="n">
        <x:v>20.9</x:v>
      </x:c>
      <x:c r="T140" s="109" t="n">
        <x:v>21.4</x:v>
      </x:c>
      <x:c r="U140" s="109" t="n">
        <x:v>1.2</x:v>
      </x:c>
      <x:c r="V140" s="109" t="n">
        <x:v>1.6</x:v>
      </x:c>
      <x:c r="W140" s="109" t="n">
        <x:f>AVERAGE(E140:V140)</x:f>
        <x:v>8.658823529411764</x:v>
      </x:c>
      <x:c r="X140" s="109" t="n">
        <x:f>MEDIAN(E140:V140)</x:f>
        <x:v>6.7</x:v>
      </x:c>
      <x:c r="Y140" s="109" t="n">
        <x:f>PERCENTILE.INC(E140:V140,0.25)</x:f>
        <x:v>2.6</x:v>
      </x:c>
      <x:c r="Z140" s="109" t="n">
        <x:f>STDEV.P(E140:V140)</x:f>
        <x:v>7.497062862020927</x:v>
      </x:c>
      <x:c r="AA140" s="173" t="n">
        <x:f>IF(W140=0,"",Z140/ABS(W140))</x:f>
        <x:v>0.8658292707496995</x:v>
      </x:c>
      <x:c r="AB140" s="173" t="n">
        <x:f>IF(W140=0,0,(COUNTIF(E140:V140,"&lt;"&amp;0.5*W140)-COUNTBLANK(E140:V140))/COUNT(E140:V140))</x:f>
        <x:v>0.35294117647058826</x:v>
      </x:c>
      <x:c r="AC140" s="109" t="n">
        <x:f>SUM(E140:V140)</x:f>
        <x:v>147.2</x:v>
      </x:c>
    </x:row>
    <x:row r="141">
      <x:c r="A141" s="108" t="str">
        <x:v>WR</x:v>
      </x:c>
      <x:c r="B141" s="108" t="str">
        <x:v>Elic Ayomanor</x:v>
      </x:c>
      <x:c r="C141" s="108" t="str">
        <x:v>TEN</x:v>
      </x:c>
      <x:c r="D141" s="108" t="n">
        <x:v>10</x:v>
      </x:c>
      <x:c r="E141" s="109" t="n">
        <x:v>2.3</x:v>
      </x:c>
      <x:c r="F141" s="109" t="n">
        <x:v>13.6</x:v>
      </x:c>
      <x:c r="G141" s="109" t="n">
        <x:v>11.8</x:v>
      </x:c>
      <x:c r="H141" s="109" t="n">
        <x:v>5.4</x:v>
      </x:c>
      <x:c r="I141" s="109" t="n">
        <x:v>2.8</x:v>
      </x:c>
      <x:c r="J141" s="109" t="n">
        <x:v>4.2</x:v>
      </x:c>
      <x:c r="K141" s="109" t="n">
        <x:v>3.9</x:v>
      </x:c>
      <x:c r="L141" s="109" t="n">
        <x:v>7.2</x:v>
      </x:c>
      <x:c r="M141" s="109" t="n">
        <x:v>6.1</x:v>
      </x:c>
      <x:c r="N141" s="109"/>
      <x:c r="O141" s="109" t="n">
        <x:v>2.1</x:v>
      </x:c>
      <x:c r="P141" s="109" t="n">
        <x:v>0</x:v>
      </x:c>
      <x:c r="Q141" s="109" t="n">
        <x:v>1</x:v>
      </x:c>
      <x:c r="R141" s="109" t="n">
        <x:v>7.9</x:v>
      </x:c>
      <x:c r="S141" s="109" t="n">
        <x:v>2.2</x:v>
      </x:c>
      <x:c r="T141" s="109" t="n">
        <x:v>7.3</x:v>
      </x:c>
      <x:c r="U141" s="109" t="n">
        <x:v>11.7</x:v>
      </x:c>
      <x:c r="V141" s="109" t="n">
        <x:v>6.5</x:v>
      </x:c>
      <x:c r="W141" s="109" t="n">
        <x:f>AVERAGE(E141:V141)</x:f>
        <x:v>5.647058823529413</x:v>
      </x:c>
      <x:c r="X141" s="109" t="n">
        <x:f>MEDIAN(E141:V141)</x:f>
        <x:v>5.4</x:v>
      </x:c>
      <x:c r="Y141" s="109" t="n">
        <x:f>PERCENTILE.INC(E141:V141,0.25)</x:f>
        <x:v>2.3</x:v>
      </x:c>
      <x:c r="Z141" s="109" t="n">
        <x:f>STDEV.P(E141:V141)</x:f>
        <x:v>3.8452595180619054</x:v>
      </x:c>
      <x:c r="AA141" s="173" t="n">
        <x:f>IF(W141=0,"",Z141/ABS(W141))</x:f>
        <x:v>0.680931372990129</x:v>
      </x:c>
      <x:c r="AB141" s="173" t="n">
        <x:f>IF(W141=0,0,(COUNTIF(E141:V141,"&lt;"&amp;0.5*W141)-COUNTBLANK(E141:V141))/COUNT(E141:V141))</x:f>
        <x:v>0.35294117647058826</x:v>
      </x:c>
      <x:c r="AC141" s="109" t="n">
        <x:f>SUM(E141:V141)</x:f>
        <x:v>96.00000000000001</x:v>
      </x:c>
    </x:row>
    <x:row r="142">
      <x:c r="A142" s="108" t="str">
        <x:v>WR</x:v>
      </x:c>
      <x:c r="B142" s="108" t="str">
        <x:v>A.J. Brown</x:v>
      </x:c>
      <x:c r="C142" s="108" t="str">
        <x:v>PHI</x:v>
      </x:c>
      <x:c r="D142" s="108" t="n">
        <x:v>9</x:v>
      </x:c>
      <x:c r="E142" s="109" t="n">
        <x:v>1.3</x:v>
      </x:c>
      <x:c r="F142" s="109" t="n">
        <x:v>5.2</x:v>
      </x:c>
      <x:c r="G142" s="109" t="n">
        <x:v>19.9</x:v>
      </x:c>
      <x:c r="H142" s="109" t="n">
        <x:v>1.7</x:v>
      </x:c>
      <x:c r="I142" s="109" t="n">
        <x:v>6.8</x:v>
      </x:c>
      <x:c r="J142" s="109" t="n">
        <x:v>11</x:v>
      </x:c>
      <x:c r="K142" s="109" t="n">
        <x:v>26.1</x:v>
      </x:c>
      <x:c r="L142" s="109" t="n">
        <x:v>0</x:v>
      </x:c>
      <x:c r="M142" s="109"/>
      <x:c r="N142" s="109" t="n">
        <x:v>2.3</x:v>
      </x:c>
      <x:c r="O142" s="109" t="n">
        <x:v>8.4</x:v>
      </x:c>
      <x:c r="P142" s="109" t="n">
        <x:v>21</x:v>
      </x:c>
      <x:c r="Q142" s="109" t="n">
        <x:v>30.2</x:v>
      </x:c>
      <x:c r="R142" s="109" t="n">
        <x:v>13</x:v>
      </x:c>
      <x:c r="S142" s="109" t="n">
        <x:v>11.1</x:v>
      </x:c>
      <x:c r="T142" s="109" t="n">
        <x:v>14</x:v>
      </x:c>
      <x:c r="U142" s="109" t="n">
        <x:v>9.3</x:v>
      </x:c>
      <x:c r="V142" s="109" t="n">
        <x:v>0</x:v>
      </x:c>
      <x:c r="W142" s="109" t="n">
        <x:f>AVERAGE(E142:V142)</x:f>
        <x:v>10.664705882352942</x:v>
      </x:c>
      <x:c r="X142" s="109" t="n">
        <x:f>MEDIAN(E142:V142)</x:f>
        <x:v>9.3</x:v>
      </x:c>
      <x:c r="Y142" s="109" t="n">
        <x:f>PERCENTILE.INC(E142:V142,0.25)</x:f>
        <x:v>2.3</x:v>
      </x:c>
      <x:c r="Z142" s="109" t="n">
        <x:f>STDEV.P(E142:V142)</x:f>
        <x:v>8.898641084389736</x:v>
      </x:c>
      <x:c r="AA142" s="173" t="n">
        <x:f>IF(W142=0,"",Z142/ABS(W142))</x:f>
        <x:v>0.8344009841953971</x:v>
      </x:c>
      <x:c r="AB142" s="173" t="n">
        <x:f>IF(W142=0,0,(COUNTIF(E142:V142,"&lt;"&amp;0.5*W142)-COUNTBLANK(E142:V142))/COUNT(E142:V142))</x:f>
        <x:v>0.35294117647058826</x:v>
      </x:c>
      <x:c r="AC142" s="109" t="n">
        <x:f>SUM(E142:V142)</x:f>
        <x:v>181.3</x:v>
      </x:c>
    </x:row>
    <x:row r="143">
      <x:c r="A143" s="108" t="str">
        <x:v>WR</x:v>
      </x:c>
      <x:c r="B143" s="108" t="str">
        <x:v>Jayden Higgins</x:v>
      </x:c>
      <x:c r="C143" s="108" t="str">
        <x:v>HOU</x:v>
      </x:c>
      <x:c r="D143" s="108" t="n">
        <x:v>6</x:v>
      </x:c>
      <x:c r="E143" s="109" t="n">
        <x:v>4.2</x:v>
      </x:c>
      <x:c r="F143" s="109" t="n">
        <x:v>3.3</x:v>
      </x:c>
      <x:c r="G143" s="109" t="n">
        <x:v>1</x:v>
      </x:c>
      <x:c r="H143" s="109" t="n">
        <x:v>8.9</x:v>
      </x:c>
      <x:c r="I143" s="109" t="n">
        <x:v>5.2</x:v>
      </x:c>
      <x:c r="J143" s="109"/>
      <x:c r="K143" s="109" t="n">
        <x:v>0</x:v>
      </x:c>
      <x:c r="L143" s="109" t="n">
        <x:v>11.4</x:v>
      </x:c>
      <x:c r="M143" s="109" t="n">
        <x:v>0.9</x:v>
      </x:c>
      <x:c r="N143" s="109" t="n">
        <x:v>12.7</x:v>
      </x:c>
      <x:c r="O143" s="109" t="n">
        <x:v>7.5</x:v>
      </x:c>
      <x:c r="P143" s="109" t="n">
        <x:v>11.8</x:v>
      </x:c>
      <x:c r="Q143" s="109" t="n">
        <x:v>9</x:v>
      </x:c>
      <x:c r="R143" s="109" t="n">
        <x:v>4.9</x:v>
      </x:c>
      <x:c r="S143" s="109" t="n">
        <x:v>0.9</x:v>
      </x:c>
      <x:c r="T143" s="109" t="n">
        <x:v>2.2</x:v>
      </x:c>
      <x:c r="U143" s="109" t="n">
        <x:v>17.8</x:v>
      </x:c>
      <x:c r="V143" s="109" t="n">
        <x:v>9.3</x:v>
      </x:c>
      <x:c r="W143" s="109" t="n">
        <x:f>AVERAGE(E143:V143)</x:f>
        <x:v>6.529411764705882</x:v>
      </x:c>
      <x:c r="X143" s="109" t="n">
        <x:f>MEDIAN(E143:V143)</x:f>
        <x:v>5.2</x:v>
      </x:c>
      <x:c r="Y143" s="109" t="n">
        <x:f>PERCENTILE.INC(E143:V143,0.25)</x:f>
        <x:v>2.2</x:v>
      </x:c>
      <x:c r="Z143" s="109" t="n">
        <x:f>STDEV.P(E143:V143)</x:f>
        <x:v>4.92625197056633</x:v>
      </x:c>
      <x:c r="AA143" s="173" t="n">
        <x:f>IF(W143=0,"",Z143/ABS(W143))</x:f>
        <x:v>0.7544710225191676</x:v>
      </x:c>
      <x:c r="AB143" s="173" t="n">
        <x:f>IF(W143=0,0,(COUNTIF(E143:V143,"&lt;"&amp;0.5*W143)-COUNTBLANK(E143:V143))/COUNT(E143:V143))</x:f>
        <x:v>0.29411764705882354</x:v>
      </x:c>
      <x:c r="AC143" s="109" t="n">
        <x:f>SUM(E143:V143)</x:f>
        <x:v>111</x:v>
      </x:c>
    </x:row>
    <x:row r="144">
      <x:c r="A144" s="108" t="str">
        <x:v>WR</x:v>
      </x:c>
      <x:c r="B144" s="108" t="str">
        <x:v>Kayshon Boutte</x:v>
      </x:c>
      <x:c r="C144" s="108" t="str">
        <x:v>NE</x:v>
      </x:c>
      <x:c r="D144" s="108" t="n">
        <x:v>14</x:v>
      </x:c>
      <x:c r="E144" s="109" t="n">
        <x:v>13.3</x:v>
      </x:c>
      <x:c r="F144" s="109" t="n">
        <x:v>8.1</x:v>
      </x:c>
      <x:c r="G144" s="109" t="n">
        <x:v>3.8</x:v>
      </x:c>
      <x:c r="H144" s="109" t="n">
        <x:v>2.3</x:v>
      </x:c>
      <x:c r="I144" s="109" t="n">
        <x:v>5.8</x:v>
      </x:c>
      <x:c r="J144" s="109" t="n">
        <x:v>23.8</x:v>
      </x:c>
      <x:c r="K144" s="109" t="n">
        <x:v>12.5</x:v>
      </x:c>
      <x:c r="L144" s="109" t="n">
        <x:v>15</x:v>
      </x:c>
      <x:c r="M144" s="109" t="n">
        <x:v>0</x:v>
      </x:c>
      <x:c r="N144" s="109" t="n">
        <x:v>0</x:v>
      </x:c>
      <x:c r="O144" s="109" t="n">
        <x:v>0</x:v>
      </x:c>
      <x:c r="P144" s="109" t="n">
        <x:v>2.5</x:v>
      </x:c>
      <x:c r="Q144" s="109" t="n">
        <x:v>11.5</x:v>
      </x:c>
      <x:c r="R144" s="109"/>
      <x:c r="S144" s="109" t="n">
        <x:v>3.5</x:v>
      </x:c>
      <x:c r="T144" s="109" t="n">
        <x:v>2.1</x:v>
      </x:c>
      <x:c r="U144" s="109" t="n">
        <x:v>0</x:v>
      </x:c>
      <x:c r="V144" s="109" t="n">
        <x:v>3.4</x:v>
      </x:c>
      <x:c r="W144" s="109" t="n">
        <x:f>AVERAGE(E144:V144)</x:f>
        <x:v>6.329411764705882</x:v>
      </x:c>
      <x:c r="X144" s="109" t="n">
        <x:f>MEDIAN(E144:V144)</x:f>
        <x:v>3.5</x:v>
      </x:c>
      <x:c r="Y144" s="109" t="n">
        <x:f>PERCENTILE.INC(E144:V144,0.25)</x:f>
        <x:v>2.1</x:v>
      </x:c>
      <x:c r="Z144" s="109" t="n">
        <x:f>STDEV.P(E144:V144)</x:f>
        <x:v>6.549518590829886</x:v>
      </x:c>
      <x:c r="AA144" s="173" t="n">
        <x:f>IF(W144=0,"",Z144/ABS(W144))</x:f>
        <x:v>1.034775242045614</x:v>
      </x:c>
      <x:c r="AB144" s="173" t="n">
        <x:f>IF(W144=0,0,(COUNTIF(E144:V144,"&lt;"&amp;0.5*W144)-COUNTBLANK(E144:V144))/COUNT(E144:V144))</x:f>
        <x:v>0.4117647058823529</x:v>
      </x:c>
      <x:c r="AC144" s="109" t="n">
        <x:f>SUM(E144:V144)</x:f>
        <x:v>107.6</x:v>
      </x:c>
    </x:row>
    <x:row r="145">
      <x:c r="A145" s="108" t="str">
        <x:v>WR</x:v>
      </x:c>
      <x:c r="B145" s="108" t="str">
        <x:v>Devin Duvernay</x:v>
      </x:c>
      <x:c r="C145" s="108" t="str">
        <x:v>CHI</x:v>
      </x:c>
      <x:c r="D145" s="108" t="n">
        <x:v>5</x:v>
      </x:c>
      <x:c r="E145" s="109" t="n">
        <x:v>4.28</x:v>
      </x:c>
      <x:c r="F145" s="109" t="n">
        <x:v>3.71</x:v>
      </x:c>
      <x:c r="G145" s="109" t="n">
        <x:v>2.33</x:v>
      </x:c>
      <x:c r="H145" s="109" t="n">
        <x:v>3.23</x:v>
      </x:c>
      <x:c r="I145" s="109"/>
      <x:c r="J145" s="109" t="n">
        <x:v>3.6</x:v>
      </x:c>
      <x:c r="K145" s="109" t="n">
        <x:v>2.31</x:v>
      </x:c>
      <x:c r="L145" s="109" t="n">
        <x:v>3.98</x:v>
      </x:c>
      <x:c r="M145" s="109" t="n">
        <x:v>2.64</x:v>
      </x:c>
      <x:c r="N145" s="109" t="n">
        <x:v>2.03</x:v>
      </x:c>
      <x:c r="O145" s="109" t="n">
        <x:v>2.23</x:v>
      </x:c>
      <x:c r="P145" s="109" t="n">
        <x:v>1.35</x:v>
      </x:c>
      <x:c r="Q145" s="109" t="n">
        <x:v>0.6</x:v>
      </x:c>
      <x:c r="R145" s="109" t="n">
        <x:v>5.27</x:v>
      </x:c>
      <x:c r="S145" s="109" t="n">
        <x:v>4.71</x:v>
      </x:c>
      <x:c r="T145" s="109" t="n">
        <x:v>1.05</x:v>
      </x:c>
      <x:c r="U145" s="109" t="n">
        <x:v>0.87</x:v>
      </x:c>
      <x:c r="V145" s="109" t="n">
        <x:v>3.03</x:v>
      </x:c>
      <x:c r="W145" s="109" t="n">
        <x:f>AVERAGE(E145:V145)</x:f>
        <x:v>2.777647058823529</x:v>
      </x:c>
      <x:c r="X145" s="109" t="n">
        <x:f>MEDIAN(E145:V145)</x:f>
        <x:v>2.64</x:v>
      </x:c>
      <x:c r="Y145" s="109" t="n">
        <x:f>PERCENTILE.INC(E145:V145,0.25)</x:f>
        <x:v>2.03</x:v>
      </x:c>
      <x:c r="Z145" s="109" t="n">
        <x:f>STDEV.P(E145:V145)</x:f>
        <x:v>1.332037490250378</x:v>
      </x:c>
      <x:c r="AA145" s="173" t="n">
        <x:f>IF(W145=0,"",Z145/ABS(W145))</x:f>
        <x:v>0.47955606383431654</x:v>
      </x:c>
      <x:c r="AB145" s="173" t="n">
        <x:f>IF(W145=0,0,(COUNTIF(E145:V145,"&lt;"&amp;0.5*W145)-COUNTBLANK(E145:V145))/COUNT(E145:V145))</x:f>
        <x:v>0.23529411764705882</x:v>
      </x:c>
      <x:c r="AC145" s="109" t="n">
        <x:f>SUM(E145:V145)</x:f>
        <x:v>47.22</x:v>
      </x:c>
    </x:row>
    <x:row r="146">
      <x:c r="A146" s="108" t="str">
        <x:v>WR</x:v>
      </x:c>
      <x:c r="B146" s="108" t="str">
        <x:v>Myles Price</x:v>
      </x:c>
      <x:c r="C146" s="108" t="str">
        <x:v>MIN</x:v>
      </x:c>
      <x:c r="D146" s="108" t="n">
        <x:v>6</x:v>
      </x:c>
      <x:c r="E146" s="109" t="n">
        <x:v>4.87</x:v>
      </x:c>
      <x:c r="F146" s="109" t="n">
        <x:v>2.35</x:v>
      </x:c>
      <x:c r="G146" s="109" t="n">
        <x:v>4.9</x:v>
      </x:c>
      <x:c r="H146" s="109" t="n">
        <x:v>2.06</x:v>
      </x:c>
      <x:c r="I146" s="109" t="n">
        <x:v>3.81</x:v>
      </x:c>
      <x:c r="J146" s="109"/>
      <x:c r="K146" s="109" t="n">
        <x:v>2.01</x:v>
      </x:c>
      <x:c r="L146" s="109" t="n">
        <x:v>4.05</x:v>
      </x:c>
      <x:c r="M146" s="109" t="n">
        <x:v>5.27</x:v>
      </x:c>
      <x:c r="N146" s="109" t="n">
        <x:v>2.34</x:v>
      </x:c>
      <x:c r="O146" s="109" t="n">
        <x:v>6.74</x:v>
      </x:c>
      <x:c r="P146" s="109" t="n">
        <x:v>0.74</x:v>
      </x:c>
      <x:c r="Q146" s="109" t="n">
        <x:v>5.07</x:v>
      </x:c>
      <x:c r="R146" s="109" t="n">
        <x:v>1.45</x:v>
      </x:c>
      <x:c r="S146" s="109" t="n">
        <x:v>4.29</x:v>
      </x:c>
      <x:c r="T146" s="109" t="n">
        <x:v>2.1</x:v>
      </x:c>
      <x:c r="U146" s="109" t="n">
        <x:v>0.72</x:v>
      </x:c>
      <x:c r="V146" s="109" t="n">
        <x:v>0</x:v>
      </x:c>
      <x:c r="W146" s="109" t="n">
        <x:f>AVERAGE(E146:V146)</x:f>
        <x:v>3.104117647058824</x:v>
      </x:c>
      <x:c r="X146" s="109" t="n">
        <x:f>MEDIAN(E146:V146)</x:f>
        <x:v>2.35</x:v>
      </x:c>
      <x:c r="Y146" s="109" t="n">
        <x:f>PERCENTILE.INC(E146:V146,0.25)</x:f>
        <x:v>2.01</x:v>
      </x:c>
      <x:c r="Z146" s="109" t="n">
        <x:f>STDEV.P(E146:V146)</x:f>
        <x:v>1.8631253275502349</x:v>
      </x:c>
      <x:c r="AA146" s="173" t="n">
        <x:f>IF(W146=0,"",Z146/ABS(W146))</x:f>
        <x:v>0.6002109260631796</x:v>
      </x:c>
      <x:c r="AB146" s="173" t="n">
        <x:f>IF(W146=0,0,(COUNTIF(E146:V146,"&lt;"&amp;0.5*W146)-COUNTBLANK(E146:V146))/COUNT(E146:V146))</x:f>
        <x:v>0.23529411764705882</x:v>
      </x:c>
      <x:c r="AC146" s="109" t="n">
        <x:f>SUM(E146:V146)</x:f>
        <x:v>52.77</x:v>
      </x:c>
    </x:row>
    <x:row r="147">
      <x:c r="A147" s="108" t="str">
        <x:v>WR</x:v>
      </x:c>
      <x:c r="B147" s="108" t="str">
        <x:v>Darnell Mooney</x:v>
      </x:c>
      <x:c r="C147" s="108" t="str">
        <x:v>ATL</x:v>
      </x:c>
      <x:c r="D147" s="108" t="n">
        <x:v>5</x:v>
      </x:c>
      <x:c r="E147" s="109" t="n">
        <x:v>0</x:v>
      </x:c>
      <x:c r="F147" s="109" t="n">
        <x:v>3</x:v>
      </x:c>
      <x:c r="G147" s="109" t="n">
        <x:v>6.4</x:v>
      </x:c>
      <x:c r="H147" s="109" t="n">
        <x:v>2</x:v>
      </x:c>
      <x:c r="I147" s="109"/>
      <x:c r="J147" s="109" t="n">
        <x:v>0</x:v>
      </x:c>
      <x:c r="K147" s="109" t="n">
        <x:v>8.3</x:v>
      </x:c>
      <x:c r="L147" s="109" t="n">
        <x:v>1.6</x:v>
      </x:c>
      <x:c r="M147" s="109" t="n">
        <x:v>2</x:v>
      </x:c>
      <x:c r="N147" s="109" t="n">
        <x:v>2.2</x:v>
      </x:c>
      <x:c r="O147" s="109" t="n">
        <x:v>4.4</x:v>
      </x:c>
      <x:c r="P147" s="109" t="n">
        <x:v>16.9</x:v>
      </x:c>
      <x:c r="Q147" s="109" t="n">
        <x:v>3.5</x:v>
      </x:c>
      <x:c r="R147" s="109" t="n">
        <x:v>1.1</x:v>
      </x:c>
      <x:c r="S147" s="109" t="n">
        <x:v>4.5</x:v>
      </x:c>
      <x:c r="T147" s="109" t="n">
        <x:v>3.4</x:v>
      </x:c>
      <x:c r="U147" s="109" t="n">
        <x:v>4.5</x:v>
      </x:c>
      <x:c r="V147" s="109" t="n">
        <x:v>3.5</x:v>
      </x:c>
      <x:c r="W147" s="109" t="n">
        <x:f>AVERAGE(E147:V147)</x:f>
        <x:v>3.9588235294117653</x:v>
      </x:c>
      <x:c r="X147" s="109" t="n">
        <x:f>MEDIAN(E147:V147)</x:f>
        <x:v>3.4</x:v>
      </x:c>
      <x:c r="Y147" s="109" t="n">
        <x:f>PERCENTILE.INC(E147:V147,0.25)</x:f>
        <x:v>2</x:v>
      </x:c>
      <x:c r="Z147" s="109" t="n">
        <x:f>STDEV.P(E147:V147)</x:f>
        <x:v>3.839126558680244</x:v>
      </x:c>
      <x:c r="AA147" s="173" t="n">
        <x:f>IF(W147=0,"",Z147/ABS(W147))</x:f>
        <x:v>0.9697645096220526</x:v>
      </x:c>
      <x:c r="AB147" s="173" t="n">
        <x:f>IF(W147=0,0,(COUNTIF(E147:V147,"&lt;"&amp;0.5*W147)-COUNTBLANK(E147:V147))/COUNT(E147:V147))</x:f>
        <x:v>0.23529411764705882</x:v>
      </x:c>
      <x:c r="AC147" s="109" t="n">
        <x:f>SUM(E147:V147)</x:f>
        <x:v>67.30000000000001</x:v>
      </x:c>
    </x:row>
    <x:row r="148">
      <x:c r="A148" s="108" t="str">
        <x:v>WR</x:v>
      </x:c>
      <x:c r="B148" s="108" t="str">
        <x:v>Luther Burden III</x:v>
      </x:c>
      <x:c r="C148" s="108" t="str">
        <x:v>CHI</x:v>
      </x:c>
      <x:c r="D148" s="108" t="n">
        <x:v>5</x:v>
      </x:c>
      <x:c r="E148" s="109" t="n">
        <x:v>1.52</x:v>
      </x:c>
      <x:c r="F148" s="109" t="n">
        <x:v>4.54</x:v>
      </x:c>
      <x:c r="G148" s="109" t="n">
        <x:v>20.75</x:v>
      </x:c>
      <x:c r="H148" s="109" t="n">
        <x:v>1.98</x:v>
      </x:c>
      <x:c r="I148" s="109"/>
      <x:c r="J148" s="109" t="n">
        <x:v>7.1</x:v>
      </x:c>
      <x:c r="K148" s="109" t="n">
        <x:v>2.6</x:v>
      </x:c>
      <x:c r="L148" s="109" t="n">
        <x:v>0.4</x:v>
      </x:c>
      <x:c r="M148" s="109" t="n">
        <x:v>0</x:v>
      </x:c>
      <x:c r="N148" s="109" t="n">
        <x:v>6.6</x:v>
      </x:c>
      <x:c r="O148" s="109" t="n">
        <x:v>4.2</x:v>
      </x:c>
      <x:c r="P148" s="109" t="n">
        <x:v>7.6</x:v>
      </x:c>
      <x:c r="Q148" s="109" t="n">
        <x:v>5.6</x:v>
      </x:c>
      <x:c r="R148" s="109" t="n">
        <x:v>9</x:v>
      </x:c>
      <x:c r="S148" s="109" t="n">
        <x:v>11.4</x:v>
      </x:c>
      <x:c r="T148" s="109" t="n">
        <x:v>0</x:v>
      </x:c>
      <x:c r="U148" s="109" t="n">
        <x:v>23.8</x:v>
      </x:c>
      <x:c r="V148" s="109" t="n">
        <x:v>6</x:v>
      </x:c>
      <x:c r="W148" s="109" t="n">
        <x:f>AVERAGE(E148:V148)</x:f>
        <x:v>6.6523529411764715</x:v>
      </x:c>
      <x:c r="X148" s="109" t="n">
        <x:f>MEDIAN(E148:V148)</x:f>
        <x:v>5.6</x:v>
      </x:c>
      <x:c r="Y148" s="109" t="n">
        <x:f>PERCENTILE.INC(E148:V148,0.25)</x:f>
        <x:v>1.98</x:v>
      </x:c>
      <x:c r="Z148" s="109" t="n">
        <x:f>STDEV.P(E148:V148)</x:f>
        <x:v>6.535605223706402</x:v>
      </x:c>
      <x:c r="AA148" s="173" t="n">
        <x:f>IF(W148=0,"",Z148/ABS(W148))</x:f>
        <x:v>0.9824501618446266</x:v>
      </x:c>
      <x:c r="AB148" s="173" t="n">
        <x:f>IF(W148=0,0,(COUNTIF(E148:V148,"&lt;"&amp;0.5*W148)-COUNTBLANK(E148:V148))/COUNT(E148:V148))</x:f>
        <x:v>0.35294117647058826</x:v>
      </x:c>
      <x:c r="AC148" s="109" t="n">
        <x:f>SUM(E148:V148)</x:f>
        <x:v>113.09000000000002</x:v>
      </x:c>
    </x:row>
    <x:row r="149">
      <x:c r="A149" s="108" t="str">
        <x:v>WR</x:v>
      </x:c>
      <x:c r="B149" s="108" t="str">
        <x:v>Xavier Smith</x:v>
      </x:c>
      <x:c r="C149" s="108" t="str">
        <x:v>LAR</x:v>
      </x:c>
      <x:c r="D149" s="108" t="n">
        <x:v>8</x:v>
      </x:c>
      <x:c r="E149" s="109" t="n">
        <x:v>5.15</x:v>
      </x:c>
      <x:c r="F149" s="109" t="n">
        <x:v>0.7</x:v>
      </x:c>
      <x:c r="G149" s="109" t="n">
        <x:v>2.65</x:v>
      </x:c>
      <x:c r="H149" s="109" t="n">
        <x:v>2.19</x:v>
      </x:c>
      <x:c r="I149" s="109" t="n">
        <x:v>4.71</x:v>
      </x:c>
      <x:c r="J149" s="109" t="n">
        <x:v>0.75</x:v>
      </x:c>
      <x:c r="K149" s="109" t="n">
        <x:v>4.31</x:v>
      </x:c>
      <x:c r="L149" s="109"/>
      <x:c r="M149" s="109" t="n">
        <x:v>2.75</x:v>
      </x:c>
      <x:c r="N149" s="109" t="n">
        <x:v>2.15</x:v>
      </x:c>
      <x:c r="O149" s="109" t="n">
        <x:v>1.96</x:v>
      </x:c>
      <x:c r="P149" s="109" t="n">
        <x:v>0</x:v>
      </x:c>
      <x:c r="Q149" s="109" t="n">
        <x:v>9.7</x:v>
      </x:c>
      <x:c r="R149" s="109" t="n">
        <x:v>3.4</x:v>
      </x:c>
      <x:c r="S149" s="109" t="n">
        <x:v>0</x:v>
      </x:c>
      <x:c r="T149" s="109" t="n">
        <x:v>8.25</x:v>
      </x:c>
      <x:c r="U149" s="109" t="n">
        <x:v>9.85</x:v>
      </x:c>
      <x:c r="V149" s="109" t="n">
        <x:v>2.36</x:v>
      </x:c>
      <x:c r="W149" s="109" t="n">
        <x:f>AVERAGE(E149:V149)</x:f>
        <x:v>3.581176470588235</x:v>
      </x:c>
      <x:c r="X149" s="109" t="n">
        <x:f>MEDIAN(E149:V149)</x:f>
        <x:v>2.65</x:v>
      </x:c>
      <x:c r="Y149" s="109" t="n">
        <x:f>PERCENTILE.INC(E149:V149,0.25)</x:f>
        <x:v>1.96</x:v>
      </x:c>
      <x:c r="Z149" s="109" t="n">
        <x:f>STDEV.P(E149:V149)</x:f>
        <x:v>3.014308783029099</x:v>
      </x:c>
      <x:c r="AA149" s="173" t="n">
        <x:f>IF(W149=0,"",Z149/ABS(W149))</x:f>
        <x:v>0.841709088559374</x:v>
      </x:c>
      <x:c r="AB149" s="173" t="n">
        <x:f>IF(W149=0,0,(COUNTIF(E149:V149,"&lt;"&amp;0.5*W149)-COUNTBLANK(E149:V149))/COUNT(E149:V149))</x:f>
        <x:v>0.23529411764705882</x:v>
      </x:c>
      <x:c r="AC149" s="109" t="n">
        <x:f>SUM(E149:V149)</x:f>
        <x:v>60.879999999999995</x:v>
      </x:c>
    </x:row>
    <x:row r="150">
      <x:c r="A150" s="108" t="str">
        <x:v>WR</x:v>
      </x:c>
      <x:c r="B150" s="108" t="str">
        <x:v>Jordan Whittington</x:v>
      </x:c>
      <x:c r="C150" s="108" t="str">
        <x:v>LAR</x:v>
      </x:c>
      <x:c r="D150" s="108" t="n">
        <x:v>8</x:v>
      </x:c>
      <x:c r="E150" s="109" t="n">
        <x:v>2.3</x:v>
      </x:c>
      <x:c r="F150" s="109" t="n">
        <x:v>5.2</x:v>
      </x:c>
      <x:c r="G150" s="109" t="n">
        <x:v>2.4</x:v>
      </x:c>
      <x:c r="H150" s="109" t="n">
        <x:v>2.67</x:v>
      </x:c>
      <x:c r="I150" s="109" t="n">
        <x:v>4.3</x:v>
      </x:c>
      <x:c r="J150" s="109" t="n">
        <x:v>3.8</x:v>
      </x:c>
      <x:c r="K150" s="109" t="n">
        <x:v>1.9</x:v>
      </x:c>
      <x:c r="L150" s="109"/>
      <x:c r="M150" s="109" t="n">
        <x:v>0</x:v>
      </x:c>
      <x:c r="N150" s="109" t="n">
        <x:v>0</x:v>
      </x:c>
      <x:c r="O150" s="109" t="n">
        <x:v>2.84</x:v>
      </x:c>
      <x:c r="P150" s="109" t="n">
        <x:v>3.2</x:v>
      </x:c>
      <x:c r="Q150" s="109" t="n">
        <x:v>0</x:v>
      </x:c>
      <x:c r="R150" s="109" t="n">
        <x:v>2.62</x:v>
      </x:c>
      <x:c r="S150" s="109" t="n">
        <x:v>3.06</x:v>
      </x:c>
      <x:c r="T150" s="109" t="n">
        <x:v>3.63</x:v>
      </x:c>
      <x:c r="U150" s="109" t="n">
        <x:v>2.4</x:v>
      </x:c>
      <x:c r="V150" s="109" t="n">
        <x:v>0</x:v>
      </x:c>
      <x:c r="W150" s="109" t="n">
        <x:f>AVERAGE(E150:V150)</x:f>
        <x:v>2.3717647058823528</x:v>
      </x:c>
      <x:c r="X150" s="109" t="n">
        <x:f>MEDIAN(E150:V150)</x:f>
        <x:v>2.62</x:v>
      </x:c>
      <x:c r="Y150" s="109" t="n">
        <x:f>PERCENTILE.INC(E150:V150,0.25)</x:f>
        <x:v>1.9</x:v>
      </x:c>
      <x:c r="Z150" s="109" t="n">
        <x:f>STDEV.P(E150:V150)</x:f>
        <x:v>1.526238109918007</x:v>
      </x:c>
      <x:c r="AA150" s="173" t="n">
        <x:f>IF(W150=0,"",Z150/ABS(W150))</x:f>
        <x:v>0.6435031713443978</x:v>
      </x:c>
      <x:c r="AB150" s="173" t="n">
        <x:f>IF(W150=0,0,(COUNTIF(E150:V150,"&lt;"&amp;0.5*W150)-COUNTBLANK(E150:V150))/COUNT(E150:V150))</x:f>
        <x:v>0.23529411764705882</x:v>
      </x:c>
      <x:c r="AC150" s="109" t="n">
        <x:f>SUM(E150:V150)</x:f>
        <x:v>40.32</x:v>
      </x:c>
    </x:row>
    <x:row r="151">
      <x:c r="A151" s="108" t="str">
        <x:v>WR</x:v>
      </x:c>
      <x:c r="B151" s="108" t="str">
        <x:v>Mack Hollins</x:v>
      </x:c>
      <x:c r="C151" s="108" t="str">
        <x:v>NE</x:v>
      </x:c>
      <x:c r="D151" s="108" t="n">
        <x:v>14</x:v>
      </x:c>
      <x:c r="E151" s="109" t="n">
        <x:v>0.8</x:v>
      </x:c>
      <x:c r="F151" s="109" t="n">
        <x:v>7.3</x:v>
      </x:c>
      <x:c r="G151" s="109" t="n">
        <x:v>4.7</x:v>
      </x:c>
      <x:c r="H151" s="109" t="n">
        <x:v>6.9</x:v>
      </x:c>
      <x:c r="I151" s="109" t="n">
        <x:v>0</x:v>
      </x:c>
      <x:c r="J151" s="109" t="n">
        <x:v>3.8</x:v>
      </x:c>
      <x:c r="K151" s="109" t="n">
        <x:v>6.3</x:v>
      </x:c>
      <x:c r="L151" s="109" t="n">
        <x:v>12.4</x:v>
      </x:c>
      <x:c r="M151" s="109" t="n">
        <x:v>1.9</x:v>
      </x:c>
      <x:c r="N151" s="109" t="n">
        <x:v>13.6</x:v>
      </x:c>
      <x:c r="O151" s="109" t="n">
        <x:v>8.4</x:v>
      </x:c>
      <x:c r="P151" s="109" t="n">
        <x:v>4</x:v>
      </x:c>
      <x:c r="Q151" s="109" t="n">
        <x:v>3.8</x:v>
      </x:c>
      <x:c r="R151" s="109"/>
      <x:c r="S151" s="109" t="n">
        <x:v>5.6</x:v>
      </x:c>
      <x:c r="T151" s="109" t="n">
        <x:v>10.4</x:v>
      </x:c>
      <x:c r="U151" s="109" t="n">
        <x:v>0</x:v>
      </x:c>
      <x:c r="V151" s="109" t="n">
        <x:v>0</x:v>
      </x:c>
      <x:c r="W151" s="109" t="n">
        <x:f>AVERAGE(E151:V151)</x:f>
        <x:v>5.288235294117648</x:v>
      </x:c>
      <x:c r="X151" s="109" t="n">
        <x:f>MEDIAN(E151:V151)</x:f>
        <x:v>4.7</x:v>
      </x:c>
      <x:c r="Y151" s="109" t="n">
        <x:f>PERCENTILE.INC(E151:V151,0.25)</x:f>
        <x:v>1.9</x:v>
      </x:c>
      <x:c r="Z151" s="109" t="n">
        <x:f>STDEV.P(E151:V151)</x:f>
        <x:v>4.095892110387039</x:v>
      </x:c>
      <x:c r="AA151" s="173" t="n">
        <x:f>IF(W151=0,"",Z151/ABS(W151))</x:f>
        <x:v>0.7745290976260251</x:v>
      </x:c>
      <x:c r="AB151" s="173" t="n">
        <x:f>IF(W151=0,0,(COUNTIF(E151:V151,"&lt;"&amp;0.5*W151)-COUNTBLANK(E151:V151))/COUNT(E151:V151))</x:f>
        <x:v>0.29411764705882354</x:v>
      </x:c>
      <x:c r="AC151" s="109" t="n">
        <x:f>SUM(E151:V151)</x:f>
        <x:v>89.9</x:v>
      </x:c>
    </x:row>
    <x:row r="152">
      <x:c r="A152" s="108" t="str">
        <x:v>WR</x:v>
      </x:c>
      <x:c r="B152" s="108" t="str">
        <x:v>Xavier Hutchinson</x:v>
      </x:c>
      <x:c r="C152" s="108" t="str">
        <x:v>HOU</x:v>
      </x:c>
      <x:c r="D152" s="108" t="n">
        <x:v>6</x:v>
      </x:c>
      <x:c r="E152" s="109" t="n">
        <x:v>4.5</x:v>
      </x:c>
      <x:c r="F152" s="109" t="n">
        <x:v>3.9</x:v>
      </x:c>
      <x:c r="G152" s="109" t="n">
        <x:v>3.1</x:v>
      </x:c>
      <x:c r="H152" s="109" t="n">
        <x:v>2.7</x:v>
      </x:c>
      <x:c r="I152" s="109" t="n">
        <x:v>15.3</x:v>
      </x:c>
      <x:c r="J152" s="109"/>
      <x:c r="K152" s="109" t="n">
        <x:v>1.8</x:v>
      </x:c>
      <x:c r="L152" s="109" t="n">
        <x:v>15.4</x:v>
      </x:c>
      <x:c r="M152" s="109" t="n">
        <x:v>4.5</x:v>
      </x:c>
      <x:c r="N152" s="109" t="n">
        <x:v>0</x:v>
      </x:c>
      <x:c r="O152" s="109" t="n">
        <x:v>5.7</x:v>
      </x:c>
      <x:c r="P152" s="109" t="n">
        <x:v>0.9</x:v>
      </x:c>
      <x:c r="Q152" s="109" t="n">
        <x:v>4.9</x:v>
      </x:c>
      <x:c r="R152" s="109" t="n">
        <x:v>0</x:v>
      </x:c>
      <x:c r="S152" s="109" t="n">
        <x:v>2.1</x:v>
      </x:c>
      <x:c r="T152" s="109" t="n">
        <x:v>0.9</x:v>
      </x:c>
      <x:c r="U152" s="109" t="n">
        <x:v>3.9</x:v>
      </x:c>
      <x:c r="V152" s="109" t="n">
        <x:v>10.9</x:v>
      </x:c>
      <x:c r="W152" s="109" t="n">
        <x:f>AVERAGE(E152:V152)</x:f>
        <x:v>4.73529411764706</x:v>
      </x:c>
      <x:c r="X152" s="109" t="n">
        <x:f>MEDIAN(E152:V152)</x:f>
        <x:v>3.9</x:v>
      </x:c>
      <x:c r="Y152" s="109" t="n">
        <x:f>PERCENTILE.INC(E152:V152,0.25)</x:f>
        <x:v>1.8</x:v>
      </x:c>
      <x:c r="Z152" s="109" t="n">
        <x:f>STDEV.P(E152:V152)</x:f>
        <x:v>4.61747845327252</x:v>
      </x:c>
      <x:c r="AA152" s="173" t="n">
        <x:f>IF(W152=0,"",Z152/ABS(W152))</x:f>
        <x:v>0.9751196733618984</x:v>
      </x:c>
      <x:c r="AB152" s="173" t="n">
        <x:f>IF(W152=0,0,(COUNTIF(E152:V152,"&lt;"&amp;0.5*W152)-COUNTBLANK(E152:V152))/COUNT(E152:V152))</x:f>
        <x:v>0.35294117647058826</x:v>
      </x:c>
      <x:c r="AC152" s="109" t="n">
        <x:f>SUM(E152:V152)</x:f>
        <x:v>80.50000000000001</x:v>
      </x:c>
    </x:row>
    <x:row r="153">
      <x:c r="A153" s="108" t="str">
        <x:v>WR</x:v>
      </x:c>
      <x:c r="B153" s="108" t="str">
        <x:v>Skyy Moore</x:v>
      </x:c>
      <x:c r="C153" s="108" t="str">
        <x:v>SF</x:v>
      </x:c>
      <x:c r="D153" s="108" t="n">
        <x:v>14</x:v>
      </x:c>
      <x:c r="E153" s="109" t="n">
        <x:v>2.17</x:v>
      </x:c>
      <x:c r="F153" s="109" t="n">
        <x:v>0.05</x:v>
      </x:c>
      <x:c r="G153" s="109" t="n">
        <x:v>4.63</x:v>
      </x:c>
      <x:c r="H153" s="109" t="n">
        <x:v>3.2</x:v>
      </x:c>
      <x:c r="I153" s="109" t="n">
        <x:v>1.75</x:v>
      </x:c>
      <x:c r="J153" s="109" t="n">
        <x:v>4.52</x:v>
      </x:c>
      <x:c r="K153" s="109" t="n">
        <x:v>3.99</x:v>
      </x:c>
      <x:c r="L153" s="109" t="n">
        <x:v>1.56</x:v>
      </x:c>
      <x:c r="M153" s="109" t="n">
        <x:v>5.83</x:v>
      </x:c>
      <x:c r="N153" s="109" t="n">
        <x:v>4.13</x:v>
      </x:c>
      <x:c r="O153" s="109" t="n">
        <x:v>3.39</x:v>
      </x:c>
      <x:c r="P153" s="109" t="n">
        <x:v>2.4</x:v>
      </x:c>
      <x:c r="Q153" s="109" t="n">
        <x:v>4.17</x:v>
      </x:c>
      <x:c r="R153" s="109"/>
      <x:c r="S153" s="109" t="n">
        <x:v>0.9</x:v>
      </x:c>
      <x:c r="T153" s="109" t="n">
        <x:v>6.56</x:v>
      </x:c>
      <x:c r="U153" s="109" t="n">
        <x:v>4.31</x:v>
      </x:c>
      <x:c r="V153" s="109" t="n">
        <x:v>0</x:v>
      </x:c>
      <x:c r="W153" s="109" t="n">
        <x:f>AVERAGE(E153:V153)</x:f>
        <x:v>3.150588235294118</x:v>
      </x:c>
      <x:c r="X153" s="109" t="n">
        <x:f>MEDIAN(E153:V153)</x:f>
        <x:v>3.39</x:v>
      </x:c>
      <x:c r="Y153" s="109" t="n">
        <x:f>PERCENTILE.INC(E153:V153,0.25)</x:f>
        <x:v>1.75</x:v>
      </x:c>
      <x:c r="Z153" s="109" t="n">
        <x:f>STDEV.P(E153:V153)</x:f>
        <x:v>1.8406503664809069</x:v>
      </x:c>
      <x:c r="AA153" s="173" t="n">
        <x:f>IF(W153=0,"",Z153/ABS(W153))</x:f>
        <x:v>0.5842243508247836</x:v>
      </x:c>
      <x:c r="AB153" s="173" t="n">
        <x:f>IF(W153=0,0,(COUNTIF(E153:V153,"&lt;"&amp;0.5*W153)-COUNTBLANK(E153:V153))/COUNT(E153:V153))</x:f>
        <x:v>0.23529411764705882</x:v>
      </x:c>
      <x:c r="AC153" s="109" t="n">
        <x:f>SUM(E153:V153)</x:f>
        <x:v>53.56</x:v>
      </x:c>
    </x:row>
    <x:row r="154">
      <x:c r="A154" s="108" t="str">
        <x:v>WR</x:v>
      </x:c>
      <x:c r="B154" s="108" t="str">
        <x:v>Isaiah Williams</x:v>
      </x:c>
      <x:c r="C154" s="108" t="str">
        <x:v>NYJ</x:v>
      </x:c>
      <x:c r="D154" s="108" t="n">
        <x:v>9</x:v>
      </x:c>
      <x:c r="E154" s="109" t="n">
        <x:v>0</x:v>
      </x:c>
      <x:c r="F154" s="109" t="n">
        <x:v>1.75</x:v>
      </x:c>
      <x:c r="G154" s="109" t="n">
        <x:v>0</x:v>
      </x:c>
      <x:c r="H154" s="109" t="n">
        <x:v>-0.2</x:v>
      </x:c>
      <x:c r="I154" s="109" t="n">
        <x:v>0</x:v>
      </x:c>
      <x:c r="J154" s="109" t="n">
        <x:v>3.37</x:v>
      </x:c>
      <x:c r="K154" s="109" t="n">
        <x:v>2.83</x:v>
      </x:c>
      <x:c r="L154" s="109" t="n">
        <x:v>12.96</x:v>
      </x:c>
      <x:c r="M154" s="109"/>
      <x:c r="N154" s="109" t="n">
        <x:v>13.89</x:v>
      </x:c>
      <x:c r="O154" s="109" t="n">
        <x:v>2.72</x:v>
      </x:c>
      <x:c r="P154" s="109" t="n">
        <x:v>4.81</x:v>
      </x:c>
      <x:c r="Q154" s="109" t="n">
        <x:v>3.29</x:v>
      </x:c>
      <x:c r="R154" s="109" t="n">
        <x:v>16.02</x:v>
      </x:c>
      <x:c r="S154" s="109" t="n">
        <x:v>8.75</x:v>
      </x:c>
      <x:c r="T154" s="109" t="n">
        <x:v>5.76</x:v>
      </x:c>
      <x:c r="U154" s="109" t="n">
        <x:v>5.5</x:v>
      </x:c>
      <x:c r="V154" s="109" t="n">
        <x:v>9.16</x:v>
      </x:c>
      <x:c r="W154" s="109" t="n">
        <x:f>AVERAGE(E154:V154)</x:f>
        <x:v>5.33</x:v>
      </x:c>
      <x:c r="X154" s="109" t="n">
        <x:f>MEDIAN(E154:V154)</x:f>
        <x:v>3.37</x:v>
      </x:c>
      <x:c r="Y154" s="109" t="n">
        <x:f>PERCENTILE.INC(E154:V154,0.25)</x:f>
        <x:v>1.75</x:v>
      </x:c>
      <x:c r="Z154" s="109" t="n">
        <x:f>STDEV.P(E154:V154)</x:f>
        <x:v>4.9841242076865475</x:v>
      </x:c>
      <x:c r="AA154" s="173" t="n">
        <x:f>IF(W154=0,"",Z154/ABS(W154))</x:f>
        <x:v>0.9351077312732734</x:v>
      </x:c>
      <x:c r="AB154" s="173" t="n">
        <x:f>IF(W154=0,0,(COUNTIF(E154:V154,"&lt;"&amp;0.5*W154)-COUNTBLANK(E154:V154))/COUNT(E154:V154))</x:f>
        <x:v>0.29411764705882354</x:v>
      </x:c>
      <x:c r="AC154" s="109" t="n">
        <x:f>SUM(E154:V154)</x:f>
        <x:v>90.61</x:v>
      </x:c>
    </x:row>
    <x:row r="155">
      <x:c r="A155" s="108" t="str">
        <x:v>WR</x:v>
      </x:c>
      <x:c r="B155" s="108" t="str">
        <x:v>Tre' Harris</x:v>
      </x:c>
      <x:c r="C155" s="108" t="str">
        <x:v>LAC</x:v>
      </x:c>
      <x:c r="D155" s="108" t="n">
        <x:v>12</x:v>
      </x:c>
      <x:c r="E155" s="109" t="n">
        <x:v>1.6</x:v>
      </x:c>
      <x:c r="F155" s="109" t="n">
        <x:v>4.4</x:v>
      </x:c>
      <x:c r="G155" s="109" t="n">
        <x:v>0</x:v>
      </x:c>
      <x:c r="H155" s="109" t="n">
        <x:v>0</x:v>
      </x:c>
      <x:c r="I155" s="109" t="n">
        <x:v>0</x:v>
      </x:c>
      <x:c r="J155" s="109" t="n">
        <x:v>4.7</x:v>
      </x:c>
      <x:c r="K155" s="109" t="n">
        <x:v>3.3</x:v>
      </x:c>
      <x:c r="L155" s="109" t="n">
        <x:v>7.8</x:v>
      </x:c>
      <x:c r="M155" s="109" t="n">
        <x:v>2.8</x:v>
      </x:c>
      <x:c r="N155" s="109" t="n">
        <x:v>1.4</x:v>
      </x:c>
      <x:c r="O155" s="109" t="n">
        <x:v>1.7</x:v>
      </x:c>
      <x:c r="P155" s="109"/>
      <x:c r="Q155" s="109" t="n">
        <x:v>4.5</x:v>
      </x:c>
      <x:c r="R155" s="109" t="n">
        <x:v>2.6</x:v>
      </x:c>
      <x:c r="S155" s="109" t="n">
        <x:v>6.4</x:v>
      </x:c>
      <x:c r="T155" s="109" t="n">
        <x:v>7.4</x:v>
      </x:c>
      <x:c r="U155" s="109" t="n">
        <x:v>2</x:v>
      </x:c>
      <x:c r="V155" s="109" t="n">
        <x:v>3.8</x:v>
      </x:c>
      <x:c r="W155" s="109" t="n">
        <x:f>AVERAGE(E155:V155)</x:f>
        <x:v>3.1999999999999997</x:v>
      </x:c>
      <x:c r="X155" s="109" t="n">
        <x:f>MEDIAN(E155:V155)</x:f>
        <x:v>2.8</x:v>
      </x:c>
      <x:c r="Y155" s="109" t="n">
        <x:f>PERCENTILE.INC(E155:V155,0.25)</x:f>
        <x:v>1.6</x:v>
      </x:c>
      <x:c r="Z155" s="109" t="n">
        <x:f>STDEV.P(E155:V155)</x:f>
        <x:v>2.370405773156099</x:v>
      </x:c>
      <x:c r="AA155" s="173" t="n">
        <x:f>IF(W155=0,"",Z155/ABS(W155))</x:f>
        <x:v>0.740751804111281</x:v>
      </x:c>
      <x:c r="AB155" s="173" t="n">
        <x:f>IF(W155=0,0,(COUNTIF(E155:V155,"&lt;"&amp;0.5*W155)-COUNTBLANK(E155:V155))/COUNT(E155:V155))</x:f>
        <x:v>0.23529411764705882</x:v>
      </x:c>
      <x:c r="AC155" s="109" t="n">
        <x:f>SUM(E155:V155)</x:f>
        <x:v>54.4</x:v>
      </x:c>
    </x:row>
    <x:row r="156">
      <x:c r="A156" s="108" t="str">
        <x:v>WR</x:v>
      </x:c>
      <x:c r="B156" s="108" t="str">
        <x:v>DeMario Douglas</x:v>
      </x:c>
      <x:c r="C156" s="108" t="str">
        <x:v>NE</x:v>
      </x:c>
      <x:c r="D156" s="108" t="n">
        <x:v>14</x:v>
      </x:c>
      <x:c r="E156" s="109" t="n">
        <x:v>7.2</x:v>
      </x:c>
      <x:c r="F156" s="109" t="n">
        <x:v>1.3</x:v>
      </x:c>
      <x:c r="G156" s="109" t="n">
        <x:v>1.7</x:v>
      </x:c>
      <x:c r="H156" s="109" t="n">
        <x:v>0</x:v>
      </x:c>
      <x:c r="I156" s="109" t="n">
        <x:v>2.7</x:v>
      </x:c>
      <x:c r="J156" s="109" t="n">
        <x:v>16.6</x:v>
      </x:c>
      <x:c r="K156" s="109" t="n">
        <x:v>3.2</x:v>
      </x:c>
      <x:c r="L156" s="109" t="n">
        <x:v>5.2</x:v>
      </x:c>
      <x:c r="M156" s="109" t="n">
        <x:v>18</x:v>
      </x:c>
      <x:c r="N156" s="109" t="n">
        <x:v>4.4</x:v>
      </x:c>
      <x:c r="O156" s="109" t="n">
        <x:v>4.6</x:v>
      </x:c>
      <x:c r="P156" s="109" t="n">
        <x:v>5.6</x:v>
      </x:c>
      <x:c r="Q156" s="109" t="n">
        <x:v>4.8</x:v>
      </x:c>
      <x:c r="R156" s="109"/>
      <x:c r="S156" s="109" t="n">
        <x:v>0.5</x:v>
      </x:c>
      <x:c r="T156" s="109" t="n">
        <x:v>1.1</x:v>
      </x:c>
      <x:c r="U156" s="109" t="n">
        <x:v>1.5</x:v>
      </x:c>
      <x:c r="V156" s="109" t="n">
        <x:v>3.9</x:v>
      </x:c>
      <x:c r="W156" s="109" t="n">
        <x:f>AVERAGE(E156:V156)</x:f>
        <x:v>4.841176470588235</x:v>
      </x:c>
      <x:c r="X156" s="109" t="n">
        <x:f>MEDIAN(E156:V156)</x:f>
        <x:v>3.9</x:v>
      </x:c>
      <x:c r="Y156" s="109" t="n">
        <x:f>PERCENTILE.INC(E156:V156,0.25)</x:f>
        <x:v>1.5</x:v>
      </x:c>
      <x:c r="Z156" s="109" t="n">
        <x:f>STDEV.P(E156:V156)</x:f>
        <x:v>4.946544702948706</x:v>
      </x:c>
      <x:c r="AA156" s="173" t="n">
        <x:f>IF(W156=0,"",Z156/ABS(W156))</x:f>
        <x:v>1.0217650054693561</x:v>
      </x:c>
      <x:c r="AB156" s="173" t="n">
        <x:f>IF(W156=0,0,(COUNTIF(E156:V156,"&lt;"&amp;0.5*W156)-COUNTBLANK(E156:V156))/COUNT(E156:V156))</x:f>
        <x:v>0.35294117647058826</x:v>
      </x:c>
      <x:c r="AC156" s="109" t="n">
        <x:f>SUM(E156:V156)</x:f>
        <x:v>82.3</x:v>
      </x:c>
    </x:row>
    <x:row r="157">
      <x:c r="A157" s="108" t="str">
        <x:v>WR</x:v>
      </x:c>
      <x:c r="B157" s="108" t="str">
        <x:v>Jordan Addison</x:v>
      </x:c>
      <x:c r="C157" s="108" t="str">
        <x:v>MIN</x:v>
      </x:c>
      <x:c r="D157" s="108" t="n">
        <x:v>6</x:v>
      </x:c>
      <x:c r="E157" s="109" t="n">
        <x:v>0</x:v>
      </x:c>
      <x:c r="F157" s="109" t="n">
        <x:v>0</x:v>
      </x:c>
      <x:c r="G157" s="109" t="n">
        <x:v>0</x:v>
      </x:c>
      <x:c r="H157" s="109" t="n">
        <x:v>13.4</x:v>
      </x:c>
      <x:c r="I157" s="109" t="n">
        <x:v>12.6</x:v>
      </x:c>
      <x:c r="J157" s="109"/>
      <x:c r="K157" s="109" t="n">
        <x:v>17.3</x:v>
      </x:c>
      <x:c r="L157" s="109" t="n">
        <x:v>10.1</x:v>
      </x:c>
      <x:c r="M157" s="109" t="n">
        <x:v>7.4</x:v>
      </x:c>
      <x:c r="N157" s="109" t="n">
        <x:v>5</x:v>
      </x:c>
      <x:c r="O157" s="109" t="n">
        <x:v>9</x:v>
      </x:c>
      <x:c r="P157" s="109" t="n">
        <x:v>0</x:v>
      </x:c>
      <x:c r="Q157" s="109" t="n">
        <x:v>6.1</x:v>
      </x:c>
      <x:c r="R157" s="109" t="n">
        <x:v>8.2</x:v>
      </x:c>
      <x:c r="S157" s="109" t="n">
        <x:v>7.6</x:v>
      </x:c>
      <x:c r="T157" s="109" t="n">
        <x:v>3.6</x:v>
      </x:c>
      <x:c r="U157" s="109" t="n">
        <x:v>14.5</x:v>
      </x:c>
      <x:c r="V157" s="109" t="n">
        <x:v>1.3</x:v>
      </x:c>
      <x:c r="W157" s="109" t="n">
        <x:f>AVERAGE(E157:V157)</x:f>
        <x:v>6.829411764705881</x:v>
      </x:c>
      <x:c r="X157" s="109" t="n">
        <x:f>MEDIAN(E157:V157)</x:f>
        <x:v>7.4</x:v>
      </x:c>
      <x:c r="Y157" s="109" t="n">
        <x:f>PERCENTILE.INC(E157:V157,0.25)</x:f>
        <x:v>1.3</x:v>
      </x:c>
      <x:c r="Z157" s="109" t="n">
        <x:f>STDEV.P(E157:V157)</x:f>
        <x:v>5.3938706723882275</x:v>
      </x:c>
      <x:c r="AA157" s="173" t="n">
        <x:f>IF(W157=0,"",Z157/ABS(W157))</x:f>
        <x:v>0.7898001845874236</x:v>
      </x:c>
      <x:c r="AB157" s="173" t="n">
        <x:f>IF(W157=0,0,(COUNTIF(E157:V157,"&lt;"&amp;0.5*W157)-COUNTBLANK(E157:V157))/COUNT(E157:V157))</x:f>
        <x:v>0.29411764705882354</x:v>
      </x:c>
      <x:c r="AC157" s="109" t="n">
        <x:f>SUM(E157:V157)</x:f>
        <x:v>116.09999999999998</x:v>
      </x:c>
    </x:row>
    <x:row r="158">
      <x:c r="A158" s="108" t="str">
        <x:v>WR</x:v>
      </x:c>
      <x:c r="B158" s="108" t="str">
        <x:v>Darius Slayton</x:v>
      </x:c>
      <x:c r="C158" s="108" t="str">
        <x:v>NYG</x:v>
      </x:c>
      <x:c r="D158" s="108" t="n">
        <x:v>14</x:v>
      </x:c>
      <x:c r="E158" s="109" t="n">
        <x:v>0</x:v>
      </x:c>
      <x:c r="F158" s="109" t="n">
        <x:v>7.1</x:v>
      </x:c>
      <x:c r="G158" s="109" t="n">
        <x:v>5</x:v>
      </x:c>
      <x:c r="H158" s="109" t="n">
        <x:v>5.9</x:v>
      </x:c>
      <x:c r="I158" s="109" t="n">
        <x:v>2.6</x:v>
      </x:c>
      <x:c r="J158" s="109" t="n">
        <x:v>0</x:v>
      </x:c>
      <x:c r="K158" s="109" t="n">
        <x:v>0</x:v>
      </x:c>
      <x:c r="L158" s="109" t="n">
        <x:v>3.6</x:v>
      </x:c>
      <x:c r="M158" s="109" t="n">
        <x:v>8.7</x:v>
      </x:c>
      <x:c r="N158" s="109" t="n">
        <x:v>10.9</x:v>
      </x:c>
      <x:c r="O158" s="109" t="n">
        <x:v>0</x:v>
      </x:c>
      <x:c r="P158" s="109" t="n">
        <x:v>2.8</x:v>
      </x:c>
      <x:c r="Q158" s="109" t="n">
        <x:v>13.1</x:v>
      </x:c>
      <x:c r="R158" s="109"/>
      <x:c r="S158" s="109" t="n">
        <x:v>7.3</x:v>
      </x:c>
      <x:c r="T158" s="109" t="n">
        <x:v>1.3</x:v>
      </x:c>
      <x:c r="U158" s="109" t="n">
        <x:v>4.6</x:v>
      </x:c>
      <x:c r="V158" s="109" t="n">
        <x:v>7.4</x:v>
      </x:c>
      <x:c r="W158" s="109" t="n">
        <x:f>AVERAGE(E158:V158)</x:f>
        <x:v>4.723529411764706</x:v>
      </x:c>
      <x:c r="X158" s="109" t="n">
        <x:f>MEDIAN(E158:V158)</x:f>
        <x:v>4.6</x:v>
      </x:c>
      <x:c r="Y158" s="109" t="n">
        <x:f>PERCENTILE.INC(E158:V158,0.25)</x:f>
        <x:v>1.3</x:v>
      </x:c>
      <x:c r="Z158" s="109" t="n">
        <x:f>STDEV.P(E158:V158)</x:f>
        <x:v>3.876707124801652</x:v>
      </x:c>
      <x:c r="AA158" s="173" t="n">
        <x:f>IF(W158=0,"",Z158/ABS(W158))</x:f>
        <x:v>0.8207225544411965</x:v>
      </x:c>
      <x:c r="AB158" s="173" t="n">
        <x:f>IF(W158=0,0,(COUNTIF(E158:V158,"&lt;"&amp;0.5*W158)-COUNTBLANK(E158:V158))/COUNT(E158:V158))</x:f>
        <x:v>0.29411764705882354</x:v>
      </x:c>
      <x:c r="AC158" s="109" t="n">
        <x:f>SUM(E158:V158)</x:f>
        <x:v>80.3</x:v>
      </x:c>
    </x:row>
    <x:row r="159">
      <x:c r="A159" s="108" t="str">
        <x:v>WR</x:v>
      </x:c>
      <x:c r="B159" s="108" t="str">
        <x:v>Van Jefferson</x:v>
      </x:c>
      <x:c r="C159" s="108" t="str">
        <x:v>TEN</x:v>
      </x:c>
      <x:c r="D159" s="108" t="n">
        <x:v>10</x:v>
      </x:c>
      <x:c r="E159" s="109" t="n">
        <x:v>0</x:v>
      </x:c>
      <x:c r="F159" s="109" t="n">
        <x:v>2</x:v>
      </x:c>
      <x:c r="G159" s="109" t="n">
        <x:v>1.3</x:v>
      </x:c>
      <x:c r="H159" s="109" t="n">
        <x:v>1.1</x:v>
      </x:c>
      <x:c r="I159" s="109" t="n">
        <x:v>0</x:v>
      </x:c>
      <x:c r="J159" s="109" t="n">
        <x:v>9.5</x:v>
      </x:c>
      <x:c r="K159" s="109" t="n">
        <x:v>6.1</x:v>
      </x:c>
      <x:c r="L159" s="109" t="n">
        <x:v>1.1</x:v>
      </x:c>
      <x:c r="M159" s="109" t="n">
        <x:v>2.6</x:v>
      </x:c>
      <x:c r="N159" s="109"/>
      <x:c r="O159" s="109" t="n">
        <x:v>9.7</x:v>
      </x:c>
      <x:c r="P159" s="109" t="n">
        <x:v>1.6</x:v>
      </x:c>
      <x:c r="Q159" s="109" t="n">
        <x:v>3.5</x:v>
      </x:c>
      <x:c r="R159" s="109" t="n">
        <x:v>2.7</x:v>
      </x:c>
      <x:c r="S159" s="109" t="n">
        <x:v>4.8</x:v>
      </x:c>
      <x:c r="T159" s="109" t="n">
        <x:v>3.4</x:v>
      </x:c>
      <x:c r="U159" s="109" t="n">
        <x:v>6.1</x:v>
      </x:c>
      <x:c r="V159" s="109" t="n">
        <x:v>0</x:v>
      </x:c>
      <x:c r="W159" s="109" t="n">
        <x:f>AVERAGE(E159:V159)</x:f>
        <x:v>3.2647058823529416</x:v>
      </x:c>
      <x:c r="X159" s="109" t="n">
        <x:f>MEDIAN(E159:V159)</x:f>
        <x:v>2.6</x:v>
      </x:c>
      <x:c r="Y159" s="109" t="n">
        <x:f>PERCENTILE.INC(E159:V159,0.25)</x:f>
        <x:v>1.1</x:v>
      </x:c>
      <x:c r="Z159" s="109" t="n">
        <x:f>STDEV.P(E159:V159)</x:f>
        <x:v>2.9619034373723827</x:v>
      </x:c>
      <x:c r="AA159" s="173" t="n">
        <x:f>IF(W159=0,"",Z159/ABS(W159))</x:f>
        <x:v>0.9072497015374865</x:v>
      </x:c>
      <x:c r="AB159" s="173" t="n">
        <x:f>IF(W159=0,0,(COUNTIF(E159:V159,"&lt;"&amp;0.5*W159)-COUNTBLANK(E159:V159))/COUNT(E159:V159))</x:f>
        <x:v>0.4117647058823529</x:v>
      </x:c>
      <x:c r="AC159" s="109" t="n">
        <x:f>SUM(E159:V159)</x:f>
        <x:v>55.50000000000001</x:v>
      </x:c>
    </x:row>
    <x:row r="160">
      <x:c r="A160" s="108" t="str">
        <x:v>WR</x:v>
      </x:c>
      <x:c r="B160" s="108" t="str">
        <x:v>Tyler Lockett</x:v>
      </x:c>
      <x:c r="C160" s="108" t="str">
        <x:v>LV/TEN</x:v>
      </x:c>
      <x:c r="D160" s="108" t="n">
        <x:v>8</x:v>
      </x:c>
      <x:c r="E160" s="109" t="n">
        <x:v>0</x:v>
      </x:c>
      <x:c r="F160" s="109" t="n">
        <x:v>1.9</x:v>
      </x:c>
      <x:c r="G160" s="109" t="n">
        <x:v>5.7</x:v>
      </x:c>
      <x:c r="H160" s="109" t="n">
        <x:v>0</x:v>
      </x:c>
      <x:c r="I160" s="109" t="n">
        <x:v>7.1</x:v>
      </x:c>
      <x:c r="J160" s="109" t="n">
        <x:v>0.5</x:v>
      </x:c>
      <x:c r="K160" s="109" t="n">
        <x:v>2.8</x:v>
      </x:c>
      <x:c r="L160" s="109"/>
      <x:c r="M160" s="109" t="n">
        <x:v>0</x:v>
      </x:c>
      <x:c r="N160" s="109" t="n">
        <x:v>6.9</x:v>
      </x:c>
      <x:c r="O160" s="109" t="n">
        <x:v>4.8</x:v>
      </x:c>
      <x:c r="P160" s="109" t="n">
        <x:v>8.2</x:v>
      </x:c>
      <x:c r="Q160" s="109" t="n">
        <x:v>1.6</x:v>
      </x:c>
      <x:c r="R160" s="109" t="n">
        <x:v>5.6</x:v>
      </x:c>
      <x:c r="S160" s="109" t="n">
        <x:v>2</x:v>
      </x:c>
      <x:c r="T160" s="109" t="n">
        <x:v>1.1</x:v>
      </x:c>
      <x:c r="U160" s="109" t="n">
        <x:v>7.9</x:v>
      </x:c>
      <x:c r="V160" s="109" t="n">
        <x:v>1</x:v>
      </x:c>
      <x:c r="W160" s="109" t="n">
        <x:f>AVERAGE(E160:V160)</x:f>
        <x:v>3.3588235294117648</x:v>
      </x:c>
      <x:c r="X160" s="109" t="n">
        <x:f>MEDIAN(E160:V160)</x:f>
        <x:v>2</x:v>
      </x:c>
      <x:c r="Y160" s="109" t="n">
        <x:f>PERCENTILE.INC(E160:V160,0.25)</x:f>
        <x:v>1</x:v>
      </x:c>
      <x:c r="Z160" s="109" t="n">
        <x:f>STDEV.P(E160:V160)</x:f>
        <x:v>2.902748965565818</x:v>
      </x:c>
      <x:c r="AA160" s="173" t="n">
        <x:f>IF(W160=0,"",Z160/ABS(W160))</x:f>
        <x:v>0.864215979240261</x:v>
      </x:c>
      <x:c r="AB160" s="173" t="n">
        <x:f>IF(W160=0,0,(COUNTIF(E160:V160,"&lt;"&amp;0.5*W160)-COUNTBLANK(E160:V160))/COUNT(E160:V160))</x:f>
        <x:v>0.4117647058823529</x:v>
      </x:c>
      <x:c r="AC160" s="109" t="n">
        <x:f>SUM(E160:V160)</x:f>
        <x:v>57.1</x:v>
      </x:c>
    </x:row>
    <x:row r="161">
      <x:c r="A161" s="108" t="str">
        <x:v>WR</x:v>
      </x:c>
      <x:c r="B161" s="108" t="str">
        <x:v>Sterling Shepard</x:v>
      </x:c>
      <x:c r="C161" s="108" t="str">
        <x:v>TB</x:v>
      </x:c>
      <x:c r="D161" s="108" t="n">
        <x:v>9</x:v>
      </x:c>
      <x:c r="E161" s="109" t="n">
        <x:v>5.4</x:v>
      </x:c>
      <x:c r="F161" s="109" t="n">
        <x:v>5.4</x:v>
      </x:c>
      <x:c r="G161" s="109" t="n">
        <x:v>10</x:v>
      </x:c>
      <x:c r="H161" s="109" t="n">
        <x:v>3</x:v>
      </x:c>
      <x:c r="I161" s="109" t="n">
        <x:v>9.9</x:v>
      </x:c>
      <x:c r="J161" s="109" t="n">
        <x:v>6.1</x:v>
      </x:c>
      <x:c r="K161" s="109" t="n">
        <x:v>4</x:v>
      </x:c>
      <x:c r="L161" s="109" t="n">
        <x:v>1.3</x:v>
      </x:c>
      <x:c r="M161" s="109"/>
      <x:c r="N161" s="109" t="n">
        <x:v>4.6</x:v>
      </x:c>
      <x:c r="O161" s="109" t="n">
        <x:v>8.1</x:v>
      </x:c>
      <x:c r="P161" s="109" t="n">
        <x:v>2.7</x:v>
      </x:c>
      <x:c r="Q161" s="109" t="n">
        <x:v>1</x:v>
      </x:c>
      <x:c r="R161" s="109" t="n">
        <x:v>1</x:v>
      </x:c>
      <x:c r="S161" s="109" t="n">
        <x:v>0</x:v>
      </x:c>
      <x:c r="T161" s="109" t="n">
        <x:v>0</x:v>
      </x:c>
      <x:c r="U161" s="109" t="n">
        <x:v>0</x:v>
      </x:c>
      <x:c r="V161" s="109" t="n">
        <x:v>0</x:v>
      </x:c>
      <x:c r="W161" s="109" t="n">
        <x:f>AVERAGE(E161:V161)</x:f>
        <x:v>3.6764705882352944</x:v>
      </x:c>
      <x:c r="X161" s="109" t="n">
        <x:f>MEDIAN(E161:V161)</x:f>
        <x:v>3</x:v>
      </x:c>
      <x:c r="Y161" s="109" t="n">
        <x:f>PERCENTILE.INC(E161:V161,0.25)</x:f>
        <x:v>1</x:v>
      </x:c>
      <x:c r="Z161" s="109" t="n">
        <x:f>STDEV.P(E161:V161)</x:f>
        <x:v>3.312281852841687</x:v>
      </x:c>
      <x:c r="AA161" s="173" t="n">
        <x:f>IF(W161=0,"",Z161/ABS(W161))</x:f>
        <x:v>0.9009406639729388</x:v>
      </x:c>
      <x:c r="AB161" s="173" t="n">
        <x:f>IF(W161=0,0,(COUNTIF(E161:V161,"&lt;"&amp;0.5*W161)-COUNTBLANK(E161:V161))/COUNT(E161:V161))</x:f>
        <x:v>0.4117647058823529</x:v>
      </x:c>
      <x:c r="AC161" s="109" t="n">
        <x:f>SUM(E161:V161)</x:f>
        <x:v>62.50000000000001</x:v>
      </x:c>
    </x:row>
    <x:row r="162">
      <x:c r="A162" s="108" t="str">
        <x:v>WR</x:v>
      </x:c>
      <x:c r="B162" s="108" t="str">
        <x:v>Olamide Zaccheaus</x:v>
      </x:c>
      <x:c r="C162" s="108" t="str">
        <x:v>CHI</x:v>
      </x:c>
      <x:c r="D162" s="108" t="n">
        <x:v>5</x:v>
      </x:c>
      <x:c r="E162" s="109" t="n">
        <x:v>6.2</x:v>
      </x:c>
      <x:c r="F162" s="109" t="n">
        <x:v>3.1</x:v>
      </x:c>
      <x:c r="G162" s="109" t="n">
        <x:v>5.1</x:v>
      </x:c>
      <x:c r="H162" s="109" t="n">
        <x:v>6.6</x:v>
      </x:c>
      <x:c r="I162" s="109"/>
      <x:c r="J162" s="109" t="n">
        <x:v>3.8</x:v>
      </x:c>
      <x:c r="K162" s="109" t="n">
        <x:v>1.9</x:v>
      </x:c>
      <x:c r="L162" s="109" t="n">
        <x:v>6.8</x:v>
      </x:c>
      <x:c r="M162" s="109" t="n">
        <x:v>14.8</x:v>
      </x:c>
      <x:c r="N162" s="109" t="n">
        <x:v>1</x:v>
      </x:c>
      <x:c r="O162" s="109" t="n">
        <x:v>0</x:v>
      </x:c>
      <x:c r="P162" s="109" t="n">
        <x:v>1.1</x:v>
      </x:c>
      <x:c r="Q162" s="109" t="n">
        <x:v>2.9</x:v>
      </x:c>
      <x:c r="R162" s="109" t="n">
        <x:v>7.7</x:v>
      </x:c>
      <x:c r="S162" s="109" t="n">
        <x:v>0</x:v>
      </x:c>
      <x:c r="T162" s="109" t="n">
        <x:v>4.3</x:v>
      </x:c>
      <x:c r="U162" s="109" t="n">
        <x:v>0</x:v>
      </x:c>
      <x:c r="V162" s="109" t="n">
        <x:v>0</x:v>
      </x:c>
      <x:c r="W162" s="109" t="n">
        <x:f>AVERAGE(E162:V162)</x:f>
        <x:v>3.841176470588235</x:v>
      </x:c>
      <x:c r="X162" s="109" t="n">
        <x:f>MEDIAN(E162:V162)</x:f>
        <x:v>3.1</x:v>
      </x:c>
      <x:c r="Y162" s="109" t="n">
        <x:f>PERCENTILE.INC(E162:V162,0.25)</x:f>
        <x:v>1</x:v>
      </x:c>
      <x:c r="Z162" s="109" t="n">
        <x:f>STDEV.P(E162:V162)</x:f>
        <x:v>3.745751919100672</x:v>
      </x:c>
      <x:c r="AA162" s="173" t="n">
        <x:f>IF(W162=0,"",Z162/ABS(W162))</x:f>
        <x:v>0.9751574674534674</x:v>
      </x:c>
      <x:c r="AB162" s="173" t="n">
        <x:f>IF(W162=0,0,(COUNTIF(E162:V162,"&lt;"&amp;0.5*W162)-COUNTBLANK(E162:V162))/COUNT(E162:V162))</x:f>
        <x:v>0.4117647058823529</x:v>
      </x:c>
      <x:c r="AC162" s="109" t="n">
        <x:f>SUM(E162:V162)</x:f>
        <x:v>65.3</x:v>
      </x:c>
    </x:row>
    <x:row r="163">
      <x:c r="A163" s="108" t="str">
        <x:v>WR</x:v>
      </x:c>
      <x:c r="B163" s="108" t="str">
        <x:v>JuJu Smith-Schuster</x:v>
      </x:c>
      <x:c r="C163" s="108" t="str">
        <x:v>KC</x:v>
      </x:c>
      <x:c r="D163" s="108" t="n">
        <x:v>10</x:v>
      </x:c>
      <x:c r="E163" s="109" t="n">
        <x:v>8</x:v>
      </x:c>
      <x:c r="F163" s="109" t="n">
        <x:v>1</x:v>
      </x:c>
      <x:c r="G163" s="109" t="n">
        <x:v>7.5</x:v>
      </x:c>
      <x:c r="H163" s="109" t="n">
        <x:v>11.6</x:v>
      </x:c>
      <x:c r="I163" s="109" t="n">
        <x:v>2.7</x:v>
      </x:c>
      <x:c r="J163" s="109" t="n">
        <x:v>7.2</x:v>
      </x:c>
      <x:c r="K163" s="109" t="n">
        <x:v>5</x:v>
      </x:c>
      <x:c r="L163" s="109" t="n">
        <x:v>3.9</x:v>
      </x:c>
      <x:c r="M163" s="109" t="n">
        <x:v>0.7</x:v>
      </x:c>
      <x:c r="N163" s="109"/>
      <x:c r="O163" s="109" t="n">
        <x:v>0</x:v>
      </x:c>
      <x:c r="P163" s="109" t="n">
        <x:v>1.3</x:v>
      </x:c>
      <x:c r="Q163" s="109" t="n">
        <x:v>0</x:v>
      </x:c>
      <x:c r="R163" s="109" t="n">
        <x:v>1</x:v>
      </x:c>
      <x:c r="S163" s="109" t="n">
        <x:v>0</x:v>
      </x:c>
      <x:c r="T163" s="109" t="n">
        <x:v>1.7</x:v>
      </x:c>
      <x:c r="U163" s="109" t="n">
        <x:v>3.1</x:v>
      </x:c>
      <x:c r="V163" s="109" t="n">
        <x:v>2.3</x:v>
      </x:c>
      <x:c r="W163" s="109" t="n">
        <x:f>AVERAGE(E163:V163)</x:f>
        <x:v>3.3529411764705883</x:v>
      </x:c>
      <x:c r="X163" s="109" t="n">
        <x:f>MEDIAN(E163:V163)</x:f>
        <x:v>2.3</x:v>
      </x:c>
      <x:c r="Y163" s="109" t="n">
        <x:f>PERCENTILE.INC(E163:V163,0.25)</x:f>
        <x:v>1</x:v>
      </x:c>
      <x:c r="Z163" s="109" t="n">
        <x:f>STDEV.P(E163:V163)</x:f>
        <x:v>3.298862129504804</x:v>
      </x:c>
      <x:c r="AA163" s="173" t="n">
        <x:f>IF(W163=0,"",Z163/ABS(W163))</x:f>
        <x:v>0.9838711614312573</x:v>
      </x:c>
      <x:c r="AB163" s="173" t="n">
        <x:f>IF(W163=0,0,(COUNTIF(E163:V163,"&lt;"&amp;0.5*W163)-COUNTBLANK(E163:V163))/COUNT(E163:V163))</x:f>
        <x:v>0.4117647058823529</x:v>
      </x:c>
      <x:c r="AC163" s="109" t="n">
        <x:f>SUM(E163:V163)</x:f>
        <x:v>57</x:v>
      </x:c>
    </x:row>
    <x:row r="164">
      <x:c r="A164" s="108" t="str">
        <x:v>WR</x:v>
      </x:c>
      <x:c r="B164" s="108" t="str">
        <x:v>Andrei Iosivas</x:v>
      </x:c>
      <x:c r="C164" s="108" t="str">
        <x:v>CIN</x:v>
      </x:c>
      <x:c r="D164" s="108" t="n">
        <x:v>10</x:v>
      </x:c>
      <x:c r="E164" s="109" t="n">
        <x:v>0</x:v>
      </x:c>
      <x:c r="F164" s="109" t="n">
        <x:v>1.7</x:v>
      </x:c>
      <x:c r="G164" s="109" t="n">
        <x:v>0</x:v>
      </x:c>
      <x:c r="H164" s="109" t="n">
        <x:v>3.2</x:v>
      </x:c>
      <x:c r="I164" s="109" t="n">
        <x:v>10.7</x:v>
      </x:c>
      <x:c r="J164" s="109" t="n">
        <x:v>1</x:v>
      </x:c>
      <x:c r="K164" s="109" t="n">
        <x:v>6.4</x:v>
      </x:c>
      <x:c r="L164" s="109" t="n">
        <x:v>0</x:v>
      </x:c>
      <x:c r="M164" s="109" t="n">
        <x:v>15.5</x:v>
      </x:c>
      <x:c r="N164" s="109"/>
      <x:c r="O164" s="109" t="n">
        <x:v>3.5</x:v>
      </x:c>
      <x:c r="P164" s="109" t="n">
        <x:v>8.6</x:v>
      </x:c>
      <x:c r="Q164" s="109" t="n">
        <x:v>9.4</x:v>
      </x:c>
      <x:c r="R164" s="109" t="n">
        <x:v>2.7</x:v>
      </x:c>
      <x:c r="S164" s="109" t="n">
        <x:v>0</x:v>
      </x:c>
      <x:c r="T164" s="109" t="n">
        <x:v>2.6</x:v>
      </x:c>
      <x:c r="U164" s="109" t="n">
        <x:v>6.1</x:v>
      </x:c>
      <x:c r="V164" s="109" t="n">
        <x:v>2</x:v>
      </x:c>
      <x:c r="W164" s="109" t="n">
        <x:f>AVERAGE(E164:V164)</x:f>
        <x:v>4.317647058823529</x:v>
      </x:c>
      <x:c r="X164" s="109" t="n">
        <x:f>MEDIAN(E164:V164)</x:f>
        <x:v>2.7</x:v>
      </x:c>
      <x:c r="Y164" s="109" t="n">
        <x:f>PERCENTILE.INC(E164:V164,0.25)</x:f>
        <x:v>1</x:v>
      </x:c>
      <x:c r="Z164" s="109" t="n">
        <x:f>STDEV.P(E164:V164)</x:f>
        <x:v>4.357176000457399</x:v>
      </x:c>
      <x:c r="AA164" s="173" t="n">
        <x:f>IF(W164=0,"",Z164/ABS(W164))</x:f>
        <x:v>1.0091552044656102</x:v>
      </x:c>
      <x:c r="AB164" s="173" t="n">
        <x:f>IF(W164=0,0,(COUNTIF(E164:V164,"&lt;"&amp;0.5*W164)-COUNTBLANK(E164:V164))/COUNT(E164:V164))</x:f>
        <x:v>0.4117647058823529</x:v>
      </x:c>
      <x:c r="AC164" s="109" t="n">
        <x:f>SUM(E164:V164)</x:f>
        <x:v>73.39999999999999</x:v>
      </x:c>
    </x:row>
    <x:row r="165">
      <x:c r="A165" s="108" t="str">
        <x:v>WR</x:v>
      </x:c>
      <x:c r="B165" s="108" t="str">
        <x:v>Dontayvion Wicks</x:v>
      </x:c>
      <x:c r="C165" s="108" t="str">
        <x:v>GB</x:v>
      </x:c>
      <x:c r="D165" s="108" t="n">
        <x:v>5</x:v>
      </x:c>
      <x:c r="E165" s="109" t="n">
        <x:v>4</x:v>
      </x:c>
      <x:c r="F165" s="109" t="n">
        <x:v>6.4</x:v>
      </x:c>
      <x:c r="G165" s="109" t="n">
        <x:v>3.1</x:v>
      </x:c>
      <x:c r="H165" s="109" t="n">
        <x:v>2.9</x:v>
      </x:c>
      <x:c r="I165" s="109"/>
      <x:c r="J165" s="109" t="n">
        <x:v>2.5</x:v>
      </x:c>
      <x:c r="K165" s="109" t="n">
        <x:v>1</x:v>
      </x:c>
      <x:c r="L165" s="109" t="n">
        <x:v>0</x:v>
      </x:c>
      <x:c r="M165" s="109" t="n">
        <x:v>0</x:v>
      </x:c>
      <x:c r="N165" s="109" t="n">
        <x:v>5.8</x:v>
      </x:c>
      <x:c r="O165" s="109" t="n">
        <x:v>1.4</x:v>
      </x:c>
      <x:c r="P165" s="109" t="n">
        <x:v>4.2</x:v>
      </x:c>
      <x:c r="Q165" s="109" t="n">
        <x:v>25</x:v>
      </x:c>
      <x:c r="R165" s="109" t="n">
        <x:v>0</x:v>
      </x:c>
      <x:c r="S165" s="109" t="n">
        <x:v>1.1</x:v>
      </x:c>
      <x:c r="T165" s="109" t="n">
        <x:v>2.2</x:v>
      </x:c>
      <x:c r="U165" s="109" t="n">
        <x:v>1.2</x:v>
      </x:c>
      <x:c r="V165" s="109" t="n">
        <x:v>0</x:v>
      </x:c>
      <x:c r="W165" s="109" t="n">
        <x:f>AVERAGE(E165:V165)</x:f>
        <x:v>3.5764705882352943</x:v>
      </x:c>
      <x:c r="X165" s="109" t="n">
        <x:f>MEDIAN(E165:V165)</x:f>
        <x:v>2.2</x:v>
      </x:c>
      <x:c r="Y165" s="109" t="n">
        <x:f>PERCENTILE.INC(E165:V165,0.25)</x:f>
        <x:v>1</x:v>
      </x:c>
      <x:c r="Z165" s="109" t="n">
        <x:f>STDEV.P(E165:V165)</x:f>
        <x:v>5.69060416639101</x:v>
      </x:c>
      <x:c r="AA165" s="173" t="n">
        <x:f>IF(W165=0,"",Z165/ABS(W165))</x:f>
        <x:v>1.5911228754711704</x:v>
      </x:c>
      <x:c r="AB165" s="173" t="n">
        <x:f>IF(W165=0,0,(COUNTIF(E165:V165,"&lt;"&amp;0.5*W165)-COUNTBLANK(E165:V165))/COUNT(E165:V165))</x:f>
        <x:v>0.47058823529411764</x:v>
      </x:c>
      <x:c r="AC165" s="109" t="n">
        <x:f>SUM(E165:V165)</x:f>
        <x:v>60.800000000000004</x:v>
      </x:c>
    </x:row>
    <x:row r="166">
      <x:c r="A166" s="108" t="str">
        <x:v>WR</x:v>
      </x:c>
      <x:c r="B166" s="108" t="str">
        <x:v>CeeDee Lamb</x:v>
      </x:c>
      <x:c r="C166" s="108" t="str">
        <x:v>DAL</x:v>
      </x:c>
      <x:c r="D166" s="108" t="n">
        <x:v>10</x:v>
      </x:c>
      <x:c r="E166" s="109" t="n">
        <x:v>14.5</x:v>
      </x:c>
      <x:c r="F166" s="109" t="n">
        <x:v>15.7</x:v>
      </x:c>
      <x:c r="G166" s="109" t="n">
        <x:v>0</x:v>
      </x:c>
      <x:c r="H166" s="109" t="n">
        <x:v>0</x:v>
      </x:c>
      <x:c r="I166" s="109" t="n">
        <x:v>0</x:v>
      </x:c>
      <x:c r="J166" s="109" t="n">
        <x:v>0</x:v>
      </x:c>
      <x:c r="K166" s="109" t="n">
        <x:v>21.5</x:v>
      </x:c>
      <x:c r="L166" s="109" t="n">
        <x:v>11.1</x:v>
      </x:c>
      <x:c r="M166" s="109" t="n">
        <x:v>12</x:v>
      </x:c>
      <x:c r="N166" s="109"/>
      <x:c r="O166" s="109" t="n">
        <x:v>15.1</x:v>
      </x:c>
      <x:c r="P166" s="109" t="n">
        <x:v>9.5</x:v>
      </x:c>
      <x:c r="Q166" s="109" t="n">
        <x:v>20.7</x:v>
      </x:c>
      <x:c r="R166" s="109" t="n">
        <x:v>15.1</x:v>
      </x:c>
      <x:c r="S166" s="109" t="n">
        <x:v>14.1</x:v>
      </x:c>
      <x:c r="T166" s="109" t="n">
        <x:v>8.1</x:v>
      </x:c>
      <x:c r="U166" s="109" t="n">
        <x:v>7.1</x:v>
      </x:c>
      <x:c r="V166" s="109" t="n">
        <x:v>0.9</x:v>
      </x:c>
      <x:c r="W166" s="109" t="n">
        <x:f>AVERAGE(E166:V166)</x:f>
        <x:v>9.729411764705883</x:v>
      </x:c>
      <x:c r="X166" s="109" t="n">
        <x:f>MEDIAN(E166:V166)</x:f>
        <x:v>11.1</x:v>
      </x:c>
      <x:c r="Y166" s="109" t="n">
        <x:f>PERCENTILE.INC(E166:V166,0.25)</x:f>
        <x:v>0.9</x:v>
      </x:c>
      <x:c r="Z166" s="109" t="n">
        <x:f>STDEV.P(E166:V166)</x:f>
        <x:v>7.142891547124262</x:v>
      </x:c>
      <x:c r="AA166" s="173" t="n">
        <x:f>IF(W166=0,"",Z166/ABS(W166))</x:f>
        <x:v>0.7341545120986241</x:v>
      </x:c>
      <x:c r="AB166" s="173" t="n">
        <x:f>IF(W166=0,0,(COUNTIF(E166:V166,"&lt;"&amp;0.5*W166)-COUNTBLANK(E166:V166))/COUNT(E166:V166))</x:f>
        <x:v>0.29411764705882354</x:v>
      </x:c>
      <x:c r="AC166" s="109" t="n">
        <x:f>SUM(E166:V166)</x:f>
        <x:v>165.4</x:v>
      </x:c>
    </x:row>
    <x:row r="167">
      <x:c r="A167" s="108" t="str">
        <x:v>WR</x:v>
      </x:c>
      <x:c r="B167" s="108" t="str">
        <x:v>Gunner Olszewski</x:v>
      </x:c>
      <x:c r="C167" s="108" t="str">
        <x:v>NYG</x:v>
      </x:c>
      <x:c r="D167" s="108" t="n">
        <x:v>14</x:v>
      </x:c>
      <x:c r="E167" s="109" t="n">
        <x:v>1.2</x:v>
      </x:c>
      <x:c r="F167" s="109" t="n">
        <x:v>2.77</x:v>
      </x:c>
      <x:c r="G167" s="109" t="n">
        <x:v>0.85</x:v>
      </x:c>
      <x:c r="H167" s="109" t="n">
        <x:v>0.7</x:v>
      </x:c>
      <x:c r="I167" s="109" t="n">
        <x:v>2.55</x:v>
      </x:c>
      <x:c r="J167" s="109" t="n">
        <x:v>4.49</x:v>
      </x:c>
      <x:c r="K167" s="109" t="n">
        <x:v>3.95</x:v>
      </x:c>
      <x:c r="L167" s="109" t="n">
        <x:v>2.82</x:v>
      </x:c>
      <x:c r="M167" s="109" t="n">
        <x:v>11.3</x:v>
      </x:c>
      <x:c r="N167" s="109" t="n">
        <x:v>0</x:v>
      </x:c>
      <x:c r="O167" s="109" t="n">
        <x:v>0.85</x:v>
      </x:c>
      <x:c r="P167" s="109" t="n">
        <x:v>8.08</x:v>
      </x:c>
      <x:c r="Q167" s="109" t="n">
        <x:v>-0.38</x:v>
      </x:c>
      <x:c r="R167" s="109"/>
      <x:c r="S167" s="109" t="n">
        <x:v>0</x:v>
      </x:c>
      <x:c r="T167" s="109" t="n">
        <x:v>2.38</x:v>
      </x:c>
      <x:c r="U167" s="109" t="n">
        <x:v>3.3</x:v>
      </x:c>
      <x:c r="V167" s="109" t="n">
        <x:v>15.55</x:v>
      </x:c>
      <x:c r="W167" s="109" t="n">
        <x:f>AVERAGE(E167:V167)</x:f>
        <x:v>3.5535294117647056</x:v>
      </x:c>
      <x:c r="X167" s="109" t="n">
        <x:f>MEDIAN(E167:V167)</x:f>
        <x:v>2.55</x:v>
      </x:c>
      <x:c r="Y167" s="109" t="n">
        <x:f>PERCENTILE.INC(E167:V167,0.25)</x:f>
        <x:v>0.85</x:v>
      </x:c>
      <x:c r="Z167" s="109" t="n">
        <x:f>STDEV.P(E167:V167)</x:f>
        <x:v>4.1873365691394575</x:v>
      </x:c>
      <x:c r="AA167" s="173" t="n">
        <x:f>IF(W167=0,"",Z167/ABS(W167))</x:f>
        <x:v>1.1783599019263498</x:v>
      </x:c>
      <x:c r="AB167" s="173" t="n">
        <x:f>IF(W167=0,0,(COUNTIF(E167:V167,"&lt;"&amp;0.5*W167)-COUNTBLANK(E167:V167))/COUNT(E167:V167))</x:f>
        <x:v>0.4117647058823529</x:v>
      </x:c>
      <x:c r="AC167" s="109" t="n">
        <x:f>SUM(E167:V167)</x:f>
        <x:v>60.41</x:v>
      </x:c>
    </x:row>
    <x:row r="168">
      <x:c r="A168" s="108" t="str">
        <x:v>WR</x:v>
      </x:c>
      <x:c r="B168" s="108" t="str">
        <x:v>Isaiah Bond</x:v>
      </x:c>
      <x:c r="C168" s="108" t="str">
        <x:v>CLE</x:v>
      </x:c>
      <x:c r="D168" s="108" t="n">
        <x:v>9</x:v>
      </x:c>
      <x:c r="E168" s="109" t="n">
        <x:v>1</x:v>
      </x:c>
      <x:c r="F168" s="109" t="n">
        <x:v>2</x:v>
      </x:c>
      <x:c r="G168" s="109" t="n">
        <x:v>2.6</x:v>
      </x:c>
      <x:c r="H168" s="109" t="n">
        <x:v>7.3</x:v>
      </x:c>
      <x:c r="I168" s="109" t="n">
        <x:v>3.9</x:v>
      </x:c>
      <x:c r="J168" s="109" t="n">
        <x:v>2.35</x:v>
      </x:c>
      <x:c r="K168" s="109" t="n">
        <x:v>0</x:v>
      </x:c>
      <x:c r="L168" s="109" t="n">
        <x:v>0</x:v>
      </x:c>
      <x:c r="M168" s="109"/>
      <x:c r="N168" s="109" t="n">
        <x:v>0</x:v>
      </x:c>
      <x:c r="O168" s="109" t="n">
        <x:v>0.8</x:v>
      </x:c>
      <x:c r="P168" s="109" t="n">
        <x:v>6.8</x:v>
      </x:c>
      <x:c r="Q168" s="109" t="n">
        <x:v>3.2</x:v>
      </x:c>
      <x:c r="R168" s="109" t="n">
        <x:v>0</x:v>
      </x:c>
      <x:c r="S168" s="109" t="n">
        <x:v>9.9</x:v>
      </x:c>
      <x:c r="T168" s="109" t="n">
        <x:v>2</x:v>
      </x:c>
      <x:c r="U168" s="109" t="n">
        <x:v>2.1</x:v>
      </x:c>
      <x:c r="V168" s="109" t="n">
        <x:v>2.2</x:v>
      </x:c>
      <x:c r="W168" s="109" t="n">
        <x:f>AVERAGE(E168:V168)</x:f>
        <x:v>2.7147058823529413</x:v>
      </x:c>
      <x:c r="X168" s="109" t="n">
        <x:f>MEDIAN(E168:V168)</x:f>
        <x:v>2.1</x:v>
      </x:c>
      <x:c r="Y168" s="109" t="n">
        <x:f>PERCENTILE.INC(E168:V168,0.25)</x:f>
        <x:v>0.8</x:v>
      </x:c>
      <x:c r="Z168" s="109" t="n">
        <x:f>STDEV.P(E168:V168)</x:f>
        <x:v>2.7533810608842333</x:v>
      </x:c>
      <x:c r="AA168" s="173" t="n">
        <x:f>IF(W168=0,"",Z168/ABS(W168))</x:f>
        <x:v>1.0142465446377458</x:v>
      </x:c>
      <x:c r="AB168" s="173" t="n">
        <x:f>IF(W168=0,0,(COUNTIF(E168:V168,"&lt;"&amp;0.5*W168)-COUNTBLANK(E168:V168))/COUNT(E168:V168))</x:f>
        <x:v>0.35294117647058826</x:v>
      </x:c>
      <x:c r="AC168" s="109" t="n">
        <x:f>SUM(E168:V168)</x:f>
        <x:v>46.150000000000006</x:v>
      </x:c>
    </x:row>
    <x:row r="169">
      <x:c r="A169" s="108" t="str">
        <x:v>WR</x:v>
      </x:c>
      <x:c r="B169" s="108" t="str">
        <x:v>Kalif Raymond</x:v>
      </x:c>
      <x:c r="C169" s="108" t="str">
        <x:v>DET</x:v>
      </x:c>
      <x:c r="D169" s="108" t="n">
        <x:v>8</x:v>
      </x:c>
      <x:c r="E169" s="109" t="n">
        <x:v>3.55</x:v>
      </x:c>
      <x:c r="F169" s="109" t="n">
        <x:v>3.75</x:v>
      </x:c>
      <x:c r="G169" s="109" t="n">
        <x:v>1.8</x:v>
      </x:c>
      <x:c r="H169" s="109" t="n">
        <x:v>13</x:v>
      </x:c>
      <x:c r="I169" s="109" t="n">
        <x:v>0.55</x:v>
      </x:c>
      <x:c r="J169" s="109" t="n">
        <x:v>0</x:v>
      </x:c>
      <x:c r="K169" s="109" t="n">
        <x:v>3.2</x:v>
      </x:c>
      <x:c r="L169" s="109"/>
      <x:c r="M169" s="109" t="n">
        <x:v>0.75</x:v>
      </x:c>
      <x:c r="N169" s="109" t="n">
        <x:v>8.68</x:v>
      </x:c>
      <x:c r="O169" s="109" t="n">
        <x:v>1.23</x:v>
      </x:c>
      <x:c r="P169" s="109" t="n">
        <x:v>6.02</x:v>
      </x:c>
      <x:c r="Q169" s="109" t="n">
        <x:v>0</x:v>
      </x:c>
      <x:c r="R169" s="109" t="n">
        <x:v>0</x:v>
      </x:c>
      <x:c r="S169" s="109" t="n">
        <x:v>3.25</x:v>
      </x:c>
      <x:c r="T169" s="109" t="n">
        <x:v>15</x:v>
      </x:c>
      <x:c r="U169" s="109" t="n">
        <x:v>2.55</x:v>
      </x:c>
      <x:c r="V169" s="109" t="n">
        <x:v>8.35</x:v>
      </x:c>
      <x:c r="W169" s="109" t="n">
        <x:f>AVERAGE(E169:V169)</x:f>
        <x:v>4.2164705882352935</x:v>
      </x:c>
      <x:c r="X169" s="109" t="n">
        <x:f>MEDIAN(E169:V169)</x:f>
        <x:v>3.2</x:v>
      </x:c>
      <x:c r="Y169" s="109" t="n">
        <x:f>PERCENTILE.INC(E169:V169,0.25)</x:f>
        <x:v>0.75</x:v>
      </x:c>
      <x:c r="Z169" s="109" t="n">
        <x:f>STDEV.P(E169:V169)</x:f>
        <x:v>4.4235771274022255</x:v>
      </x:c>
      <x:c r="AA169" s="173" t="n">
        <x:f>IF(W169=0,"",Z169/ABS(W169))</x:f>
        <x:v>1.049118459344836</x:v>
      </x:c>
      <x:c r="AB169" s="173" t="n">
        <x:f>IF(W169=0,0,(COUNTIF(E169:V169,"&lt;"&amp;0.5*W169)-COUNTBLANK(E169:V169))/COUNT(E169:V169))</x:f>
        <x:v>0.4117647058823529</x:v>
      </x:c>
      <x:c r="AC169" s="109" t="n">
        <x:f>SUM(E169:V169)</x:f>
        <x:v>71.67999999999999</x:v>
      </x:c>
    </x:row>
    <x:row r="170">
      <x:c r="A170" s="108" t="str">
        <x:v>WR</x:v>
      </x:c>
      <x:c r="B170" s="108" t="str">
        <x:v>Calvin Austin III</x:v>
      </x:c>
      <x:c r="C170" s="108" t="str">
        <x:v>PIT</x:v>
      </x:c>
      <x:c r="D170" s="108" t="n">
        <x:v>5</x:v>
      </x:c>
      <x:c r="E170" s="109" t="n">
        <x:v>15</x:v>
      </x:c>
      <x:c r="F170" s="109" t="n">
        <x:v>2.7</x:v>
      </x:c>
      <x:c r="G170" s="109" t="n">
        <x:v>10.9</x:v>
      </x:c>
      <x:c r="H170" s="109" t="n">
        <x:v>2.75</x:v>
      </x:c>
      <x:c r="I170" s="109"/>
      <x:c r="J170" s="109" t="n">
        <x:v>0</x:v>
      </x:c>
      <x:c r="K170" s="109" t="n">
        <x:v>0</x:v>
      </x:c>
      <x:c r="L170" s="109" t="n">
        <x:v>4.8</x:v>
      </x:c>
      <x:c r="M170" s="109" t="n">
        <x:v>8.1</x:v>
      </x:c>
      <x:c r="N170" s="109" t="n">
        <x:v>2.4</x:v>
      </x:c>
      <x:c r="O170" s="109" t="n">
        <x:v>1.75</x:v>
      </x:c>
      <x:c r="P170" s="109" t="n">
        <x:v>6.8</x:v>
      </x:c>
      <x:c r="Q170" s="109" t="n">
        <x:v>0.6</x:v>
      </x:c>
      <x:c r="R170" s="109" t="n">
        <x:v>4.2</x:v>
      </x:c>
      <x:c r="S170" s="109" t="n">
        <x:v>0.45</x:v>
      </x:c>
      <x:c r="T170" s="109" t="n">
        <x:v>1.75</x:v>
      </x:c>
      <x:c r="U170" s="109" t="n">
        <x:v>0</x:v>
      </x:c>
      <x:c r="V170" s="109" t="n">
        <x:v>13.55</x:v>
      </x:c>
      <x:c r="W170" s="109" t="n">
        <x:f>AVERAGE(E170:V170)</x:f>
        <x:v>4.455882352941177</x:v>
      </x:c>
      <x:c r="X170" s="109" t="n">
        <x:f>MEDIAN(E170:V170)</x:f>
        <x:v>2.7</x:v>
      </x:c>
      <x:c r="Y170" s="109" t="n">
        <x:f>PERCENTILE.INC(E170:V170,0.25)</x:f>
        <x:v>0.6</x:v>
      </x:c>
      <x:c r="Z170" s="109" t="n">
        <x:f>STDEV.P(E170:V170)</x:f>
        <x:v>4.663433548014532</x:v>
      </x:c>
      <x:c r="AA170" s="173" t="n">
        <x:f>IF(W170=0,"",Z170/ABS(W170))</x:f>
        <x:v>1.0465791460890699</x:v>
      </x:c>
      <x:c r="AB170" s="173" t="n">
        <x:f>IF(W170=0,0,(COUNTIF(E170:V170,"&lt;"&amp;0.5*W170)-COUNTBLANK(E170:V170))/COUNT(E170:V170))</x:f>
        <x:v>0.4117647058823529</x:v>
      </x:c>
      <x:c r="AC170" s="109" t="n">
        <x:f>SUM(E170:V170)</x:f>
        <x:v>75.75</x:v>
      </x:c>
    </x:row>
    <x:row r="171">
      <x:c r="A171" s="108" t="str">
        <x:v>WR</x:v>
      </x:c>
      <x:c r="B171" s="108" t="str">
        <x:v>Xavier Legette</x:v>
      </x:c>
      <x:c r="C171" s="108" t="str">
        <x:v>CAR</x:v>
      </x:c>
      <x:c r="D171" s="108" t="n">
        <x:v>14</x:v>
      </x:c>
      <x:c r="E171" s="109" t="n">
        <x:v>2.5</x:v>
      </x:c>
      <x:c r="F171" s="109" t="n">
        <x:v>0.3</x:v>
      </x:c>
      <x:c r="G171" s="109" t="n">
        <x:v>0</x:v>
      </x:c>
      <x:c r="H171" s="109" t="n">
        <x:v>0</x:v>
      </x:c>
      <x:c r="I171" s="109" t="n">
        <x:v>10.1</x:v>
      </x:c>
      <x:c r="J171" s="109" t="n">
        <x:v>1.6</x:v>
      </x:c>
      <x:c r="K171" s="109" t="n">
        <x:v>19.7</x:v>
      </x:c>
      <x:c r="L171" s="109" t="n">
        <x:v>2.7</x:v>
      </x:c>
      <x:c r="M171" s="109" t="n">
        <x:v>2.7</x:v>
      </x:c>
      <x:c r="N171" s="109" t="n">
        <x:v>0</x:v>
      </x:c>
      <x:c r="O171" s="109" t="n">
        <x:v>16.3</x:v>
      </x:c>
      <x:c r="P171" s="109" t="n">
        <x:v>3.7</x:v>
      </x:c>
      <x:c r="Q171" s="109" t="n">
        <x:v>0.6</x:v>
      </x:c>
      <x:c r="R171" s="109"/>
      <x:c r="S171" s="109" t="n">
        <x:v>4.9</x:v>
      </x:c>
      <x:c r="T171" s="109" t="n">
        <x:v>1.7</x:v>
      </x:c>
      <x:c r="U171" s="109" t="n">
        <x:v>0.8</x:v>
      </x:c>
      <x:c r="V171" s="109" t="n">
        <x:v>3.7</x:v>
      </x:c>
      <x:c r="W171" s="109" t="n">
        <x:f>AVERAGE(E171:V171)</x:f>
        <x:v>4.194117647058825</x:v>
      </x:c>
      <x:c r="X171" s="109" t="n">
        <x:f>MEDIAN(E171:V171)</x:f>
        <x:v>2.5</x:v>
      </x:c>
      <x:c r="Y171" s="109" t="n">
        <x:f>PERCENTILE.INC(E171:V171,0.25)</x:f>
        <x:v>0.6</x:v>
      </x:c>
      <x:c r="Z171" s="109" t="n">
        <x:f>STDEV.P(E171:V171)</x:f>
        <x:v>5.612535401511334</x:v>
      </x:c>
      <x:c r="AA171" s="173" t="n">
        <x:f>IF(W171=0,"",Z171/ABS(W171))</x:f>
        <x:v>1.33819217146834</x:v>
      </x:c>
      <x:c r="AB171" s="173" t="n">
        <x:f>IF(W171=0,0,(COUNTIF(E171:V171,"&lt;"&amp;0.5*W171)-COUNTBLANK(E171:V171))/COUNT(E171:V171))</x:f>
        <x:v>0.47058823529411764</x:v>
      </x:c>
      <x:c r="AC171" s="109" t="n">
        <x:f>SUM(E171:V171)</x:f>
        <x:v>71.30000000000001</x:v>
      </x:c>
    </x:row>
    <x:row r="172">
      <x:c r="A172" s="108" t="str">
        <x:v>WR</x:v>
      </x:c>
      <x:c r="B172" s="108" t="str">
        <x:v>Charlie Jones</x:v>
      </x:c>
      <x:c r="C172" s="108" t="str">
        <x:v>CIN</x:v>
      </x:c>
      <x:c r="D172" s="108" t="n">
        <x:v>10</x:v>
      </x:c>
      <x:c r="E172" s="109" t="n">
        <x:v>3.25</x:v>
      </x:c>
      <x:c r="F172" s="109" t="n">
        <x:v>0.55</x:v>
      </x:c>
      <x:c r="G172" s="109" t="n">
        <x:v>2.28</x:v>
      </x:c>
      <x:c r="H172" s="109" t="n">
        <x:v>2.24</x:v>
      </x:c>
      <x:c r="I172" s="109" t="n">
        <x:v>4.92</x:v>
      </x:c>
      <x:c r="J172" s="109" t="n">
        <x:v>3.35</x:v>
      </x:c>
      <x:c r="K172" s="109" t="n">
        <x:v>0</x:v>
      </x:c>
      <x:c r="L172" s="109" t="n">
        <x:v>3.42</x:v>
      </x:c>
      <x:c r="M172" s="109" t="n">
        <x:v>11.97</x:v>
      </x:c>
      <x:c r="N172" s="109"/>
      <x:c r="O172" s="109" t="n">
        <x:v>4.34</x:v>
      </x:c>
      <x:c r="P172" s="109" t="n">
        <x:v>2.86</x:v>
      </x:c>
      <x:c r="Q172" s="109" t="n">
        <x:v>0.45</x:v>
      </x:c>
      <x:c r="R172" s="109" t="n">
        <x:v>4.14</x:v>
      </x:c>
      <x:c r="S172" s="109" t="n">
        <x:v>0.5</x:v>
      </x:c>
      <x:c r="T172" s="109" t="n">
        <x:v>0</x:v>
      </x:c>
      <x:c r="U172" s="109" t="n">
        <x:v>0</x:v>
      </x:c>
      <x:c r="V172" s="109" t="n">
        <x:v>0</x:v>
      </x:c>
      <x:c r="W172" s="109" t="n">
        <x:f>AVERAGE(E172:V172)</x:f>
        <x:v>2.6041176470588234</x:v>
      </x:c>
      <x:c r="X172" s="109" t="n">
        <x:f>MEDIAN(E172:V172)</x:f>
        <x:v>2.28</x:v>
      </x:c>
      <x:c r="Y172" s="109" t="n">
        <x:f>PERCENTILE.INC(E172:V172,0.25)</x:f>
        <x:v>0.45</x:v>
      </x:c>
      <x:c r="Z172" s="109" t="n">
        <x:f>STDEV.P(E172:V172)</x:f>
        <x:v>2.8780120974759633</x:v>
      </x:c>
      <x:c r="AA172" s="173" t="n">
        <x:f>IF(W172=0,"",Z172/ABS(W172))</x:f>
        <x:v>1.105177448770982</x:v>
      </x:c>
      <x:c r="AB172" s="173" t="n">
        <x:f>IF(W172=0,0,(COUNTIF(E172:V172,"&lt;"&amp;0.5*W172)-COUNTBLANK(E172:V172))/COUNT(E172:V172))</x:f>
        <x:v>0.4117647058823529</x:v>
      </x:c>
      <x:c r="AC172" s="109" t="n">
        <x:f>SUM(E172:V172)</x:f>
        <x:v>44.269999999999996</x:v>
      </x:c>
    </x:row>
    <x:row r="173">
      <x:c r="A173" s="108" t="str">
        <x:v>WR</x:v>
      </x:c>
      <x:c r="B173" s="108" t="str">
        <x:v>Matthew Golden</x:v>
      </x:c>
      <x:c r="C173" s="108" t="str">
        <x:v>GB</x:v>
      </x:c>
      <x:c r="D173" s="108" t="n">
        <x:v>5</x:v>
      </x:c>
      <x:c r="E173" s="109" t="n">
        <x:v>3.15</x:v>
      </x:c>
      <x:c r="F173" s="109" t="n">
        <x:v>1.4</x:v>
      </x:c>
      <x:c r="G173" s="109" t="n">
        <x:v>8.5</x:v>
      </x:c>
      <x:c r="H173" s="109" t="n">
        <x:v>9.35</x:v>
      </x:c>
      <x:c r="I173" s="109"/>
      <x:c r="J173" s="109" t="n">
        <x:v>11.7</x:v>
      </x:c>
      <x:c r="K173" s="109" t="n">
        <x:v>5.7</x:v>
      </x:c>
      <x:c r="L173" s="109" t="n">
        <x:v>1.9</x:v>
      </x:c>
      <x:c r="M173" s="109" t="n">
        <x:v>1.9</x:v>
      </x:c>
      <x:c r="N173" s="109" t="n">
        <x:v>0</x:v>
      </x:c>
      <x:c r="O173" s="109" t="n">
        <x:v>2.9</x:v>
      </x:c>
      <x:c r="P173" s="109" t="n">
        <x:v>0</x:v>
      </x:c>
      <x:c r="Q173" s="109" t="n">
        <x:v>0</x:v>
      </x:c>
      <x:c r="R173" s="109" t="n">
        <x:v>0</x:v>
      </x:c>
      <x:c r="S173" s="109" t="n">
        <x:v>7</x:v>
      </x:c>
      <x:c r="T173" s="109" t="n">
        <x:v>0.4</x:v>
      </x:c>
      <x:c r="U173" s="109" t="n">
        <x:v>1.7</x:v>
      </x:c>
      <x:c r="V173" s="109" t="n">
        <x:v>1.3</x:v>
      </x:c>
      <x:c r="W173" s="109" t="n">
        <x:f>AVERAGE(E173:V173)</x:f>
        <x:v>3.3470588235294114</x:v>
      </x:c>
      <x:c r="X173" s="109" t="n">
        <x:f>MEDIAN(E173:V173)</x:f>
        <x:v>1.9</x:v>
      </x:c>
      <x:c r="Y173" s="109" t="n">
        <x:f>PERCENTILE.INC(E173:V173,0.25)</x:f>
        <x:v>0.4</x:v>
      </x:c>
      <x:c r="Z173" s="109" t="n">
        <x:f>STDEV.P(E173:V173)</x:f>
        <x:v>3.596218217395606</x:v>
      </x:c>
      <x:c r="AA173" s="173" t="n">
        <x:f>IF(W173=0,"",Z173/ABS(W173))</x:f>
        <x:v>1.0744412951797067</x:v>
      </x:c>
      <x:c r="AB173" s="173" t="n">
        <x:f>IF(W173=0,0,(COUNTIF(E173:V173,"&lt;"&amp;0.5*W173)-COUNTBLANK(E173:V173))/COUNT(E173:V173))</x:f>
        <x:v>0.4117647058823529</x:v>
      </x:c>
      <x:c r="AC173" s="109" t="n">
        <x:f>SUM(E173:V173)</x:f>
        <x:v>56.89999999999999</x:v>
      </x:c>
    </x:row>
    <x:row r="174">
      <x:c r="A174" s="108" t="str">
        <x:v>WR</x:v>
      </x:c>
      <x:c r="B174" s="108" t="str">
        <x:v>Kameron Johnson</x:v>
      </x:c>
      <x:c r="C174" s="108" t="str">
        <x:v>TB</x:v>
      </x:c>
      <x:c r="D174" s="108" t="n">
        <x:v>9</x:v>
      </x:c>
      <x:c r="E174" s="109" t="n">
        <x:v>2.7</x:v>
      </x:c>
      <x:c r="F174" s="109" t="n">
        <x:v>1.56</x:v>
      </x:c>
      <x:c r="G174" s="109" t="n">
        <x:v>-0.05</x:v>
      </x:c>
      <x:c r="H174" s="109" t="n">
        <x:v>6.26</x:v>
      </x:c>
      <x:c r="I174" s="109" t="n">
        <x:v>0.2</x:v>
      </x:c>
      <x:c r="J174" s="109" t="n">
        <x:v>15.63</x:v>
      </x:c>
      <x:c r="K174" s="109" t="n">
        <x:v>4.55</x:v>
      </x:c>
      <x:c r="L174" s="109" t="n">
        <x:v>0.4</x:v>
      </x:c>
      <x:c r="M174" s="109"/>
      <x:c r="N174" s="109" t="n">
        <x:v>3.14</x:v>
      </x:c>
      <x:c r="O174" s="109" t="n">
        <x:v>4.08</x:v>
      </x:c>
      <x:c r="P174" s="109" t="n">
        <x:v>0.75</x:v>
      </x:c>
      <x:c r="Q174" s="109" t="n">
        <x:v>2.53</x:v>
      </x:c>
      <x:c r="R174" s="109" t="n">
        <x:v>0.67</x:v>
      </x:c>
      <x:c r="S174" s="109" t="n">
        <x:v>0.4</x:v>
      </x:c>
      <x:c r="T174" s="109" t="n">
        <x:v>3.38</x:v>
      </x:c>
      <x:c r="U174" s="109" t="n">
        <x:v>3.6</x:v>
      </x:c>
      <x:c r="V174" s="109" t="n">
        <x:v>0</x:v>
      </x:c>
      <x:c r="W174" s="109" t="n">
        <x:f>AVERAGE(E174:V174)</x:f>
        <x:v>2.929411764705882</x:v>
      </x:c>
      <x:c r="X174" s="109" t="n">
        <x:f>MEDIAN(E174:V174)</x:f>
        <x:v>2.53</x:v>
      </x:c>
      <x:c r="Y174" s="109" t="n">
        <x:f>PERCENTILE.INC(E174:V174,0.25)</x:f>
        <x:v>0.4</x:v>
      </x:c>
      <x:c r="Z174" s="109" t="n">
        <x:f>STDEV.P(E174:V174)</x:f>
        <x:v>3.6516804682521897</x:v>
      </x:c>
      <x:c r="AA174" s="173" t="n">
        <x:f>IF(W174=0,"",Z174/ABS(W174))</x:f>
        <x:v>1.2465575895640006</x:v>
      </x:c>
      <x:c r="AB174" s="173" t="n">
        <x:f>IF(W174=0,0,(COUNTIF(E174:V174,"&lt;"&amp;0.5*W174)-COUNTBLANK(E174:V174))/COUNT(E174:V174))</x:f>
        <x:v>0.4117647058823529</x:v>
      </x:c>
      <x:c r="AC174" s="109" t="n">
        <x:f>SUM(E174:V174)</x:f>
        <x:v>49.8</x:v>
      </x:c>
    </x:row>
    <x:row r="175">
      <x:c r="A175" s="108" t="str">
        <x:v>WR</x:v>
      </x:c>
      <x:c r="B175" s="108" t="str">
        <x:v>Xavier Worthy</x:v>
      </x:c>
      <x:c r="C175" s="108" t="str">
        <x:v>KC</x:v>
      </x:c>
      <x:c r="D175" s="108" t="n">
        <x:v>10</x:v>
      </x:c>
      <x:c r="E175" s="109" t="n">
        <x:v>0</x:v>
      </x:c>
      <x:c r="F175" s="109" t="n">
        <x:v>0</x:v>
      </x:c>
      <x:c r="G175" s="109" t="n">
        <x:v>0</x:v>
      </x:c>
      <x:c r="H175" s="109" t="n">
        <x:v>14.6</x:v>
      </x:c>
      <x:c r="I175" s="109" t="n">
        <x:v>8.1</x:v>
      </x:c>
      <x:c r="J175" s="109" t="n">
        <x:v>9.6</x:v>
      </x:c>
      <x:c r="K175" s="109" t="n">
        <x:v>6.3</x:v>
      </x:c>
      <x:c r="L175" s="109" t="n">
        <x:v>7.8</x:v>
      </x:c>
      <x:c r="M175" s="109" t="n">
        <x:v>4.5</x:v>
      </x:c>
      <x:c r="N175" s="109"/>
      <x:c r="O175" s="109" t="n">
        <x:v>4</x:v>
      </x:c>
      <x:c r="P175" s="109" t="n">
        <x:v>7.9</x:v>
      </x:c>
      <x:c r="Q175" s="109" t="n">
        <x:v>9.4</x:v>
      </x:c>
      <x:c r="R175" s="109" t="n">
        <x:v>7</x:v>
      </x:c>
      <x:c r="S175" s="109" t="n">
        <x:v>4.5</x:v>
      </x:c>
      <x:c r="T175" s="109" t="n">
        <x:v>5.1</x:v>
      </x:c>
      <x:c r="U175" s="109" t="n">
        <x:v>0.1</x:v>
      </x:c>
      <x:c r="V175" s="109" t="n">
        <x:v>0</x:v>
      </x:c>
      <x:c r="W175" s="109" t="n">
        <x:f>AVERAGE(E175:V175)</x:f>
        <x:v>5.229411764705881</x:v>
      </x:c>
      <x:c r="X175" s="109" t="n">
        <x:f>MEDIAN(E175:V175)</x:f>
        <x:v>5.1</x:v>
      </x:c>
      <x:c r="Y175" s="109" t="n">
        <x:f>PERCENTILE.INC(E175:V175,0.25)</x:f>
        <x:v>0.1</x:v>
      </x:c>
      <x:c r="Z175" s="109" t="n">
        <x:f>STDEV.P(E175:V175)</x:f>
        <x:v>4.122073251323095</x:v>
      </x:c>
      <x:c r="AA175" s="173" t="n">
        <x:f>IF(W175=0,"",Z175/ABS(W175))</x:f>
        <x:v>0.7882479783182524</x:v>
      </x:c>
      <x:c r="AB175" s="173" t="n">
        <x:f>IF(W175=0,0,(COUNTIF(E175:V175,"&lt;"&amp;0.5*W175)-COUNTBLANK(E175:V175))/COUNT(E175:V175))</x:f>
        <x:v>0.29411764705882354</x:v>
      </x:c>
      <x:c r="AC175" s="109" t="n">
        <x:f>SUM(E175:V175)</x:f>
        <x:v>88.89999999999998</x:v>
      </x:c>
    </x:row>
    <x:row r="176">
      <x:c r="A176" s="108" t="str">
        <x:v>WR</x:v>
      </x:c>
      <x:c r="B176" s="108" t="str">
        <x:v>John Metchie III</x:v>
      </x:c>
      <x:c r="C176" s="108" t="str">
        <x:v>NYJ/PHI</x:v>
      </x:c>
      <x:c r="D176" s="108" t="n">
        <x:v>9</x:v>
      </x:c>
      <x:c r="E176" s="109" t="n">
        <x:v>0.6</x:v>
      </x:c>
      <x:c r="F176" s="109" t="n">
        <x:v>2.57</x:v>
      </x:c>
      <x:c r="G176" s="109" t="n">
        <x:v>2.23</x:v>
      </x:c>
      <x:c r="H176" s="109" t="n">
        <x:v>2</x:v>
      </x:c>
      <x:c r="I176" s="109" t="n">
        <x:v>0</x:v>
      </x:c>
      <x:c r="J176" s="109" t="n">
        <x:v>0</x:v>
      </x:c>
      <x:c r="K176" s="109" t="n">
        <x:v>0</x:v>
      </x:c>
      <x:c r="L176" s="109" t="n">
        <x:v>0</x:v>
      </x:c>
      <x:c r="M176" s="109"/>
      <x:c r="N176" s="109" t="n">
        <x:v>0.1</x:v>
      </x:c>
      <x:c r="O176" s="109" t="n">
        <x:v>12</x:v>
      </x:c>
      <x:c r="P176" s="109" t="n">
        <x:v>15.5</x:v>
      </x:c>
      <x:c r="Q176" s="109" t="n">
        <x:v>3.7</x:v>
      </x:c>
      <x:c r="R176" s="109" t="n">
        <x:v>5.4</x:v>
      </x:c>
      <x:c r="S176" s="109" t="n">
        <x:v>4.9</x:v>
      </x:c>
      <x:c r="T176" s="109" t="n">
        <x:v>0.9</x:v>
      </x:c>
      <x:c r="U176" s="109" t="n">
        <x:v>5.6</x:v>
      </x:c>
      <x:c r="V176" s="109" t="n">
        <x:v>3.5</x:v>
      </x:c>
      <x:c r="W176" s="109" t="n">
        <x:f>AVERAGE(E176:V176)</x:f>
        <x:v>3.4705882352941178</x:v>
      </x:c>
      <x:c r="X176" s="109" t="n">
        <x:f>MEDIAN(E176:V176)</x:f>
        <x:v>2.23</x:v>
      </x:c>
      <x:c r="Y176" s="109" t="n">
        <x:f>PERCENTILE.INC(E176:V176,0.25)</x:f>
        <x:v>0.1</x:v>
      </x:c>
      <x:c r="Z176" s="109" t="n">
        <x:f>STDEV.P(E176:V176)</x:f>
        <x:v>4.247581277951343</x:v>
      </x:c>
      <x:c r="AA176" s="173" t="n">
        <x:f>IF(W176=0,"",Z176/ABS(W176))</x:f>
        <x:v>1.2238793512741157</x:v>
      </x:c>
      <x:c r="AB176" s="173" t="n">
        <x:f>IF(W176=0,0,(COUNTIF(E176:V176,"&lt;"&amp;0.5*W176)-COUNTBLANK(E176:V176))/COUNT(E176:V176))</x:f>
        <x:v>0.4117647058823529</x:v>
      </x:c>
      <x:c r="AC176" s="109" t="n">
        <x:f>SUM(E176:V176)</x:f>
        <x:v>59</x:v>
      </x:c>
    </x:row>
    <x:row r="177">
      <x:c r="A177" s="108" t="str">
        <x:v>WR</x:v>
      </x:c>
      <x:c r="B177" s="108" t="str">
        <x:v>Quentin Johnston</x:v>
      </x:c>
      <x:c r="C177" s="108" t="str">
        <x:v>LAC</x:v>
      </x:c>
      <x:c r="D177" s="108" t="n">
        <x:v>12</x:v>
      </x:c>
      <x:c r="E177" s="109" t="n">
        <x:v>22.4</x:v>
      </x:c>
      <x:c r="F177" s="109" t="n">
        <x:v>16.4</x:v>
      </x:c>
      <x:c r="G177" s="109" t="n">
        <x:v>11.9</x:v>
      </x:c>
      <x:c r="H177" s="109" t="n">
        <x:v>19.8</x:v>
      </x:c>
      <x:c r="I177" s="109" t="n">
        <x:v>4.9</x:v>
      </x:c>
      <x:c r="J177" s="109" t="n">
        <x:v>0</x:v>
      </x:c>
      <x:c r="K177" s="109" t="n">
        <x:v>10</x:v>
      </x:c>
      <x:c r="L177" s="109" t="n">
        <x:v>0</x:v>
      </x:c>
      <x:c r="M177" s="109" t="n">
        <x:v>13.3</x:v>
      </x:c>
      <x:c r="N177" s="109" t="n">
        <x:v>6.7</x:v>
      </x:c>
      <x:c r="O177" s="109" t="n">
        <x:v>0</x:v>
      </x:c>
      <x:c r="P177" s="109"/>
      <x:c r="Q177" s="109" t="n">
        <x:v>9.8</x:v>
      </x:c>
      <x:c r="R177" s="109" t="n">
        <x:v>1.8</x:v>
      </x:c>
      <x:c r="S177" s="109" t="n">
        <x:v>0</x:v>
      </x:c>
      <x:c r="T177" s="109" t="n">
        <x:v>18.4</x:v>
      </x:c>
      <x:c r="U177" s="109" t="n">
        <x:v>12.3</x:v>
      </x:c>
      <x:c r="V177" s="109" t="n">
        <x:v>0</x:v>
      </x:c>
      <x:c r="W177" s="109" t="n">
        <x:f>AVERAGE(E177:V177)</x:f>
        <x:v>8.688235294117648</x:v>
      </x:c>
      <x:c r="X177" s="109" t="n">
        <x:f>MEDIAN(E177:V177)</x:f>
        <x:v>9.8</x:v>
      </x:c>
      <x:c r="Y177" s="109" t="n">
        <x:f>PERCENTILE.INC(E177:V177,0.25)</x:f>
        <x:v>0</x:v>
      </x:c>
      <x:c r="Z177" s="109" t="n">
        <x:f>STDEV.P(E177:V177)</x:f>
        <x:v>7.499167197130562</x:v>
      </x:c>
      <x:c r="AA177" s="173" t="n">
        <x:f>IF(W177=0,"",Z177/ABS(W177))</x:f>
        <x:v>0.8631404356886901</x:v>
      </x:c>
      <x:c r="AB177" s="173" t="n">
        <x:f>IF(W177=0,0,(COUNTIF(E177:V177,"&lt;"&amp;0.5*W177)-COUNTBLANK(E177:V177))/COUNT(E177:V177))</x:f>
        <x:v>0.35294117647058826</x:v>
      </x:c>
      <x:c r="AC177" s="109" t="n">
        <x:f>SUM(E177:V177)</x:f>
        <x:v>147.70000000000002</x:v>
      </x:c>
    </x:row>
    <x:row r="178">
      <x:c r="A178" s="108" t="str">
        <x:v>WR</x:v>
      </x:c>
      <x:c r="B178" s="108" t="str">
        <x:v>Demarcus Robinson</x:v>
      </x:c>
      <x:c r="C178" s="108" t="str">
        <x:v>SF</x:v>
      </x:c>
      <x:c r="D178" s="108" t="n">
        <x:v>14</x:v>
      </x:c>
      <x:c r="E178" s="109" t="n">
        <x:v>0</x:v>
      </x:c>
      <x:c r="F178" s="109" t="n">
        <x:v>0</x:v>
      </x:c>
      <x:c r="G178" s="109" t="n">
        <x:v>0</x:v>
      </x:c>
      <x:c r="H178" s="109" t="n">
        <x:v>2.5</x:v>
      </x:c>
      <x:c r="I178" s="109" t="n">
        <x:v>5.4</x:v>
      </x:c>
      <x:c r="J178" s="109" t="n">
        <x:v>5.4</x:v>
      </x:c>
      <x:c r="K178" s="109" t="n">
        <x:v>0</x:v>
      </x:c>
      <x:c r="L178" s="109" t="n">
        <x:v>3.5</x:v>
      </x:c>
      <x:c r="M178" s="109" t="n">
        <x:v>0</x:v>
      </x:c>
      <x:c r="N178" s="109" t="n">
        <x:v>4.9</x:v>
      </x:c>
      <x:c r="O178" s="109" t="n">
        <x:v>1.8</x:v>
      </x:c>
      <x:c r="P178" s="109" t="n">
        <x:v>1.3</x:v>
      </x:c>
      <x:c r="Q178" s="109" t="n">
        <x:v>0.6</x:v>
      </x:c>
      <x:c r="R178" s="109"/>
      <x:c r="S178" s="109" t="n">
        <x:v>4.6</x:v>
      </x:c>
      <x:c r="T178" s="109" t="n">
        <x:v>9.3</x:v>
      </x:c>
      <x:c r="U178" s="109" t="n">
        <x:v>4</x:v>
      </x:c>
      <x:c r="V178" s="109" t="n">
        <x:v>3.9</x:v>
      </x:c>
      <x:c r="W178" s="109" t="n">
        <x:f>AVERAGE(E178:V178)</x:f>
        <x:v>2.776470588235295</x:v>
      </x:c>
      <x:c r="X178" s="109" t="n">
        <x:f>MEDIAN(E178:V178)</x:f>
        <x:v>2.5</x:v>
      </x:c>
      <x:c r="Y178" s="109" t="n">
        <x:f>PERCENTILE.INC(E178:V178,0.25)</x:f>
        <x:v>0</x:v>
      </x:c>
      <x:c r="Z178" s="109" t="n">
        <x:f>STDEV.P(E178:V178)</x:f>
        <x:v>2.588783364431732</x:v>
      </x:c>
      <x:c r="AA178" s="173" t="n">
        <x:f>IF(W178=0,"",Z178/ABS(W178))</x:f>
        <x:v>0.9324007880368524</x:v>
      </x:c>
      <x:c r="AB178" s="173" t="n">
        <x:f>IF(W178=0,0,(COUNTIF(E178:V178,"&lt;"&amp;0.5*W178)-COUNTBLANK(E178:V178))/COUNT(E178:V178))</x:f>
        <x:v>0.4117647058823529</x:v>
      </x:c>
      <x:c r="AC178" s="109" t="n">
        <x:f>SUM(E178:V178)</x:f>
        <x:v>47.20000000000001</x:v>
      </x:c>
    </x:row>
    <x:row r="179">
      <x:c r="A179" s="108" t="str">
        <x:v>WR</x:v>
      </x:c>
      <x:c r="B179" s="108" t="str">
        <x:v>Tyquan Thornton</x:v>
      </x:c>
      <x:c r="C179" s="108" t="str">
        <x:v>KC</x:v>
      </x:c>
      <x:c r="D179" s="108" t="n">
        <x:v>10</x:v>
      </x:c>
      <x:c r="E179" s="109" t="n">
        <x:v>5.94</x:v>
      </x:c>
      <x:c r="F179" s="109" t="n">
        <x:v>14.9</x:v>
      </x:c>
      <x:c r="G179" s="109" t="n">
        <x:v>15.6</x:v>
      </x:c>
      <x:c r="H179" s="109" t="n">
        <x:v>7.6</x:v>
      </x:c>
      <x:c r="I179" s="109" t="n">
        <x:v>10.5</x:v>
      </x:c>
      <x:c r="J179" s="109" t="n">
        <x:v>0</x:v>
      </x:c>
      <x:c r="K179" s="109" t="n">
        <x:v>4.4</x:v>
      </x:c>
      <x:c r="L179" s="109" t="n">
        <x:v>0</x:v>
      </x:c>
      <x:c r="M179" s="109" t="n">
        <x:v>3.78</x:v>
      </x:c>
      <x:c r="N179" s="109"/>
      <x:c r="O179" s="109" t="n">
        <x:v>9.15</x:v>
      </x:c>
      <x:c r="P179" s="109" t="n">
        <x:v>1.41</x:v>
      </x:c>
      <x:c r="Q179" s="109" t="n">
        <x:v>3.21</x:v>
      </x:c>
      <x:c r="R179" s="109" t="n">
        <x:v>4.52</x:v>
      </x:c>
      <x:c r="S179" s="109" t="n">
        <x:v>6.54</x:v>
      </x:c>
      <x:c r="T179" s="109" t="n">
        <x:v>0</x:v>
      </x:c>
      <x:c r="U179" s="109" t="n">
        <x:v>0</x:v>
      </x:c>
      <x:c r="V179" s="109" t="n">
        <x:v>0</x:v>
      </x:c>
      <x:c r="W179" s="109" t="n">
        <x:f>AVERAGE(E179:V179)</x:f>
        <x:v>5.1499999999999995</x:v>
      </x:c>
      <x:c r="X179" s="109" t="n">
        <x:f>MEDIAN(E179:V179)</x:f>
        <x:v>4.4</x:v>
      </x:c>
      <x:c r="Y179" s="109" t="n">
        <x:f>PERCENTILE.INC(E179:V179,0.25)</x:f>
        <x:v>0</x:v>
      </x:c>
      <x:c r="Z179" s="109" t="n">
        <x:f>STDEV.P(E179:V179)</x:f>
        <x:v>4.914840671225203</x:v>
      </x:c>
      <x:c r="AA179" s="173" t="n">
        <x:f>IF(W179=0,"",Z179/ABS(W179))</x:f>
        <x:v>0.954337994412661</x:v>
      </x:c>
      <x:c r="AB179" s="173" t="n">
        <x:f>IF(W179=0,0,(COUNTIF(E179:V179,"&lt;"&amp;0.5*W179)-COUNTBLANK(E179:V179))/COUNT(E179:V179))</x:f>
        <x:v>0.35294117647058826</x:v>
      </x:c>
      <x:c r="AC179" s="109" t="n">
        <x:f>SUM(E179:V179)</x:f>
        <x:v>87.55</x:v>
      </x:c>
    </x:row>
    <x:row r="180">
      <x:c r="A180" s="108" t="str">
        <x:v>WR</x:v>
      </x:c>
      <x:c r="B180" s="108" t="str">
        <x:v>Savion Williams</x:v>
      </x:c>
      <x:c r="C180" s="108" t="str">
        <x:v>GB</x:v>
      </x:c>
      <x:c r="D180" s="108" t="n">
        <x:v>5</x:v>
      </x:c>
      <x:c r="E180" s="109" t="n">
        <x:v>1.77</x:v>
      </x:c>
      <x:c r="F180" s="109" t="n">
        <x:v>3.3</x:v>
      </x:c>
      <x:c r="G180" s="109" t="n">
        <x:v>2.24</x:v>
      </x:c>
      <x:c r="H180" s="109" t="n">
        <x:v>4.52</x:v>
      </x:c>
      <x:c r="I180" s="109"/>
      <x:c r="J180" s="109" t="n">
        <x:v>3.18</x:v>
      </x:c>
      <x:c r="K180" s="109" t="n">
        <x:v>2.16</x:v>
      </x:c>
      <x:c r="L180" s="109" t="n">
        <x:v>10.31</x:v>
      </x:c>
      <x:c r="M180" s="109" t="n">
        <x:v>2.24</x:v>
      </x:c>
      <x:c r="N180" s="109" t="n">
        <x:v>2.91</x:v>
      </x:c>
      <x:c r="O180" s="109" t="n">
        <x:v>4.79</x:v>
      </x:c>
      <x:c r="P180" s="109" t="n">
        <x:v>1.38</x:v>
      </x:c>
      <x:c r="Q180" s="109" t="n">
        <x:v>0</x:v>
      </x:c>
      <x:c r="R180" s="109" t="n">
        <x:v>0</x:v>
      </x:c>
      <x:c r="S180" s="109" t="n">
        <x:v>0</x:v>
      </x:c>
      <x:c r="T180" s="109" t="n">
        <x:v>3.21</x:v>
      </x:c>
      <x:c r="U180" s="109" t="n">
        <x:v>0</x:v>
      </x:c>
      <x:c r="V180" s="109" t="n">
        <x:v>0</x:v>
      </x:c>
      <x:c r="W180" s="109" t="n">
        <x:f>AVERAGE(E180:V180)</x:f>
        <x:v>2.471176470588236</x:v>
      </x:c>
      <x:c r="X180" s="109" t="n">
        <x:f>MEDIAN(E180:V180)</x:f>
        <x:v>2.24</x:v>
      </x:c>
      <x:c r="Y180" s="109" t="n">
        <x:f>PERCENTILE.INC(E180:V180,0.25)</x:f>
        <x:v>0</x:v>
      </x:c>
      <x:c r="Z180" s="109" t="n">
        <x:f>STDEV.P(E180:V180)</x:f>
        <x:v>2.489615803936638</x:v>
      </x:c>
      <x:c r="AA180" s="173" t="n">
        <x:f>IF(W180=0,"",Z180/ABS(W180))</x:f>
        <x:v>1.007461763078382</x:v>
      </x:c>
      <x:c r="AB180" s="173" t="n">
        <x:f>IF(W180=0,0,(COUNTIF(E180:V180,"&lt;"&amp;0.5*W180)-COUNTBLANK(E180:V180))/COUNT(E180:V180))</x:f>
        <x:v>0.29411764705882354</x:v>
      </x:c>
      <x:c r="AC180" s="109" t="n">
        <x:f>SUM(E180:V180)</x:f>
        <x:v>42.01000000000001</x:v>
      </x:c>
    </x:row>
    <x:row r="181">
      <x:c r="A181" s="108" t="str">
        <x:v>WR</x:v>
      </x:c>
      <x:c r="B181" s="108" t="str">
        <x:v>Pat Bryant</x:v>
      </x:c>
      <x:c r="C181" s="108" t="str">
        <x:v>DEN</x:v>
      </x:c>
      <x:c r="D181" s="108" t="n">
        <x:v>12</x:v>
      </x:c>
      <x:c r="E181" s="109" t="n">
        <x:v>0</x:v>
      </x:c>
      <x:c r="F181" s="109" t="n">
        <x:v>2.8</x:v>
      </x:c>
      <x:c r="G181" s="109" t="n">
        <x:v>0</x:v>
      </x:c>
      <x:c r="H181" s="109" t="n">
        <x:v>0</x:v>
      </x:c>
      <x:c r="I181" s="109" t="n">
        <x:v>0</x:v>
      </x:c>
      <x:c r="J181" s="109" t="n">
        <x:v>3.2</x:v>
      </x:c>
      <x:c r="K181" s="109" t="n">
        <x:v>1.1</x:v>
      </x:c>
      <x:c r="L181" s="109" t="n">
        <x:v>11</x:v>
      </x:c>
      <x:c r="M181" s="109" t="n">
        <x:v>3</x:v>
      </x:c>
      <x:c r="N181" s="109" t="n">
        <x:v>4.8</x:v>
      </x:c>
      <x:c r="O181" s="109" t="n">
        <x:v>10.7</x:v>
      </x:c>
      <x:c r="P181" s="109"/>
      <x:c r="Q181" s="109" t="n">
        <x:v>5.7</x:v>
      </x:c>
      <x:c r="R181" s="109" t="n">
        <x:v>5.2</x:v>
      </x:c>
      <x:c r="S181" s="109" t="n">
        <x:v>0</x:v>
      </x:c>
      <x:c r="T181" s="109" t="n">
        <x:v>6.7</x:v>
      </x:c>
      <x:c r="U181" s="109" t="n">
        <x:v>0</x:v>
      </x:c>
      <x:c r="V181" s="109" t="n">
        <x:v>5.1</x:v>
      </x:c>
      <x:c r="W181" s="109" t="n">
        <x:f>AVERAGE(E181:V181)</x:f>
        <x:v>3.4882352941176475</x:v>
      </x:c>
      <x:c r="X181" s="109" t="n">
        <x:f>MEDIAN(E181:V181)</x:f>
        <x:v>3</x:v>
      </x:c>
      <x:c r="Y181" s="109" t="n">
        <x:f>PERCENTILE.INC(E181:V181,0.25)</x:f>
        <x:v>0</x:v>
      </x:c>
      <x:c r="Z181" s="109" t="n">
        <x:f>STDEV.P(E181:V181)</x:f>
        <x:v>3.518001162582354</x:v>
      </x:c>
      <x:c r="AA181" s="173" t="n">
        <x:f>IF(W181=0,"",Z181/ABS(W181))</x:f>
        <x:v>1.0085332169291739</x:v>
      </x:c>
      <x:c r="AB181" s="173" t="n">
        <x:f>IF(W181=0,0,(COUNTIF(E181:V181,"&lt;"&amp;0.5*W181)-COUNTBLANK(E181:V181))/COUNT(E181:V181))</x:f>
        <x:v>0.4117647058823529</x:v>
      </x:c>
      <x:c r="AC181" s="109" t="n">
        <x:f>SUM(E181:V181)</x:f>
        <x:v>59.30000000000001</x:v>
      </x:c>
    </x:row>
    <x:row r="182">
      <x:c r="A182" s="108" t="str">
        <x:v>WR</x:v>
      </x:c>
      <x:c r="B182" s="108" t="str">
        <x:v>Marvin Harrison Jr.</x:v>
      </x:c>
      <x:c r="C182" s="108" t="str">
        <x:v>ARI</x:v>
      </x:c>
      <x:c r="D182" s="108" t="n">
        <x:v>8</x:v>
      </x:c>
      <x:c r="E182" s="109" t="n">
        <x:v>15.6</x:v>
      </x:c>
      <x:c r="F182" s="109" t="n">
        <x:v>3.7</x:v>
      </x:c>
      <x:c r="G182" s="109" t="n">
        <x:v>5.9</x:v>
      </x:c>
      <x:c r="H182" s="109" t="n">
        <x:v>15.6</x:v>
      </x:c>
      <x:c r="I182" s="109" t="n">
        <x:v>11.8</x:v>
      </x:c>
      <x:c r="J182" s="109" t="n">
        <x:v>4.2</x:v>
      </x:c>
      <x:c r="K182" s="109" t="n">
        <x:v>6.8</x:v>
      </x:c>
      <x:c r="L182" s="109"/>
      <x:c r="M182" s="109" t="n">
        <x:v>19.1</x:v>
      </x:c>
      <x:c r="N182" s="109" t="n">
        <x:v>12.8</x:v>
      </x:c>
      <x:c r="O182" s="109" t="n">
        <x:v>0</x:v>
      </x:c>
      <x:c r="P182" s="109" t="n">
        <x:v>0</x:v>
      </x:c>
      <x:c r="Q182" s="109" t="n">
        <x:v>9.9</x:v>
      </x:c>
      <x:c r="R182" s="109" t="n">
        <x:v>0</x:v>
      </x:c>
      <x:c r="S182" s="109" t="n">
        <x:v>0</x:v>
      </x:c>
      <x:c r="T182" s="109" t="n">
        <x:v>1.9</x:v>
      </x:c>
      <x:c r="U182" s="109" t="n">
        <x:v>0</x:v>
      </x:c>
      <x:c r="V182" s="109" t="n">
        <x:v>0</x:v>
      </x:c>
      <x:c r="W182" s="109" t="n">
        <x:f>AVERAGE(E182:V182)</x:f>
        <x:v>6.3117647058823545</x:v>
      </x:c>
      <x:c r="X182" s="109" t="n">
        <x:f>MEDIAN(E182:V182)</x:f>
        <x:v>4.2</x:v>
      </x:c>
      <x:c r="Y182" s="109" t="n">
        <x:f>PERCENTILE.INC(E182:V182,0.25)</x:f>
        <x:v>0</x:v>
      </x:c>
      <x:c r="Z182" s="109" t="n">
        <x:f>STDEV.P(E182:V182)</x:f>
        <x:v>6.377154293712294</x:v>
      </x:c>
      <x:c r="AA182" s="173" t="n">
        <x:f>IF(W182=0,"",Z182/ABS(W182))</x:f>
        <x:v>1.0103599533374554</x:v>
      </x:c>
      <x:c r="AB182" s="173" t="n">
        <x:f>IF(W182=0,0,(COUNTIF(E182:V182,"&lt;"&amp;0.5*W182)-COUNTBLANK(E182:V182))/COUNT(E182:V182))</x:f>
        <x:v>0.4117647058823529</x:v>
      </x:c>
      <x:c r="AC182" s="109" t="n">
        <x:f>SUM(E182:V182)</x:f>
        <x:v>107.30000000000003</x:v>
      </x:c>
    </x:row>
    <x:row r="183">
      <x:c r="A183" s="108" t="str">
        <x:v>WR</x:v>
      </x:c>
      <x:c r="B183" s="108" t="str">
        <x:v>Malachi Corley</x:v>
      </x:c>
      <x:c r="C183" s="108" t="str">
        <x:v>CLE</x:v>
      </x:c>
      <x:c r="D183" s="108" t="n">
        <x:v>9</x:v>
      </x:c>
      <x:c r="E183" s="109" t="n">
        <x:v>0</x:v>
      </x:c>
      <x:c r="F183" s="109" t="n">
        <x:v>0</x:v>
      </x:c>
      <x:c r="G183" s="109" t="n">
        <x:v>0</x:v>
      </x:c>
      <x:c r="H183" s="109" t="n">
        <x:v>0</x:v>
      </x:c>
      <x:c r="I183" s="109" t="n">
        <x:v>1.1</x:v>
      </x:c>
      <x:c r="J183" s="109" t="n">
        <x:v>0</x:v>
      </x:c>
      <x:c r="K183" s="109" t="n">
        <x:v>2.7</x:v>
      </x:c>
      <x:c r="L183" s="109" t="n">
        <x:v>6.46</x:v>
      </x:c>
      <x:c r="M183" s="109"/>
      <x:c r="N183" s="109" t="n">
        <x:v>3.86</x:v>
      </x:c>
      <x:c r="O183" s="109" t="n">
        <x:v>4.15</x:v>
      </x:c>
      <x:c r="P183" s="109" t="n">
        <x:v>2.44</x:v>
      </x:c>
      <x:c r="Q183" s="109" t="n">
        <x:v>3.09</x:v>
      </x:c>
      <x:c r="R183" s="109" t="n">
        <x:v>0.2</x:v>
      </x:c>
      <x:c r="S183" s="109" t="n">
        <x:v>2.85</x:v>
      </x:c>
      <x:c r="T183" s="109" t="n">
        <x:v>8.31</x:v>
      </x:c>
      <x:c r="U183" s="109" t="n">
        <x:v>0.9</x:v>
      </x:c>
      <x:c r="V183" s="109" t="n">
        <x:v>4.8</x:v>
      </x:c>
      <x:c r="W183" s="109" t="n">
        <x:f>AVERAGE(E183:V183)</x:f>
        <x:v>2.4035294117647057</x:v>
      </x:c>
      <x:c r="X183" s="109" t="n">
        <x:f>MEDIAN(E183:V183)</x:f>
        <x:v>2.44</x:v>
      </x:c>
      <x:c r="Y183" s="109" t="n">
        <x:f>PERCENTILE.INC(E183:V183,0.25)</x:f>
        <x:v>0</x:v>
      </x:c>
      <x:c r="Z183" s="109" t="n">
        <x:f>STDEV.P(E183:V183)</x:f>
        <x:v>2.4340209800837562</x:v>
      </x:c>
      <x:c r="AA183" s="173" t="n">
        <x:f>IF(W183=0,"",Z183/ABS(W183))</x:f>
        <x:v>1.0126861640093945</x:v>
      </x:c>
      <x:c r="AB183" s="173" t="n">
        <x:f>IF(W183=0,0,(COUNTIF(E183:V183,"&lt;"&amp;0.5*W183)-COUNTBLANK(E183:V183))/COUNT(E183:V183))</x:f>
        <x:v>0.47058823529411764</x:v>
      </x:c>
      <x:c r="AC183" s="109" t="n">
        <x:f>SUM(E183:V183)</x:f>
        <x:v>40.86</x:v>
      </x:c>
    </x:row>
    <x:row r="184">
      <x:c r="A184" s="108" t="str">
        <x:v>WR</x:v>
      </x:c>
      <x:c r="B184" s="108" t="str">
        <x:v>Terry McLaurin</x:v>
      </x:c>
      <x:c r="C184" s="108" t="str">
        <x:v>WSH</x:v>
      </x:c>
      <x:c r="D184" s="108" t="n">
        <x:v>12</x:v>
      </x:c>
      <x:c r="E184" s="109" t="n">
        <x:v>3.7</x:v>
      </x:c>
      <x:c r="F184" s="109" t="n">
        <x:v>7.3</x:v>
      </x:c>
      <x:c r="G184" s="109" t="n">
        <x:v>8.9</x:v>
      </x:c>
      <x:c r="H184" s="109" t="n">
        <x:v>0</x:v>
      </x:c>
      <x:c r="I184" s="109" t="n">
        <x:v>0</x:v>
      </x:c>
      <x:c r="J184" s="109" t="n">
        <x:v>0</x:v>
      </x:c>
      <x:c r="K184" s="109" t="n">
        <x:v>0</x:v>
      </x:c>
      <x:c r="L184" s="109" t="n">
        <x:v>12.9</x:v>
      </x:c>
      <x:c r="M184" s="109" t="n">
        <x:v>0</x:v>
      </x:c>
      <x:c r="N184" s="109" t="n">
        <x:v>0</x:v>
      </x:c>
      <x:c r="O184" s="109" t="n">
        <x:v>0</x:v>
      </x:c>
      <x:c r="P184" s="109"/>
      <x:c r="Q184" s="109" t="n">
        <x:v>19.1</x:v>
      </x:c>
      <x:c r="R184" s="109" t="n">
        <x:v>5.6</x:v>
      </x:c>
      <x:c r="S184" s="109" t="n">
        <x:v>16.4</x:v>
      </x:c>
      <x:c r="T184" s="109" t="n">
        <x:v>6.8</x:v>
      </x:c>
      <x:c r="U184" s="109" t="n">
        <x:v>8.8</x:v>
      </x:c>
      <x:c r="V184" s="109" t="n">
        <x:v>7.7</x:v>
      </x:c>
      <x:c r="W184" s="109" t="n">
        <x:f>AVERAGE(E184:V184)</x:f>
        <x:v>5.7176470588235295</x:v>
      </x:c>
      <x:c r="X184" s="109" t="n">
        <x:f>MEDIAN(E184:V184)</x:f>
        <x:v>5.6</x:v>
      </x:c>
      <x:c r="Y184" s="109" t="n">
        <x:f>PERCENTILE.INC(E184:V184,0.25)</x:f>
        <x:v>0</x:v>
      </x:c>
      <x:c r="Z184" s="109" t="n">
        <x:f>STDEV.P(E184:V184)</x:f>
        <x:v>5.965314970641696</x:v>
      </x:c>
      <x:c r="AA184" s="173" t="n">
        <x:f>IF(W184=0,"",Z184/ABS(W184))</x:f>
        <x:v>1.0433164043303378</x:v>
      </x:c>
      <x:c r="AB184" s="173" t="n">
        <x:f>IF(W184=0,0,(COUNTIF(E184:V184,"&lt;"&amp;0.5*W184)-COUNTBLANK(E184:V184))/COUNT(E184:V184))</x:f>
        <x:v>0.4117647058823529</x:v>
      </x:c>
      <x:c r="AC184" s="109" t="n">
        <x:f>SUM(E184:V184)</x:f>
        <x:v>97.2</x:v>
      </x:c>
    </x:row>
    <x:row r="185">
      <x:c r="A185" s="108" t="str">
        <x:v>WR</x:v>
      </x:c>
      <x:c r="B185" s="108" t="str">
        <x:v>Drake London</x:v>
      </x:c>
      <x:c r="C185" s="108" t="str">
        <x:v>ATL</x:v>
      </x:c>
      <x:c r="D185" s="108" t="n">
        <x:v>5</x:v>
      </x:c>
      <x:c r="E185" s="109" t="n">
        <x:v>9.5</x:v>
      </x:c>
      <x:c r="F185" s="109" t="n">
        <x:v>4.4</x:v>
      </x:c>
      <x:c r="G185" s="109" t="n">
        <x:v>8</x:v>
      </x:c>
      <x:c r="H185" s="109" t="n">
        <x:v>21</x:v>
      </x:c>
      <x:c r="I185" s="109"/>
      <x:c r="J185" s="109" t="n">
        <x:v>26.8</x:v>
      </x:c>
      <x:c r="K185" s="109" t="n">
        <x:v>6.2</x:v>
      </x:c>
      <x:c r="L185" s="109" t="n">
        <x:v>0</x:v>
      </x:c>
      <x:c r="M185" s="109" t="n">
        <x:v>34.3</x:v>
      </x:c>
      <x:c r="N185" s="109" t="n">
        <x:v>21.4</x:v>
      </x:c>
      <x:c r="O185" s="109" t="n">
        <x:v>15.4</x:v>
      </x:c>
      <x:c r="P185" s="109" t="n">
        <x:v>0</x:v>
      </x:c>
      <x:c r="Q185" s="109" t="n">
        <x:v>0</x:v>
      </x:c>
      <x:c r="R185" s="109" t="n">
        <x:v>0</x:v>
      </x:c>
      <x:c r="S185" s="109" t="n">
        <x:v>0</x:v>
      </x:c>
      <x:c r="T185" s="109" t="n">
        <x:v>4.2</x:v>
      </x:c>
      <x:c r="U185" s="109" t="n">
        <x:v>0.9</x:v>
      </x:c>
      <x:c r="V185" s="109" t="n">
        <x:v>15.8</x:v>
      </x:c>
      <x:c r="W185" s="109" t="n">
        <x:f>AVERAGE(E185:V185)</x:f>
        <x:v>9.876470588235295</x:v>
      </x:c>
      <x:c r="X185" s="109" t="n">
        <x:f>MEDIAN(E185:V185)</x:f>
        <x:v>6.2</x:v>
      </x:c>
      <x:c r="Y185" s="109" t="n">
        <x:f>PERCENTILE.INC(E185:V185,0.25)</x:f>
        <x:v>0</x:v>
      </x:c>
      <x:c r="Z185" s="109" t="n">
        <x:f>STDEV.P(E185:V185)</x:f>
        <x:v>10.439547511704468</x:v>
      </x:c>
      <x:c r="AA185" s="173" t="n">
        <x:f>IF(W185=0,"",Z185/ABS(W185))</x:f>
        <x:v>1.057011957706825</x:v>
      </x:c>
      <x:c r="AB185" s="173" t="n">
        <x:f>IF(W185=0,0,(COUNTIF(E185:V185,"&lt;"&amp;0.5*W185)-COUNTBLANK(E185:V185))/COUNT(E185:V185))</x:f>
        <x:v>0.47058823529411764</x:v>
      </x:c>
      <x:c r="AC185" s="109" t="n">
        <x:f>SUM(E185:V185)</x:f>
        <x:v>167.9</x:v>
      </x:c>
    </x:row>
    <x:row r="186">
      <x:c r="A186" s="108" t="str">
        <x:v>WR</x:v>
      </x:c>
      <x:c r="B186" s="108" t="str">
        <x:v>Joshua Palmer</x:v>
      </x:c>
      <x:c r="C186" s="108" t="str">
        <x:v>BUF</x:v>
      </x:c>
      <x:c r="D186" s="108" t="n">
        <x:v>7</x:v>
      </x:c>
      <x:c r="E186" s="109" t="n">
        <x:v>8.6</x:v>
      </x:c>
      <x:c r="F186" s="109" t="n">
        <x:v>5.7</x:v>
      </x:c>
      <x:c r="G186" s="109" t="n">
        <x:v>1</x:v>
      </x:c>
      <x:c r="H186" s="109" t="n">
        <x:v>3.5</x:v>
      </x:c>
      <x:c r="I186" s="109" t="n">
        <x:v>4.6</x:v>
      </x:c>
      <x:c r="J186" s="109" t="n">
        <x:v>7</x:v>
      </x:c>
      <x:c r="K186" s="109"/>
      <x:c r="L186" s="109" t="n">
        <x:v>0</x:v>
      </x:c>
      <x:c r="M186" s="109" t="n">
        <x:v>0</x:v>
      </x:c>
      <x:c r="N186" s="109" t="n">
        <x:v>0</x:v>
      </x:c>
      <x:c r="O186" s="109" t="n">
        <x:v>2.7</x:v>
      </x:c>
      <x:c r="P186" s="109" t="n">
        <x:v>3.1</x:v>
      </x:c>
      <x:c r="Q186" s="109" t="n">
        <x:v>0</x:v>
      </x:c>
      <x:c r="R186" s="109" t="n">
        <x:v>0</x:v>
      </x:c>
      <x:c r="S186" s="109" t="n">
        <x:v>2.1</x:v>
      </x:c>
      <x:c r="T186" s="109" t="n">
        <x:v>0.7</x:v>
      </x:c>
      <x:c r="U186" s="109" t="n">
        <x:v>1.7</x:v>
      </x:c>
      <x:c r="V186" s="109" t="n">
        <x:v>0.6</x:v>
      </x:c>
      <x:c r="W186" s="109" t="n">
        <x:f>AVERAGE(E186:V186)</x:f>
        <x:v>2.429411764705883</x:v>
      </x:c>
      <x:c r="X186" s="109" t="n">
        <x:f>MEDIAN(E186:V186)</x:f>
        <x:v>1.7</x:v>
      </x:c>
      <x:c r="Y186" s="109" t="n">
        <x:f>PERCENTILE.INC(E186:V186,0.25)</x:f>
        <x:v>0</x:v>
      </x:c>
      <x:c r="Z186" s="109" t="n">
        <x:f>STDEV.P(E186:V186)</x:f>
        <x:v>2.596097683715119</x:v>
      </x:c>
      <x:c r="AA186" s="173" t="n">
        <x:f>IF(W186=0,"",Z186/ABS(W186))</x:f>
        <x:v>1.0686116373645766</x:v>
      </x:c>
      <x:c r="AB186" s="173" t="n">
        <x:f>IF(W186=0,0,(COUNTIF(E186:V186,"&lt;"&amp;0.5*W186)-COUNTBLANK(E186:V186))/COUNT(E186:V186))</x:f>
        <x:v>0.47058823529411764</x:v>
      </x:c>
      <x:c r="AC186" s="109" t="n">
        <x:f>SUM(E186:V186)</x:f>
        <x:v>41.30000000000001</x:v>
      </x:c>
    </x:row>
    <x:row r="187">
      <x:c r="A187" s="108" t="str">
        <x:v>WR</x:v>
      </x:c>
      <x:c r="B187" s="108" t="str">
        <x:v>Greg Dortch</x:v>
      </x:c>
      <x:c r="C187" s="108" t="str">
        <x:v>ARI</x:v>
      </x:c>
      <x:c r="D187" s="108" t="n">
        <x:v>8</x:v>
      </x:c>
      <x:c r="E187" s="109" t="n">
        <x:v>3.12</x:v>
      </x:c>
      <x:c r="F187" s="109" t="n">
        <x:v>4.37</x:v>
      </x:c>
      <x:c r="G187" s="109" t="n">
        <x:v>3.94</x:v>
      </x:c>
      <x:c r="H187" s="109" t="n">
        <x:v>9.11</x:v>
      </x:c>
      <x:c r="I187" s="109" t="n">
        <x:v>3</x:v>
      </x:c>
      <x:c r="J187" s="109" t="n">
        <x:v>12.42</x:v>
      </x:c>
      <x:c r="K187" s="109" t="n">
        <x:v>4.07</x:v>
      </x:c>
      <x:c r="L187" s="109"/>
      <x:c r="M187" s="109" t="n">
        <x:v>4.21</x:v>
      </x:c>
      <x:c r="N187" s="109" t="n">
        <x:v>8.21</x:v>
      </x:c>
      <x:c r="O187" s="109" t="n">
        <x:v>20.52</x:v>
      </x:c>
      <x:c r="P187" s="109" t="n">
        <x:v>17.11</x:v>
      </x:c>
      <x:c r="Q187" s="109" t="n">
        <x:v>3.6</x:v>
      </x:c>
      <x:c r="R187" s="109" t="n">
        <x:v>0</x:v>
      </x:c>
      <x:c r="S187" s="109" t="n">
        <x:v>0</x:v>
      </x:c>
      <x:c r="T187" s="109" t="n">
        <x:v>0</x:v>
      </x:c>
      <x:c r="U187" s="109" t="n">
        <x:v>0</x:v>
      </x:c>
      <x:c r="V187" s="109" t="n">
        <x:v>0</x:v>
      </x:c>
      <x:c r="W187" s="109" t="n">
        <x:f>AVERAGE(E187:V187)</x:f>
        <x:v>5.510588235294117</x:v>
      </x:c>
      <x:c r="X187" s="109" t="n">
        <x:f>MEDIAN(E187:V187)</x:f>
        <x:v>3.94</x:v>
      </x:c>
      <x:c r="Y187" s="109" t="n">
        <x:f>PERCENTILE.INC(E187:V187,0.25)</x:f>
        <x:v>0</x:v>
      </x:c>
      <x:c r="Z187" s="109" t="n">
        <x:f>STDEV.P(E187:V187)</x:f>
        <x:v>5.954963792637726</x:v>
      </x:c>
      <x:c r="AA187" s="173" t="n">
        <x:f>IF(W187=0,"",Z187/ABS(W187))</x:f>
        <x:v>1.0806403124983066</x:v>
      </x:c>
      <x:c r="AB187" s="173" t="n">
        <x:f>IF(W187=0,0,(COUNTIF(E187:V187,"&lt;"&amp;0.5*W187)-COUNTBLANK(E187:V187))/COUNT(E187:V187))</x:f>
        <x:v>0.29411764705882354</x:v>
      </x:c>
      <x:c r="AC187" s="109" t="n">
        <x:f>SUM(E187:V187)</x:f>
        <x:v>93.67999999999999</x:v>
      </x:c>
    </x:row>
    <x:row r="188">
      <x:c r="A188" s="108" t="str">
        <x:v>WR</x:v>
      </x:c>
      <x:c r="B188" s="108" t="str">
        <x:v>Keon Coleman</x:v>
      </x:c>
      <x:c r="C188" s="108" t="str">
        <x:v>BUF</x:v>
      </x:c>
      <x:c r="D188" s="108" t="n">
        <x:v>7</x:v>
      </x:c>
      <x:c r="E188" s="109" t="n">
        <x:v>21.2</x:v>
      </x:c>
      <x:c r="F188" s="109" t="n">
        <x:v>4.1</x:v>
      </x:c>
      <x:c r="G188" s="109" t="n">
        <x:v>3.5</x:v>
      </x:c>
      <x:c r="H188" s="109" t="n">
        <x:v>6</x:v>
      </x:c>
      <x:c r="I188" s="109" t="n">
        <x:v>8.3</x:v>
      </x:c>
      <x:c r="J188" s="109" t="n">
        <x:v>2.6</x:v>
      </x:c>
      <x:c r="K188" s="109"/>
      <x:c r="L188" s="109" t="n">
        <x:v>4.8</x:v>
      </x:c>
      <x:c r="M188" s="109" t="n">
        <x:v>2.7</x:v>
      </x:c>
      <x:c r="N188" s="109" t="n">
        <x:v>12.1</x:v>
      </x:c>
      <x:c r="O188" s="109" t="n">
        <x:v>0</x:v>
      </x:c>
      <x:c r="P188" s="109" t="n">
        <x:v>0</x:v>
      </x:c>
      <x:c r="Q188" s="109" t="n">
        <x:v>7.9</x:v>
      </x:c>
      <x:c r="R188" s="109" t="n">
        <x:v>2.6</x:v>
      </x:c>
      <x:c r="S188" s="109" t="n">
        <x:v>0</x:v>
      </x:c>
      <x:c r="T188" s="109" t="n">
        <x:v>0</x:v>
      </x:c>
      <x:c r="U188" s="109" t="n">
        <x:v>0</x:v>
      </x:c>
      <x:c r="V188" s="109" t="n">
        <x:v>8</x:v>
      </x:c>
      <x:c r="W188" s="109" t="n">
        <x:f>AVERAGE(E188:V188)</x:f>
        <x:v>4.929411764705883</x:v>
      </x:c>
      <x:c r="X188" s="109" t="n">
        <x:f>MEDIAN(E188:V188)</x:f>
        <x:v>3.5</x:v>
      </x:c>
      <x:c r="Y188" s="109" t="n">
        <x:f>PERCENTILE.INC(E188:V188,0.25)</x:f>
        <x:v>0</x:v>
      </x:c>
      <x:c r="Z188" s="109" t="n">
        <x:f>STDEV.P(E188:V188)</x:f>
        <x:v>5.3521589603011765</x:v>
      </x:c>
      <x:c r="AA188" s="173" t="n">
        <x:f>IF(W188=0,"",Z188/ABS(W188))</x:f>
        <x:v>1.0857601709441527</x:v>
      </x:c>
      <x:c r="AB188" s="173" t="n">
        <x:f>IF(W188=0,0,(COUNTIF(E188:V188,"&lt;"&amp;0.5*W188)-COUNTBLANK(E188:V188))/COUNT(E188:V188))</x:f>
        <x:v>0.29411764705882354</x:v>
      </x:c>
      <x:c r="AC188" s="109" t="n">
        <x:f>SUM(E188:V188)</x:f>
        <x:v>83.8</x:v>
      </x:c>
    </x:row>
    <x:row r="189">
      <x:c r="A189" s="108" t="str">
        <x:v>WR</x:v>
      </x:c>
      <x:c r="B189" s="108" t="str">
        <x:v>Jaylin Lane</x:v>
      </x:c>
      <x:c r="C189" s="108" t="str">
        <x:v>WSH</x:v>
      </x:c>
      <x:c r="D189" s="108" t="n">
        <x:v>12</x:v>
      </x:c>
      <x:c r="E189" s="109" t="n">
        <x:v>1.6</x:v>
      </x:c>
      <x:c r="F189" s="109" t="n">
        <x:v>3.2</x:v>
      </x:c>
      <x:c r="G189" s="109" t="n">
        <x:v>12.65</x:v>
      </x:c>
      <x:c r="H189" s="109" t="n">
        <x:v>1.8</x:v>
      </x:c>
      <x:c r="I189" s="109" t="n">
        <x:v>2.1</x:v>
      </x:c>
      <x:c r="J189" s="109" t="n">
        <x:v>5.35</x:v>
      </x:c>
      <x:c r="K189" s="109" t="n">
        <x:v>7.9</x:v>
      </x:c>
      <x:c r="L189" s="109" t="n">
        <x:v>2.1</x:v>
      </x:c>
      <x:c r="M189" s="109" t="n">
        <x:v>3.93</x:v>
      </x:c>
      <x:c r="N189" s="109" t="n">
        <x:v>4.6</x:v>
      </x:c>
      <x:c r="O189" s="109" t="n">
        <x:v>1.8</x:v>
      </x:c>
      <x:c r="P189" s="109"/>
      <x:c r="Q189" s="109" t="n">
        <x:v>0</x:v>
      </x:c>
      <x:c r="R189" s="109" t="n">
        <x:v>0</x:v>
      </x:c>
      <x:c r="S189" s="109" t="n">
        <x:v>10.55</x:v>
      </x:c>
      <x:c r="T189" s="109" t="n">
        <x:v>0</x:v>
      </x:c>
      <x:c r="U189" s="109" t="n">
        <x:v>0</x:v>
      </x:c>
      <x:c r="V189" s="109" t="n">
        <x:v>0</x:v>
      </x:c>
      <x:c r="W189" s="109" t="n">
        <x:f>AVERAGE(E189:V189)</x:f>
        <x:v>3.3870588235294115</x:v>
      </x:c>
      <x:c r="X189" s="109" t="n">
        <x:f>MEDIAN(E189:V189)</x:f>
        <x:v>2.1</x:v>
      </x:c>
      <x:c r="Y189" s="109" t="n">
        <x:f>PERCENTILE.INC(E189:V189,0.25)</x:f>
        <x:v>0</x:v>
      </x:c>
      <x:c r="Z189" s="109" t="n">
        <x:f>STDEV.P(E189:V189)</x:f>
        <x:v>3.6944756289641942</x:v>
      </x:c>
      <x:c r="AA189" s="173" t="n">
        <x:f>IF(W189=0,"",Z189/ABS(W189))</x:f>
        <x:v>1.0907621690238156</x:v>
      </x:c>
      <x:c r="AB189" s="173" t="n">
        <x:f>IF(W189=0,0,(COUNTIF(E189:V189,"&lt;"&amp;0.5*W189)-COUNTBLANK(E189:V189))/COUNT(E189:V189))</x:f>
        <x:v>0.35294117647058826</x:v>
      </x:c>
      <x:c r="AC189" s="109" t="n">
        <x:f>SUM(E189:V189)</x:f>
        <x:v>57.58</x:v>
      </x:c>
    </x:row>
    <x:row r="190">
      <x:c r="A190" s="108" t="str">
        <x:v>WR</x:v>
      </x:c>
      <x:c r="B190" s="108" t="str">
        <x:v>Ryan Flournoy</x:v>
      </x:c>
      <x:c r="C190" s="108" t="str">
        <x:v>DAL</x:v>
      </x:c>
      <x:c r="D190" s="108" t="n">
        <x:v>10</x:v>
      </x:c>
      <x:c r="E190" s="109" t="n">
        <x:v>0</x:v>
      </x:c>
      <x:c r="F190" s="109" t="n">
        <x:v>0</x:v>
      </x:c>
      <x:c r="G190" s="109" t="n">
        <x:v>3.1</x:v>
      </x:c>
      <x:c r="H190" s="109" t="n">
        <x:v>3.6</x:v>
      </x:c>
      <x:c r="I190" s="109" t="n">
        <x:v>15.4</x:v>
      </x:c>
      <x:c r="J190" s="109" t="n">
        <x:v>4.8</x:v>
      </x:c>
      <x:c r="K190" s="109" t="n">
        <x:v>0</x:v>
      </x:c>
      <x:c r="L190" s="109" t="n">
        <x:v>1.2</x:v>
      </x:c>
      <x:c r="M190" s="109" t="n">
        <x:v>8.2</x:v>
      </x:c>
      <x:c r="N190" s="109"/>
      <x:c r="O190" s="109" t="n">
        <x:v>6.7</x:v>
      </x:c>
      <x:c r="P190" s="109" t="n">
        <x:v>0</x:v>
      </x:c>
      <x:c r="Q190" s="109" t="n">
        <x:v>4.9</x:v>
      </x:c>
      <x:c r="R190" s="109" t="n">
        <x:v>24</x:v>
      </x:c>
      <x:c r="S190" s="109" t="n">
        <x:v>6</x:v>
      </x:c>
      <x:c r="T190" s="109" t="n">
        <x:v>8.8</x:v>
      </x:c>
      <x:c r="U190" s="109" t="n">
        <x:v>0</x:v>
      </x:c>
      <x:c r="V190" s="109" t="n">
        <x:v>9.3</x:v>
      </x:c>
      <x:c r="W190" s="109" t="n">
        <x:f>AVERAGE(E190:V190)</x:f>
        <x:v>5.647058823529412</x:v>
      </x:c>
      <x:c r="X190" s="109" t="n">
        <x:f>MEDIAN(E190:V190)</x:f>
        <x:v>4.8</x:v>
      </x:c>
      <x:c r="Y190" s="109" t="n">
        <x:f>PERCENTILE.INC(E190:V190,0.25)</x:f>
        <x:v>0</x:v>
      </x:c>
      <x:c r="Z190" s="109" t="n">
        <x:f>STDEV.P(E190:V190)</x:f>
        <x:v>6.203236123855395</x:v>
      </x:c>
      <x:c r="AA190" s="173" t="n">
        <x:f>IF(W190=0,"",Z190/ABS(W190))</x:f>
        <x:v>1.0984897302660594</x:v>
      </x:c>
      <x:c r="AB190" s="173" t="n">
        <x:f>IF(W190=0,0,(COUNTIF(E190:V190,"&lt;"&amp;0.5*W190)-COUNTBLANK(E190:V190))/COUNT(E190:V190))</x:f>
        <x:v>0.35294117647058826</x:v>
      </x:c>
      <x:c r="AC190" s="109" t="n">
        <x:f>SUM(E190:V190)</x:f>
        <x:v>96</x:v>
      </x:c>
    </x:row>
    <x:row r="191">
      <x:c r="A191" s="108" t="str">
        <x:v>WR</x:v>
      </x:c>
      <x:c r="B191" s="108" t="str">
        <x:v>Rome Odunze</x:v>
      </x:c>
      <x:c r="C191" s="108" t="str">
        <x:v>CHI</x:v>
      </x:c>
      <x:c r="D191" s="108" t="n">
        <x:v>5</x:v>
      </x:c>
      <x:c r="E191" s="109" t="n">
        <x:v>12.7</x:v>
      </x:c>
      <x:c r="F191" s="109" t="n">
        <x:v>28.3</x:v>
      </x:c>
      <x:c r="G191" s="109" t="n">
        <x:v>13.7</x:v>
      </x:c>
      <x:c r="H191" s="109" t="n">
        <x:v>14.9</x:v>
      </x:c>
      <x:c r="I191" s="109"/>
      <x:c r="J191" s="109" t="n">
        <x:v>4.2</x:v>
      </x:c>
      <x:c r="K191" s="109" t="n">
        <x:v>4.1</x:v>
      </x:c>
      <x:c r="L191" s="109" t="n">
        <x:v>14.9</x:v>
      </x:c>
      <x:c r="M191" s="109" t="n">
        <x:v>0</x:v>
      </x:c>
      <x:c r="N191" s="109" t="n">
        <x:v>17.6</x:v>
      </x:c>
      <x:c r="O191" s="109" t="n">
        <x:v>5.1</x:v>
      </x:c>
      <x:c r="P191" s="109" t="n">
        <x:v>6.8</x:v>
      </x:c>
      <x:c r="Q191" s="109" t="n">
        <x:v>1.8</x:v>
      </x:c>
      <x:c r="R191" s="109" t="n">
        <x:v>0</x:v>
      </x:c>
      <x:c r="S191" s="109" t="n">
        <x:v>0</x:v>
      </x:c>
      <x:c r="T191" s="109" t="n">
        <x:v>0</x:v>
      </x:c>
      <x:c r="U191" s="109" t="n">
        <x:v>0</x:v>
      </x:c>
      <x:c r="V191" s="109" t="n">
        <x:v>0</x:v>
      </x:c>
      <x:c r="W191" s="109" t="n">
        <x:f>AVERAGE(E191:V191)</x:f>
        <x:v>7.3</x:v>
      </x:c>
      <x:c r="X191" s="109" t="n">
        <x:f>MEDIAN(E191:V191)</x:f>
        <x:v>4.2</x:v>
      </x:c>
      <x:c r="Y191" s="109" t="n">
        <x:f>PERCENTILE.INC(E191:V191,0.25)</x:f>
        <x:v>0</x:v>
      </x:c>
      <x:c r="Z191" s="109" t="n">
        <x:f>STDEV.P(E191:V191)</x:f>
        <x:v>8.071955809358428</x:v>
      </x:c>
      <x:c r="AA191" s="173" t="n">
        <x:f>IF(W191=0,"",Z191/ABS(W191))</x:f>
        <x:v>1.10574737114499</x:v>
      </x:c>
      <x:c r="AB191" s="173" t="n">
        <x:f>IF(W191=0,0,(COUNTIF(E191:V191,"&lt;"&amp;0.5*W191)-COUNTBLANK(E191:V191))/COUNT(E191:V191))</x:f>
        <x:v>0.4117647058823529</x:v>
      </x:c>
      <x:c r="AC191" s="109" t="n">
        <x:f>SUM(E191:V191)</x:f>
        <x:v>124.1</x:v>
      </x:c>
    </x:row>
    <x:row r="192">
      <x:c r="A192" s="108" t="str">
        <x:v>WR</x:v>
      </x:c>
      <x:c r="B192" s="108" t="str">
        <x:v>DeAndre Hopkins</x:v>
      </x:c>
      <x:c r="C192" s="108" t="str">
        <x:v>BAL</x:v>
      </x:c>
      <x:c r="D192" s="108" t="n">
        <x:v>7</x:v>
      </x:c>
      <x:c r="E192" s="109" t="n">
        <x:v>10.5</x:v>
      </x:c>
      <x:c r="F192" s="109" t="n">
        <x:v>13.4</x:v>
      </x:c>
      <x:c r="G192" s="109" t="n">
        <x:v>1.8</x:v>
      </x:c>
      <x:c r="H192" s="109" t="n">
        <x:v>0</x:v>
      </x:c>
      <x:c r="I192" s="109" t="n">
        <x:v>5.6</x:v>
      </x:c>
      <x:c r="J192" s="109" t="n">
        <x:v>3</x:v>
      </x:c>
      <x:c r="K192" s="109"/>
      <x:c r="L192" s="109" t="n">
        <x:v>1.9</x:v>
      </x:c>
      <x:c r="M192" s="109" t="n">
        <x:v>0</x:v>
      </x:c>
      <x:c r="N192" s="109" t="n">
        <x:v>2.6</x:v>
      </x:c>
      <x:c r="O192" s="109" t="n">
        <x:v>1.6</x:v>
      </x:c>
      <x:c r="P192" s="109" t="n">
        <x:v>2.3</x:v>
      </x:c>
      <x:c r="Q192" s="109" t="n">
        <x:v>3.5</x:v>
      </x:c>
      <x:c r="R192" s="109" t="n">
        <x:v>0</x:v>
      </x:c>
      <x:c r="S192" s="109" t="n">
        <x:v>3.7</x:v>
      </x:c>
      <x:c r="T192" s="109" t="n">
        <x:v>6.1</x:v>
      </x:c>
      <x:c r="U192" s="109" t="n">
        <x:v>0</x:v>
      </x:c>
      <x:c r="V192" s="109" t="n">
        <x:v>0</x:v>
      </x:c>
      <x:c r="W192" s="109" t="n">
        <x:f>AVERAGE(E192:V192)</x:f>
        <x:v>3.2941176470588234</x:v>
      </x:c>
      <x:c r="X192" s="109" t="n">
        <x:f>MEDIAN(E192:V192)</x:f>
        <x:v>2.3</x:v>
      </x:c>
      <x:c r="Y192" s="109" t="n">
        <x:f>PERCENTILE.INC(E192:V192,0.25)</x:f>
        <x:v>0</x:v>
      </x:c>
      <x:c r="Z192" s="109" t="n">
        <x:f>STDEV.P(E192:V192)</x:f>
        <x:v>3.6807081460973525</x:v>
      </x:c>
      <x:c r="AA192" s="173" t="n">
        <x:f>IF(W192=0,"",Z192/ABS(W192))</x:f>
        <x:v>1.1173578300652678</x:v>
      </x:c>
      <x:c r="AB192" s="173" t="n">
        <x:f>IF(W192=0,0,(COUNTIF(E192:V192,"&lt;"&amp;0.5*W192)-COUNTBLANK(E192:V192))/COUNT(E192:V192))</x:f>
        <x:v>0.35294117647058826</x:v>
      </x:c>
      <x:c r="AC192" s="109" t="n">
        <x:f>SUM(E192:V192)</x:f>
        <x:v>56</x:v>
      </x:c>
    </x:row>
    <x:row r="193">
      <x:c r="A193" s="108" t="str">
        <x:v>WR</x:v>
      </x:c>
      <x:c r="B193" s="108" t="str">
        <x:v>Jalen Nailor</x:v>
      </x:c>
      <x:c r="C193" s="108" t="str">
        <x:v>MIN</x:v>
      </x:c>
      <x:c r="D193" s="108" t="n">
        <x:v>6</x:v>
      </x:c>
      <x:c r="E193" s="109" t="n">
        <x:v>3.3</x:v>
      </x:c>
      <x:c r="F193" s="109" t="n">
        <x:v>4.6</x:v>
      </x:c>
      <x:c r="G193" s="109" t="n">
        <x:v>5.2</x:v>
      </x:c>
      <x:c r="H193" s="109" t="n">
        <x:v>8.7</x:v>
      </x:c>
      <x:c r="I193" s="109" t="n">
        <x:v>5.7</x:v>
      </x:c>
      <x:c r="J193" s="109"/>
      <x:c r="K193" s="109" t="n">
        <x:v>4.7</x:v>
      </x:c>
      <x:c r="L193" s="109" t="n">
        <x:v>0</x:v>
      </x:c>
      <x:c r="M193" s="109" t="n">
        <x:v>2.1</x:v>
      </x:c>
      <x:c r="N193" s="109" t="n">
        <x:v>20.9</x:v>
      </x:c>
      <x:c r="O193" s="109" t="n">
        <x:v>2.1</x:v>
      </x:c>
      <x:c r="P193" s="109" t="n">
        <x:v>0</x:v>
      </x:c>
      <x:c r="Q193" s="109" t="n">
        <x:v>0</x:v>
      </x:c>
      <x:c r="R193" s="109" t="n">
        <x:v>4.5</x:v>
      </x:c>
      <x:c r="S193" s="109" t="n">
        <x:v>18</x:v>
      </x:c>
      <x:c r="T193" s="109" t="n">
        <x:v>0</x:v>
      </x:c>
      <x:c r="U193" s="109" t="n">
        <x:v>0</x:v>
      </x:c>
      <x:c r="V193" s="109" t="n">
        <x:v>6.4</x:v>
      </x:c>
      <x:c r="W193" s="109" t="n">
        <x:f>AVERAGE(E193:V193)</x:f>
        <x:v>5.070588235294117</x:v>
      </x:c>
      <x:c r="X193" s="109" t="n">
        <x:f>MEDIAN(E193:V193)</x:f>
        <x:v>4.5</x:v>
      </x:c>
      <x:c r="Y193" s="109" t="n">
        <x:f>PERCENTILE.INC(E193:V193,0.25)</x:f>
        <x:v>0</x:v>
      </x:c>
      <x:c r="Z193" s="109" t="n">
        <x:f>STDEV.P(E193:V193)</x:f>
        <x:v>5.8566969918187874</x:v>
      </x:c>
      <x:c r="AA193" s="173" t="n">
        <x:f>IF(W193=0,"",Z193/ABS(W193))</x:f>
        <x:v>1.1550330494306194</x:v>
      </x:c>
      <x:c r="AB193" s="173" t="n">
        <x:f>IF(W193=0,0,(COUNTIF(E193:V193,"&lt;"&amp;0.5*W193)-COUNTBLANK(E193:V193))/COUNT(E193:V193))</x:f>
        <x:v>0.4117647058823529</x:v>
      </x:c>
      <x:c r="AC193" s="109" t="n">
        <x:f>SUM(E193:V193)</x:f>
        <x:v>86.2</x:v>
      </x:c>
    </x:row>
    <x:row r="194">
      <x:c r="A194" s="108" t="str">
        <x:v>WR</x:v>
      </x:c>
      <x:c r="B194" s="108" t="str">
        <x:v>Christian Watson</x:v>
      </x:c>
      <x:c r="C194" s="108" t="str">
        <x:v>GB</x:v>
      </x:c>
      <x:c r="D194" s="108" t="n">
        <x:v>5</x:v>
      </x:c>
      <x:c r="E194" s="109" t="n">
        <x:v>0</x:v>
      </x:c>
      <x:c r="F194" s="109" t="n">
        <x:v>0</x:v>
      </x:c>
      <x:c r="G194" s="109" t="n">
        <x:v>0</x:v>
      </x:c>
      <x:c r="H194" s="109" t="n">
        <x:v>0</x:v>
      </x:c>
      <x:c r="I194" s="109"/>
      <x:c r="J194" s="109" t="n">
        <x:v>0</x:v>
      </x:c>
      <x:c r="K194" s="109" t="n">
        <x:v>0</x:v>
      </x:c>
      <x:c r="L194" s="109" t="n">
        <x:v>10.5</x:v>
      </x:c>
      <x:c r="M194" s="109" t="n">
        <x:v>6.8</x:v>
      </x:c>
      <x:c r="N194" s="109" t="n">
        <x:v>5.5</x:v>
      </x:c>
      <x:c r="O194" s="109" t="n">
        <x:v>18.6</x:v>
      </x:c>
      <x:c r="P194" s="109" t="n">
        <x:v>7.4</x:v>
      </x:c>
      <x:c r="Q194" s="109" t="n">
        <x:v>18.3</x:v>
      </x:c>
      <x:c r="R194" s="109" t="n">
        <x:v>24.9</x:v>
      </x:c>
      <x:c r="S194" s="109" t="n">
        <x:v>4.4</x:v>
      </x:c>
      <x:c r="T194" s="109" t="n">
        <x:v>2.7</x:v>
      </x:c>
      <x:c r="U194" s="109" t="n">
        <x:v>19.8</x:v>
      </x:c>
      <x:c r="V194" s="109" t="n">
        <x:v>0</x:v>
      </x:c>
      <x:c r="W194" s="109" t="n">
        <x:f>AVERAGE(E194:V194)</x:f>
        <x:v>6.9941176470588236</x:v>
      </x:c>
      <x:c r="X194" s="109" t="n">
        <x:f>MEDIAN(E194:V194)</x:f>
        <x:v>4.4</x:v>
      </x:c>
      <x:c r="Y194" s="109" t="n">
        <x:f>PERCENTILE.INC(E194:V194,0.25)</x:f>
        <x:v>0</x:v>
      </x:c>
      <x:c r="Z194" s="109" t="n">
        <x:f>STDEV.P(E194:V194)</x:f>
        <x:v>8.150963175726014</x:v>
      </x:c>
      <x:c r="AA194" s="173" t="n">
        <x:f>IF(W194=0,"",Z194/ABS(W194))</x:f>
        <x:v>1.1654026407682274</x:v>
      </x:c>
      <x:c r="AB194" s="173" t="n">
        <x:f>IF(W194=0,0,(COUNTIF(E194:V194,"&lt;"&amp;0.5*W194)-COUNTBLANK(E194:V194))/COUNT(E194:V194))</x:f>
        <x:v>0.47058823529411764</x:v>
      </x:c>
      <x:c r="AC194" s="109" t="n">
        <x:f>SUM(E194:V194)</x:f>
        <x:v>118.9</x:v>
      </x:c>
    </x:row>
    <x:row r="195">
      <x:c r="A195" s="108" t="str">
        <x:v>WR</x:v>
      </x:c>
      <x:c r="B195" s="108" t="str">
        <x:v>Jalen Coker</x:v>
      </x:c>
      <x:c r="C195" s="108" t="str">
        <x:v>CAR</x:v>
      </x:c>
      <x:c r="D195" s="108" t="n">
        <x:v>14</x:v>
      </x:c>
      <x:c r="E195" s="109" t="n">
        <x:v>0</x:v>
      </x:c>
      <x:c r="F195" s="109" t="n">
        <x:v>0</x:v>
      </x:c>
      <x:c r="G195" s="109" t="n">
        <x:v>0</x:v>
      </x:c>
      <x:c r="H195" s="109" t="n">
        <x:v>0</x:v>
      </x:c>
      <x:c r="I195" s="109" t="n">
        <x:v>0</x:v>
      </x:c>
      <x:c r="J195" s="109" t="n">
        <x:v>0</x:v>
      </x:c>
      <x:c r="K195" s="109" t="n">
        <x:v>0</x:v>
      </x:c>
      <x:c r="L195" s="109" t="n">
        <x:v>5.1</x:v>
      </x:c>
      <x:c r="M195" s="109" t="n">
        <x:v>1.4</x:v>
      </x:c>
      <x:c r="N195" s="109" t="n">
        <x:v>3.6</x:v>
      </x:c>
      <x:c r="O195" s="109" t="n">
        <x:v>9.2</x:v>
      </x:c>
      <x:c r="P195" s="109" t="n">
        <x:v>4.7</x:v>
      </x:c>
      <x:c r="Q195" s="109" t="n">
        <x:v>15.4</x:v>
      </x:c>
      <x:c r="R195" s="109"/>
      <x:c r="S195" s="109" t="n">
        <x:v>12</x:v>
      </x:c>
      <x:c r="T195" s="109" t="n">
        <x:v>6.2</x:v>
      </x:c>
      <x:c r="U195" s="109" t="n">
        <x:v>2.6</x:v>
      </x:c>
      <x:c r="V195" s="109" t="n">
        <x:v>13.7</x:v>
      </x:c>
      <x:c r="W195" s="109" t="n">
        <x:f>AVERAGE(E195:V195)</x:f>
        <x:v>4.347058823529412</x:v>
      </x:c>
      <x:c r="X195" s="109" t="n">
        <x:f>MEDIAN(E195:V195)</x:f>
        <x:v>2.6</x:v>
      </x:c>
      <x:c r="Y195" s="109" t="n">
        <x:f>PERCENTILE.INC(E195:V195,0.25)</x:f>
        <x:v>0</x:v>
      </x:c>
      <x:c r="Z195" s="109" t="n">
        <x:f>STDEV.P(E195:V195)</x:f>
        <x:v>5.0901424511510855</x:v>
      </x:c>
      <x:c r="AA195" s="173" t="n">
        <x:f>IF(W195=0,"",Z195/ABS(W195))</x:f>
        <x:v>1.1709394001294782</x:v>
      </x:c>
      <x:c r="AB195" s="173" t="n">
        <x:f>IF(W195=0,0,(COUNTIF(E195:V195,"&lt;"&amp;0.5*W195)-COUNTBLANK(E195:V195))/COUNT(E195:V195))</x:f>
        <x:v>0.47058823529411764</x:v>
      </x:c>
      <x:c r="AC195" s="109" t="n">
        <x:f>SUM(E195:V195)</x:f>
        <x:v>73.9</x:v>
      </x:c>
    </x:row>
    <x:row r="196">
      <x:c r="A196" s="108" t="str">
        <x:v>WR</x:v>
      </x:c>
      <x:c r="B196" s="108" t="str">
        <x:v>Isaac TeSlaa</x:v>
      </x:c>
      <x:c r="C196" s="108" t="str">
        <x:v>DET</x:v>
      </x:c>
      <x:c r="D196" s="108" t="n">
        <x:v>8</x:v>
      </x:c>
      <x:c r="E196" s="109" t="n">
        <x:v>7.8</x:v>
      </x:c>
      <x:c r="F196" s="109" t="n">
        <x:v>3.4</x:v>
      </x:c>
      <x:c r="G196" s="109" t="n">
        <x:v>0</x:v>
      </x:c>
      <x:c r="H196" s="109" t="n">
        <x:v>0</x:v>
      </x:c>
      <x:c r="I196" s="109" t="n">
        <x:v>7.7</x:v>
      </x:c>
      <x:c r="J196" s="109" t="n">
        <x:v>0</x:v>
      </x:c>
      <x:c r="K196" s="109" t="n">
        <x:v>0</x:v>
      </x:c>
      <x:c r="L196" s="109"/>
      <x:c r="M196" s="109" t="n">
        <x:v>0</x:v>
      </x:c>
      <x:c r="N196" s="109" t="n">
        <x:v>1.6</x:v>
      </x:c>
      <x:c r="O196" s="109" t="n">
        <x:v>0</x:v>
      </x:c>
      <x:c r="P196" s="109" t="n">
        <x:v>0</x:v>
      </x:c>
      <x:c r="Q196" s="109" t="n">
        <x:v>10.5</x:v>
      </x:c>
      <x:c r="R196" s="109" t="n">
        <x:v>9</x:v>
      </x:c>
      <x:c r="S196" s="109" t="n">
        <x:v>0</x:v>
      </x:c>
      <x:c r="T196" s="109" t="n">
        <x:v>13.2</x:v>
      </x:c>
      <x:c r="U196" s="109" t="n">
        <x:v>12.4</x:v>
      </x:c>
      <x:c r="V196" s="109" t="n">
        <x:v>2.3</x:v>
      </x:c>
      <x:c r="W196" s="109" t="n">
        <x:f>AVERAGE(E196:V196)</x:f>
        <x:v>3.994117647058824</x:v>
      </x:c>
      <x:c r="X196" s="109" t="n">
        <x:f>MEDIAN(E196:V196)</x:f>
        <x:v>1.6</x:v>
      </x:c>
      <x:c r="Y196" s="109" t="n">
        <x:f>PERCENTILE.INC(E196:V196,0.25)</x:f>
        <x:v>0</x:v>
      </x:c>
      <x:c r="Z196" s="109" t="n">
        <x:f>STDEV.P(E196:V196)</x:f>
        <x:v>4.774869334613227</x:v>
      </x:c>
      <x:c r="AA196" s="173" t="n">
        <x:f>IF(W196=0,"",Z196/ABS(W196))</x:f>
        <x:v>1.1954753856910876</x:v>
      </x:c>
      <x:c r="AB196" s="173" t="n">
        <x:f>IF(W196=0,0,(COUNTIF(E196:V196,"&lt;"&amp;0.5*W196)-COUNTBLANK(E196:V196))/COUNT(E196:V196))</x:f>
        <x:v>0.5294117647058824</x:v>
      </x:c>
      <x:c r="AC196" s="109" t="n">
        <x:f>SUM(E196:V196)</x:f>
        <x:v>67.9</x:v>
      </x:c>
    </x:row>
    <x:row r="197">
      <x:c r="A197" s="108" t="str">
        <x:v>WR</x:v>
      </x:c>
      <x:c r="B197" s="108" t="str">
        <x:v>Tez Johnson</x:v>
      </x:c>
      <x:c r="C197" s="108" t="str">
        <x:v>TB</x:v>
      </x:c>
      <x:c r="D197" s="108" t="n">
        <x:v>9</x:v>
      </x:c>
      <x:c r="E197" s="109" t="n">
        <x:v>0</x:v>
      </x:c>
      <x:c r="F197" s="109" t="n">
        <x:v>0</x:v>
      </x:c>
      <x:c r="G197" s="109" t="n">
        <x:v>0</x:v>
      </x:c>
      <x:c r="H197" s="109" t="n">
        <x:v>1.8</x:v>
      </x:c>
      <x:c r="I197" s="109" t="n">
        <x:v>7.9</x:v>
      </x:c>
      <x:c r="J197" s="109" t="n">
        <x:v>15</x:v>
      </x:c>
      <x:c r="K197" s="109" t="n">
        <x:v>13.8</x:v>
      </x:c>
      <x:c r="L197" s="109" t="n">
        <x:v>6.8</x:v>
      </x:c>
      <x:c r="M197" s="109"/>
      <x:c r="N197" s="109" t="n">
        <x:v>18.2</x:v>
      </x:c>
      <x:c r="O197" s="109" t="n">
        <x:v>1.1</x:v>
      </x:c>
      <x:c r="P197" s="109" t="n">
        <x:v>10.8</x:v>
      </x:c>
      <x:c r="Q197" s="109" t="n">
        <x:v>1</x:v>
      </x:c>
      <x:c r="R197" s="109" t="n">
        <x:v>0</x:v>
      </x:c>
      <x:c r="S197" s="109" t="n">
        <x:v>0</x:v>
      </x:c>
      <x:c r="T197" s="109" t="n">
        <x:v>0.4</x:v>
      </x:c>
      <x:c r="U197" s="109" t="n">
        <x:v>2.9</x:v>
      </x:c>
      <x:c r="V197" s="109" t="n">
        <x:v>2.7</x:v>
      </x:c>
      <x:c r="W197" s="109" t="n">
        <x:f>AVERAGE(E197:V197)</x:f>
        <x:v>4.847058823529412</x:v>
      </x:c>
      <x:c r="X197" s="109" t="n">
        <x:f>MEDIAN(E197:V197)</x:f>
        <x:v>1.8</x:v>
      </x:c>
      <x:c r="Y197" s="109" t="n">
        <x:f>PERCENTILE.INC(E197:V197,0.25)</x:f>
        <x:v>0</x:v>
      </x:c>
      <x:c r="Z197" s="109" t="n">
        <x:f>STDEV.P(E197:V197)</x:f>
        <x:v>5.910520793920222</x:v>
      </x:c>
      <x:c r="AA197" s="173" t="n">
        <x:f>IF(W197=0,"",Z197/ABS(W197))</x:f>
        <x:v>1.2194035618524728</x:v>
      </x:c>
      <x:c r="AB197" s="173" t="n">
        <x:f>IF(W197=0,0,(COUNTIF(E197:V197,"&lt;"&amp;0.5*W197)-COUNTBLANK(E197:V197))/COUNT(E197:V197))</x:f>
        <x:v>0.5294117647058824</x:v>
      </x:c>
      <x:c r="AC197" s="109" t="n">
        <x:f>SUM(E197:V197)</x:f>
        <x:v>82.4</x:v>
      </x:c>
    </x:row>
    <x:row r="198">
      <x:c r="A198" s="108" t="str">
        <x:v>WR</x:v>
      </x:c>
      <x:c r="B198" s="108" t="str">
        <x:v>Jahan Dotson</x:v>
      </x:c>
      <x:c r="C198" s="108" t="str">
        <x:v>PHI</x:v>
      </x:c>
      <x:c r="D198" s="108" t="n">
        <x:v>9</x:v>
      </x:c>
      <x:c r="E198" s="109" t="n">
        <x:v>7.4</x:v>
      </x:c>
      <x:c r="F198" s="109" t="n">
        <x:v>1.6</x:v>
      </x:c>
      <x:c r="G198" s="109" t="n">
        <x:v>1.2</x:v>
      </x:c>
      <x:c r="H198" s="109" t="n">
        <x:v>0.15</x:v>
      </x:c>
      <x:c r="I198" s="109" t="n">
        <x:v>3.65</x:v>
      </x:c>
      <x:c r="J198" s="109" t="n">
        <x:v>3</x:v>
      </x:c>
      <x:c r="K198" s="109" t="n">
        <x:v>0</x:v>
      </x:c>
      <x:c r="L198" s="109" t="n">
        <x:v>12.5</x:v>
      </x:c>
      <x:c r="M198" s="109"/>
      <x:c r="N198" s="109" t="n">
        <x:v>0</x:v>
      </x:c>
      <x:c r="O198" s="109" t="n">
        <x:v>5.3</x:v>
      </x:c>
      <x:c r="P198" s="109" t="n">
        <x:v>0</x:v>
      </x:c>
      <x:c r="Q198" s="109" t="n">
        <x:v>1.7</x:v>
      </x:c>
      <x:c r="R198" s="109" t="n">
        <x:v>0.8</x:v>
      </x:c>
      <x:c r="S198" s="109" t="n">
        <x:v>0</x:v>
      </x:c>
      <x:c r="T198" s="109" t="n">
        <x:v>2.8</x:v>
      </x:c>
      <x:c r="U198" s="109" t="n">
        <x:v>0</x:v>
      </x:c>
      <x:c r="V198" s="109" t="n">
        <x:v>5.5</x:v>
      </x:c>
      <x:c r="W198" s="109" t="n">
        <x:f>AVERAGE(E198:V198)</x:f>
        <x:v>2.6823529411764704</x:v>
      </x:c>
      <x:c r="X198" s="109" t="n">
        <x:f>MEDIAN(E198:V198)</x:f>
        <x:v>1.6</x:v>
      </x:c>
      <x:c r="Y198" s="109" t="n">
        <x:f>PERCENTILE.INC(E198:V198,0.25)</x:f>
        <x:v>0</x:v>
      </x:c>
      <x:c r="Z198" s="109" t="n">
        <x:f>STDEV.P(E198:V198)</x:f>
        <x:v>3.29660882692889</x:v>
      </x:c>
      <x:c r="AA198" s="173" t="n">
        <x:f>IF(W198=0,"",Z198/ABS(W198))</x:f>
        <x:v>1.2289989047761214</x:v>
      </x:c>
      <x:c r="AB198" s="173" t="n">
        <x:f>IF(W198=0,0,(COUNTIF(E198:V198,"&lt;"&amp;0.5*W198)-COUNTBLANK(E198:V198))/COUNT(E198:V198))</x:f>
        <x:v>0.47058823529411764</x:v>
      </x:c>
      <x:c r="AC198" s="109" t="n">
        <x:f>SUM(E198:V198)</x:f>
        <x:v>45.599999999999994</x:v>
      </x:c>
    </x:row>
    <x:row r="199">
      <x:c r="A199" s="108" t="str">
        <x:v>WR</x:v>
      </x:c>
      <x:c r="B199" s="108" t="str">
        <x:v>Kendrick Bourne</x:v>
      </x:c>
      <x:c r="C199" s="108" t="str">
        <x:v>SF</x:v>
      </x:c>
      <x:c r="D199" s="108" t="n">
        <x:v>14</x:v>
      </x:c>
      <x:c r="E199" s="109" t="n">
        <x:v>0</x:v>
      </x:c>
      <x:c r="F199" s="109" t="n">
        <x:v>4.7</x:v>
      </x:c>
      <x:c r="G199" s="109" t="n">
        <x:v>5.8</x:v>
      </x:c>
      <x:c r="H199" s="109" t="n">
        <x:v>2.2</x:v>
      </x:c>
      <x:c r="I199" s="109" t="n">
        <x:v>19.2</x:v>
      </x:c>
      <x:c r="J199" s="109" t="n">
        <x:v>16.7</x:v>
      </x:c>
      <x:c r="K199" s="109" t="n">
        <x:v>2.4</x:v>
      </x:c>
      <x:c r="L199" s="109" t="n">
        <x:v>5.9</x:v>
      </x:c>
      <x:c r="M199" s="109" t="n">
        <x:v>4.4</x:v>
      </x:c>
      <x:c r="N199" s="109" t="n">
        <x:v>2.4</x:v>
      </x:c>
      <x:c r="O199" s="109" t="n">
        <x:v>0</x:v>
      </x:c>
      <x:c r="P199" s="109" t="n">
        <x:v>0</x:v>
      </x:c>
      <x:c r="Q199" s="109" t="n">
        <x:v>0</x:v>
      </x:c>
      <x:c r="R199" s="109"/>
      <x:c r="S199" s="109" t="n">
        <x:v>2.7</x:v>
      </x:c>
      <x:c r="T199" s="109" t="n">
        <x:v>4.2</x:v>
      </x:c>
      <x:c r="U199" s="109" t="n">
        <x:v>3</x:v>
      </x:c>
      <x:c r="V199" s="109" t="n">
        <x:v>0</x:v>
      </x:c>
      <x:c r="W199" s="109" t="n">
        <x:f>AVERAGE(E199:V199)</x:f>
        <x:v>4.329411764705882</x:v>
      </x:c>
      <x:c r="X199" s="109" t="n">
        <x:f>MEDIAN(E199:V199)</x:f>
        <x:v>2.7</x:v>
      </x:c>
      <x:c r="Y199" s="109" t="n">
        <x:f>PERCENTILE.INC(E199:V199,0.25)</x:f>
        <x:v>0</x:v>
      </x:c>
      <x:c r="Z199" s="109" t="n">
        <x:f>STDEV.P(E199:V199)</x:f>
        <x:v>5.363686693692771</x:v>
      </x:c>
      <x:c r="AA199" s="173" t="n">
        <x:f>IF(W199=0,"",Z199/ABS(W199))</x:f>
        <x:v>1.2388950243583847</x:v>
      </x:c>
      <x:c r="AB199" s="173" t="n">
        <x:f>IF(W199=0,0,(COUNTIF(E199:V199,"&lt;"&amp;0.5*W199)-COUNTBLANK(E199:V199))/COUNT(E199:V199))</x:f>
        <x:v>0.29411764705882354</x:v>
      </x:c>
      <x:c r="AC199" s="109" t="n">
        <x:f>SUM(E199:V199)</x:f>
        <x:v>73.6</x:v>
      </x:c>
    </x:row>
    <x:row r="200">
      <x:c r="A200" s="108" t="str">
        <x:v>WR</x:v>
      </x:c>
      <x:c r="B200" s="108" t="str">
        <x:v>Rashee Rice</x:v>
      </x:c>
      <x:c r="C200" s="108" t="str">
        <x:v>KC</x:v>
      </x:c>
      <x:c r="D200" s="108" t="n">
        <x:v>10</x:v>
      </x:c>
      <x:c r="E200" s="109" t="n">
        <x:v>0</x:v>
      </x:c>
      <x:c r="F200" s="109" t="n">
        <x:v>0</x:v>
      </x:c>
      <x:c r="G200" s="109" t="n">
        <x:v>0</x:v>
      </x:c>
      <x:c r="H200" s="109" t="n">
        <x:v>0</x:v>
      </x:c>
      <x:c r="I200" s="109" t="n">
        <x:v>0</x:v>
      </x:c>
      <x:c r="J200" s="109" t="n">
        <x:v>0</x:v>
      </x:c>
      <x:c r="K200" s="109" t="n">
        <x:v>19.7</x:v>
      </x:c>
      <x:c r="L200" s="109" t="n">
        <x:v>20.5</x:v>
      </x:c>
      <x:c r="M200" s="109" t="n">
        <x:v>16.6</x:v>
      </x:c>
      <x:c r="N200" s="109"/>
      <x:c r="O200" s="109" t="n">
        <x:v>6.8</x:v>
      </x:c>
      <x:c r="P200" s="109" t="n">
        <x:v>20.1</x:v>
      </x:c>
      <x:c r="Q200" s="109" t="n">
        <x:v>24.9</x:v>
      </x:c>
      <x:c r="R200" s="109" t="n">
        <x:v>5.4</x:v>
      </x:c>
      <x:c r="S200" s="109" t="n">
        <x:v>8.6</x:v>
      </x:c>
      <x:c r="T200" s="109" t="n">
        <x:v>0</x:v>
      </x:c>
      <x:c r="U200" s="109" t="n">
        <x:v>0</x:v>
      </x:c>
      <x:c r="V200" s="109" t="n">
        <x:v>0</x:v>
      </x:c>
      <x:c r="W200" s="109" t="n">
        <x:f>AVERAGE(E200:V200)</x:f>
        <x:v>7.211764705882352</x:v>
      </x:c>
      <x:c r="X200" s="109" t="n">
        <x:f>MEDIAN(E200:V200)</x:f>
        <x:v>0</x:v>
      </x:c>
      <x:c r="Y200" s="109" t="n">
        <x:f>PERCENTILE.INC(E200:V200,0.25)</x:f>
        <x:v>0</x:v>
      </x:c>
      <x:c r="Z200" s="109" t="n">
        <x:f>STDEV.P(E200:V200)</x:f>
        <x:v>8.98730361663485</x:v>
      </x:c>
      <x:c r="AA200" s="173" t="n">
        <x:f>IF(W200=0,"",Z200/ABS(W200))</x:f>
        <x:v>1.2462003383588294</x:v>
      </x:c>
      <x:c r="AB200" s="173" t="n">
        <x:f>IF(W200=0,0,(COUNTIF(E200:V200,"&lt;"&amp;0.5*W200)-COUNTBLANK(E200:V200))/COUNT(E200:V200))</x:f>
        <x:v>0.5294117647058824</x:v>
      </x:c>
      <x:c r="AC200" s="109" t="n">
        <x:f>SUM(E200:V200)</x:f>
        <x:v>122.6</x:v>
      </x:c>
    </x:row>
    <x:row r="201">
      <x:c r="A201" s="108" t="str">
        <x:v>WR</x:v>
      </x:c>
      <x:c r="B201" s="108" t="str">
        <x:v>Cedric Tillman</x:v>
      </x:c>
      <x:c r="C201" s="108" t="str">
        <x:v>CLE</x:v>
      </x:c>
      <x:c r="D201" s="108" t="n">
        <x:v>9</x:v>
      </x:c>
      <x:c r="E201" s="109" t="n">
        <x:v>13.7</x:v>
      </x:c>
      <x:c r="F201" s="109" t="n">
        <x:v>9.2</x:v>
      </x:c>
      <x:c r="G201" s="109" t="n">
        <x:v>4.1</x:v>
      </x:c>
      <x:c r="H201" s="109" t="n">
        <x:v>1.1</x:v>
      </x:c>
      <x:c r="I201" s="109" t="n">
        <x:v>0</x:v>
      </x:c>
      <x:c r="J201" s="109" t="n">
        <x:v>0</x:v>
      </x:c>
      <x:c r="K201" s="109" t="n">
        <x:v>0</x:v>
      </x:c>
      <x:c r="L201" s="109" t="n">
        <x:v>0</x:v>
      </x:c>
      <x:c r="M201" s="109"/>
      <x:c r="N201" s="109" t="n">
        <x:v>2.1</x:v>
      </x:c>
      <x:c r="O201" s="109" t="n">
        <x:v>6.7</x:v>
      </x:c>
      <x:c r="P201" s="109" t="n">
        <x:v>1</x:v>
      </x:c>
      <x:c r="Q201" s="109" t="n">
        <x:v>0</x:v>
      </x:c>
      <x:c r="R201" s="109" t="n">
        <x:v>2.8</x:v>
      </x:c>
      <x:c r="S201" s="109" t="n">
        <x:v>0</x:v>
      </x:c>
      <x:c r="T201" s="109" t="n">
        <x:v>1.3</x:v>
      </x:c>
      <x:c r="U201" s="109" t="n">
        <x:v>4.7</x:v>
      </x:c>
      <x:c r="V201" s="109" t="n">
        <x:v>2.8</x:v>
      </x:c>
      <x:c r="W201" s="109" t="n">
        <x:f>AVERAGE(E201:V201)</x:f>
        <x:v>2.911764705882353</x:v>
      </x:c>
      <x:c r="X201" s="109" t="n">
        <x:f>MEDIAN(E201:V201)</x:f>
        <x:v>1.3</x:v>
      </x:c>
      <x:c r="Y201" s="109" t="n">
        <x:f>PERCENTILE.INC(E201:V201,0.25)</x:f>
        <x:v>0</x:v>
      </x:c>
      <x:c r="Z201" s="109" t="n">
        <x:f>STDEV.P(E201:V201)</x:f>
        <x:v>3.725726514692636</x:v>
      </x:c>
      <x:c r="AA201" s="173" t="n">
        <x:f>IF(W201=0,"",Z201/ABS(W201))</x:f>
        <x:v>1.2795424393893902</x:v>
      </x:c>
      <x:c r="AB201" s="173" t="n">
        <x:f>IF(W201=0,0,(COUNTIF(E201:V201,"&lt;"&amp;0.5*W201)-COUNTBLANK(E201:V201))/COUNT(E201:V201))</x:f>
        <x:v>0.5294117647058824</x:v>
      </x:c>
      <x:c r="AC201" s="109" t="n">
        <x:f>SUM(E201:V201)</x:f>
        <x:v>49.5</x:v>
      </x:c>
    </x:row>
    <x:row r="202">
      <x:c r="A202" s="108" t="str">
        <x:v>WR</x:v>
      </x:c>
      <x:c r="B202" s="108" t="str">
        <x:v>Ricky Pearsall</x:v>
      </x:c>
      <x:c r="C202" s="108" t="str">
        <x:v>SF</x:v>
      </x:c>
      <x:c r="D202" s="108" t="n">
        <x:v>14</x:v>
      </x:c>
      <x:c r="E202" s="109" t="n">
        <x:v>12.8</x:v>
      </x:c>
      <x:c r="F202" s="109" t="n">
        <x:v>7.2</x:v>
      </x:c>
      <x:c r="G202" s="109" t="n">
        <x:v>15.7</x:v>
      </x:c>
      <x:c r="H202" s="109" t="n">
        <x:v>6.6</x:v>
      </x:c>
      <x:c r="I202" s="109" t="n">
        <x:v>0</x:v>
      </x:c>
      <x:c r="J202" s="109" t="n">
        <x:v>0</x:v>
      </x:c>
      <x:c r="K202" s="109" t="n">
        <x:v>0</x:v>
      </x:c>
      <x:c r="L202" s="109" t="n">
        <x:v>0</x:v>
      </x:c>
      <x:c r="M202" s="109" t="n">
        <x:v>0</x:v>
      </x:c>
      <x:c r="N202" s="109" t="n">
        <x:v>0</x:v>
      </x:c>
      <x:c r="O202" s="109" t="n">
        <x:v>0.5</x:v>
      </x:c>
      <x:c r="P202" s="109" t="n">
        <x:v>1.8</x:v>
      </x:c>
      <x:c r="Q202" s="109" t="n">
        <x:v>2.4</x:v>
      </x:c>
      <x:c r="R202" s="109"/>
      <x:c r="S202" s="109" t="n">
        <x:v>12.6</x:v>
      </x:c>
      <x:c r="T202" s="109" t="n">
        <x:v>0</x:v>
      </x:c>
      <x:c r="U202" s="109" t="n">
        <x:v>11</x:v>
      </x:c>
      <x:c r="V202" s="109" t="n">
        <x:v>0</x:v>
      </x:c>
      <x:c r="W202" s="109" t="n">
        <x:f>AVERAGE(E202:V202)</x:f>
        <x:v>4.152941176470588</x:v>
      </x:c>
      <x:c r="X202" s="109" t="n">
        <x:f>MEDIAN(E202:V202)</x:f>
        <x:v>0.5</x:v>
      </x:c>
      <x:c r="Y202" s="109" t="n">
        <x:f>PERCENTILE.INC(E202:V202,0.25)</x:f>
        <x:v>0</x:v>
      </x:c>
      <x:c r="Z202" s="109" t="n">
        <x:f>STDEV.P(E202:V202)</x:f>
        <x:v>5.431619588067722</x:v>
      </x:c>
      <x:c r="AA202" s="173" t="n">
        <x:f>IF(W202=0,"",Z202/ABS(W202))</x:f>
        <x:v>1.3078970679483186</x:v>
      </x:c>
      <x:c r="AB202" s="173" t="n">
        <x:f>IF(W202=0,0,(COUNTIF(E202:V202,"&lt;"&amp;0.5*W202)-COUNTBLANK(E202:V202))/COUNT(E202:V202))</x:f>
        <x:v>0.5882352941176471</x:v>
      </x:c>
      <x:c r="AC202" s="109" t="n">
        <x:f>SUM(E202:V202)</x:f>
        <x:v>70.6</x:v>
      </x:c>
    </x:row>
    <x:row r="203">
      <x:c r="A203" s="108" t="str">
        <x:v>WR</x:v>
      </x:c>
      <x:c r="B203" s="108" t="str">
        <x:v>Mike Evans</x:v>
      </x:c>
      <x:c r="C203" s="108" t="str">
        <x:v>TB</x:v>
      </x:c>
      <x:c r="D203" s="108" t="n">
        <x:v>9</x:v>
      </x:c>
      <x:c r="E203" s="109" t="n">
        <x:v>7.6</x:v>
      </x:c>
      <x:c r="F203" s="109" t="n">
        <x:v>8.1</x:v>
      </x:c>
      <x:c r="G203" s="109" t="n">
        <x:v>11.3</x:v>
      </x:c>
      <x:c r="H203" s="109" t="n">
        <x:v>0</x:v>
      </x:c>
      <x:c r="I203" s="109" t="n">
        <x:v>0</x:v>
      </x:c>
      <x:c r="J203" s="109" t="n">
        <x:v>0</x:v>
      </x:c>
      <x:c r="K203" s="109" t="n">
        <x:v>0</x:v>
      </x:c>
      <x:c r="L203" s="109" t="n">
        <x:v>0</x:v>
      </x:c>
      <x:c r="M203" s="109"/>
      <x:c r="N203" s="109" t="n">
        <x:v>0</x:v>
      </x:c>
      <x:c r="O203" s="109" t="n">
        <x:v>0</x:v>
      </x:c>
      <x:c r="P203" s="109" t="n">
        <x:v>0</x:v>
      </x:c>
      <x:c r="Q203" s="109" t="n">
        <x:v>0</x:v>
      </x:c>
      <x:c r="R203" s="109" t="n">
        <x:v>0</x:v>
      </x:c>
      <x:c r="S203" s="109" t="n">
        <x:v>16.2</x:v>
      </x:c>
      <x:c r="T203" s="109" t="n">
        <x:v>11.6</x:v>
      </x:c>
      <x:c r="U203" s="109" t="n">
        <x:v>10.6</x:v>
      </x:c>
      <x:c r="V203" s="109" t="n">
        <x:v>4.4</x:v>
      </x:c>
      <x:c r="W203" s="109" t="n">
        <x:f>AVERAGE(E203:V203)</x:f>
        <x:v>4.105882352941177</x:v>
      </x:c>
      <x:c r="X203" s="109" t="n">
        <x:f>MEDIAN(E203:V203)</x:f>
        <x:v>0</x:v>
      </x:c>
      <x:c r="Y203" s="109" t="n">
        <x:f>PERCENTILE.INC(E203:V203,0.25)</x:f>
        <x:v>0</x:v>
      </x:c>
      <x:c r="Z203" s="109" t="n">
        <x:f>STDEV.P(E203:V203)</x:f>
        <x:v>5.386199204310226</x:v>
      </x:c>
      <x:c r="AA203" s="173" t="n">
        <x:f>IF(W203=0,"",Z203/ABS(W203))</x:f>
        <x:v>1.311825021107075</x:v>
      </x:c>
      <x:c r="AB203" s="173" t="n">
        <x:f>IF(W203=0,0,(COUNTIF(E203:V203,"&lt;"&amp;0.5*W203)-COUNTBLANK(E203:V203))/COUNT(E203:V203))</x:f>
        <x:v>0.5882352941176471</x:v>
      </x:c>
      <x:c r="AC203" s="109" t="n">
        <x:f>SUM(E203:V203)</x:f>
        <x:v>69.80000000000001</x:v>
      </x:c>
    </x:row>
    <x:row r="204">
      <x:c r="A204" s="108" t="str">
        <x:v>WR</x:v>
      </x:c>
      <x:c r="B204" s="108" t="str">
        <x:v>Luke McCaffrey</x:v>
      </x:c>
      <x:c r="C204" s="108" t="str">
        <x:v>WSH</x:v>
      </x:c>
      <x:c r="D204" s="108" t="n">
        <x:v>12</x:v>
      </x:c>
      <x:c r="E204" s="109" t="n">
        <x:v>1.08</x:v>
      </x:c>
      <x:c r="F204" s="109" t="n">
        <x:v>5.15</x:v>
      </x:c>
      <x:c r="G204" s="109" t="n">
        <x:v>15.85</x:v>
      </x:c>
      <x:c r="H204" s="109" t="n">
        <x:v>15.07</x:v>
      </x:c>
      <x:c r="I204" s="109" t="n">
        <x:v>8.26</x:v>
      </x:c>
      <x:c r="J204" s="109" t="n">
        <x:v>13.61</x:v>
      </x:c>
      <x:c r="K204" s="109" t="n">
        <x:v>6.27</x:v>
      </x:c>
      <x:c r="L204" s="109" t="n">
        <x:v>5.01</x:v>
      </x:c>
      <x:c r="M204" s="109" t="n">
        <x:v>0.57</x:v>
      </x:c>
      <x:c r="N204" s="109" t="n">
        <x:v>0</x:v>
      </x:c>
      <x:c r="O204" s="109" t="n">
        <x:v>0</x:v>
      </x:c>
      <x:c r="P204" s="109"/>
      <x:c r="Q204" s="109" t="n">
        <x:v>0</x:v>
      </x:c>
      <x:c r="R204" s="109" t="n">
        <x:v>0</x:v>
      </x:c>
      <x:c r="S204" s="109" t="n">
        <x:v>0</x:v>
      </x:c>
      <x:c r="T204" s="109" t="n">
        <x:v>0</x:v>
      </x:c>
      <x:c r="U204" s="109" t="n">
        <x:v>0</x:v>
      </x:c>
      <x:c r="V204" s="109" t="n">
        <x:v>0</x:v>
      </x:c>
      <x:c r="W204" s="109" t="n">
        <x:f>AVERAGE(E204:V204)</x:f>
        <x:v>4.168823529411764</x:v>
      </x:c>
      <x:c r="X204" s="109" t="n">
        <x:f>MEDIAN(E204:V204)</x:f>
        <x:v>0.57</x:v>
      </x:c>
      <x:c r="Y204" s="109" t="n">
        <x:f>PERCENTILE.INC(E204:V204,0.25)</x:f>
        <x:v>0</x:v>
      </x:c>
      <x:c r="Z204" s="109" t="n">
        <x:f>STDEV.P(E204:V204)</x:f>
        <x:v>5.577103277585788</x:v>
      </x:c>
      <x:c r="AA204" s="173" t="n">
        <x:f>IF(W204=0,"",Z204/ABS(W204))</x:f>
        <x:v>1.3378122720327137</x:v>
      </x:c>
      <x:c r="AB204" s="173" t="n">
        <x:f>IF(W204=0,0,(COUNTIF(E204:V204,"&lt;"&amp;0.5*W204)-COUNTBLANK(E204:V204))/COUNT(E204:V204))</x:f>
        <x:v>0.5882352941176471</x:v>
      </x:c>
      <x:c r="AC204" s="109" t="n">
        <x:f>SUM(E204:V204)</x:f>
        <x:v>70.86999999999999</x:v>
      </x:c>
    </x:row>
    <x:row r="205">
      <x:c r="A205" s="108" t="str">
        <x:v>WR</x:v>
      </x:c>
      <x:c r="B205" s="108" t="str">
        <x:v>Adonai Mitchell</x:v>
      </x:c>
      <x:c r="C205" s="108" t="str">
        <x:v>NYJ/IND</x:v>
      </x:c>
      <x:c r="D205" s="108" t="n">
        <x:v>11</x:v>
      </x:c>
      <x:c r="E205" s="109" t="n">
        <x:v>3.1</x:v>
      </x:c>
      <x:c r="F205" s="109" t="n">
        <x:v>3</x:v>
      </x:c>
      <x:c r="G205" s="109" t="n">
        <x:v>0</x:v>
      </x:c>
      <x:c r="H205" s="109" t="n">
        <x:v>9.1</x:v>
      </x:c>
      <x:c r="I205" s="109" t="n">
        <x:v>0</x:v>
      </x:c>
      <x:c r="J205" s="109" t="n">
        <x:v>0</x:v>
      </x:c>
      <x:c r="K205" s="109" t="n">
        <x:v>1.3</x:v>
      </x:c>
      <x:c r="L205" s="109" t="n">
        <x:v>0</x:v>
      </x:c>
      <x:c r="M205" s="109" t="n">
        <x:v>1.2</x:v>
      </x:c>
      <x:c r="N205" s="109" t="n">
        <x:v>0</x:v>
      </x:c>
      <x:c r="O205" s="109"/>
      <x:c r="P205" s="109" t="n">
        <x:v>5.2</x:v>
      </x:c>
      <x:c r="Q205" s="109" t="n">
        <x:v>22.2</x:v>
      </x:c>
      <x:c r="R205" s="109" t="n">
        <x:v>2.9</x:v>
      </x:c>
      <x:c r="S205" s="109" t="n">
        <x:v>14.4</x:v>
      </x:c>
      <x:c r="T205" s="109" t="n">
        <x:v>5.8</x:v>
      </x:c>
      <x:c r="U205" s="109" t="n">
        <x:v>3.7</x:v>
      </x:c>
      <x:c r="V205" s="109" t="n">
        <x:v>0</x:v>
      </x:c>
      <x:c r="W205" s="109" t="n">
        <x:f>AVERAGE(E205:V205)</x:f>
        <x:v>4.2294117647058815</x:v>
      </x:c>
      <x:c r="X205" s="109" t="n">
        <x:f>MEDIAN(E205:V205)</x:f>
        <x:v>2.9</x:v>
      </x:c>
      <x:c r="Y205" s="109" t="n">
        <x:f>PERCENTILE.INC(E205:V205,0.25)</x:f>
        <x:v>0</x:v>
      </x:c>
      <x:c r="Z205" s="109" t="n">
        <x:f>STDEV.P(E205:V205)</x:f>
        <x:v>5.858303780395056</x:v>
      </x:c>
      <x:c r="AA205" s="173" t="n">
        <x:f>IF(W205=0,"",Z205/ABS(W205))</x:f>
        <x:v>1.3851344126107925</x:v>
      </x:c>
      <x:c r="AB205" s="173" t="n">
        <x:f>IF(W205=0,0,(COUNTIF(E205:V205,"&lt;"&amp;0.5*W205)-COUNTBLANK(E205:V205))/COUNT(E205:V205))</x:f>
        <x:v>0.47058823529411764</x:v>
      </x:c>
      <x:c r="AC205" s="109" t="n">
        <x:f>SUM(E205:V205)</x:f>
        <x:v>71.89999999999999</x:v>
      </x:c>
    </x:row>
    <x:row r="206">
      <x:c r="A206" s="108" t="str">
        <x:v>WR</x:v>
      </x:c>
      <x:c r="B206" s="108" t="str">
        <x:v>Chris Godwin Jr.</x:v>
      </x:c>
      <x:c r="C206" s="108" t="str">
        <x:v>TB</x:v>
      </x:c>
      <x:c r="D206" s="108" t="n">
        <x:v>9</x:v>
      </x:c>
      <x:c r="E206" s="109" t="n">
        <x:v>0</x:v>
      </x:c>
      <x:c r="F206" s="109" t="n">
        <x:v>0</x:v>
      </x:c>
      <x:c r="G206" s="109" t="n">
        <x:v>0</x:v>
      </x:c>
      <x:c r="H206" s="109" t="n">
        <x:v>4.1</x:v>
      </x:c>
      <x:c r="I206" s="109" t="n">
        <x:v>4.1</x:v>
      </x:c>
      <x:c r="J206" s="109" t="n">
        <x:v>0</x:v>
      </x:c>
      <x:c r="K206" s="109" t="n">
        <x:v>0</x:v>
      </x:c>
      <x:c r="L206" s="109" t="n">
        <x:v>0</x:v>
      </x:c>
      <x:c r="M206" s="109"/>
      <x:c r="N206" s="109" t="n">
        <x:v>0</x:v>
      </x:c>
      <x:c r="O206" s="109" t="n">
        <x:v>0</x:v>
      </x:c>
      <x:c r="P206" s="109" t="n">
        <x:v>1.9</x:v>
      </x:c>
      <x:c r="Q206" s="109" t="n">
        <x:v>9.3</x:v>
      </x:c>
      <x:c r="R206" s="109" t="n">
        <x:v>8</x:v>
      </x:c>
      <x:c r="S206" s="109" t="n">
        <x:v>12</x:v>
      </x:c>
      <x:c r="T206" s="109" t="n">
        <x:v>5.5</x:v>
      </x:c>
      <x:c r="U206" s="109" t="n">
        <x:v>20.3</x:v>
      </x:c>
      <x:c r="V206" s="109" t="n">
        <x:v>1.3</x:v>
      </x:c>
      <x:c r="W206" s="109" t="n">
        <x:f>AVERAGE(E206:V206)</x:f>
        <x:v>3.911764705882353</x:v>
      </x:c>
      <x:c r="X206" s="109" t="n">
        <x:f>MEDIAN(E206:V206)</x:f>
        <x:v>1.3</x:v>
      </x:c>
      <x:c r="Y206" s="109" t="n">
        <x:f>PERCENTILE.INC(E206:V206,0.25)</x:f>
        <x:v>0</x:v>
      </x:c>
      <x:c r="Z206" s="109" t="n">
        <x:f>STDEV.P(E206:V206)</x:f>
        <x:v>5.507308764450166</x:v>
      </x:c>
      <x:c r="AA206" s="173" t="n">
        <x:f>IF(W206=0,"",Z206/ABS(W206))</x:f>
        <x:v>1.4078834435436516</x:v>
      </x:c>
      <x:c r="AB206" s="173" t="n">
        <x:f>IF(W206=0,0,(COUNTIF(E206:V206,"&lt;"&amp;0.5*W206)-COUNTBLANK(E206:V206))/COUNT(E206:V206))</x:f>
        <x:v>0.5882352941176471</x:v>
      </x:c>
      <x:c r="AC206" s="109" t="n">
        <x:f>SUM(E206:V206)</x:f>
        <x:v>66.5</x:v>
      </x:c>
    </x:row>
    <x:row r="207">
      <x:c r="A207" s="108" t="str">
        <x:v>WR</x:v>
      </x:c>
      <x:c r="B207" s="108" t="str">
        <x:v>Rashod Bateman</x:v>
      </x:c>
      <x:c r="C207" s="108" t="str">
        <x:v>BAL</x:v>
      </x:c>
      <x:c r="D207" s="108" t="n">
        <x:v>7</x:v>
      </x:c>
      <x:c r="E207" s="109" t="n">
        <x:v>2</x:v>
      </x:c>
      <x:c r="F207" s="109" t="n">
        <x:v>2.5</x:v>
      </x:c>
      <x:c r="G207" s="109" t="n">
        <x:v>14.8</x:v>
      </x:c>
      <x:c r="H207" s="109" t="n">
        <x:v>2.9</x:v>
      </x:c>
      <x:c r="I207" s="109" t="n">
        <x:v>0</x:v>
      </x:c>
      <x:c r="J207" s="109" t="n">
        <x:v>1.3</x:v>
      </x:c>
      <x:c r="K207" s="109"/>
      <x:c r="L207" s="109" t="n">
        <x:v>6.1</x:v>
      </x:c>
      <x:c r="M207" s="109" t="n">
        <x:v>8.3</x:v>
      </x:c>
      <x:c r="N207" s="109" t="n">
        <x:v>3.5</x:v>
      </x:c>
      <x:c r="O207" s="109" t="n">
        <x:v>0</x:v>
      </x:c>
      <x:c r="P207" s="109" t="n">
        <x:v>0</x:v>
      </x:c>
      <x:c r="Q207" s="109" t="n">
        <x:v>0</x:v>
      </x:c>
      <x:c r="R207" s="109" t="n">
        <x:v>3.3</x:v>
      </x:c>
      <x:c r="S207" s="109" t="n">
        <x:v>0</x:v>
      </x:c>
      <x:c r="T207" s="109" t="n">
        <x:v>0</x:v>
      </x:c>
      <x:c r="U207" s="109" t="n">
        <x:v>1.2</x:v>
      </x:c>
      <x:c r="V207" s="109" t="n">
        <x:v>0</x:v>
      </x:c>
      <x:c r="W207" s="109" t="n">
        <x:f>AVERAGE(E207:V207)</x:f>
        <x:v>2.7</x:v>
      </x:c>
      <x:c r="X207" s="109" t="n">
        <x:f>MEDIAN(E207:V207)</x:f>
        <x:v>1.3</x:v>
      </x:c>
      <x:c r="Y207" s="109" t="n">
        <x:f>PERCENTILE.INC(E207:V207,0.25)</x:f>
        <x:v>0</x:v>
      </x:c>
      <x:c r="Z207" s="109" t="n">
        <x:f>STDEV.P(E207:V207)</x:f>
        <x:v>3.8051049301447346</x:v>
      </x:c>
      <x:c r="AA207" s="173" t="n">
        <x:f>IF(W207=0,"",Z207/ABS(W207))</x:f>
        <x:v>1.4092981222758276</x:v>
      </x:c>
      <x:c r="AB207" s="173" t="n">
        <x:f>IF(W207=0,0,(COUNTIF(E207:V207,"&lt;"&amp;0.5*W207)-COUNTBLANK(E207:V207))/COUNT(E207:V207))</x:f>
        <x:v>0.5294117647058824</x:v>
      </x:c>
      <x:c r="AC207" s="109" t="n">
        <x:f>SUM(E207:V207)</x:f>
        <x:v>45.900000000000006</x:v>
      </x:c>
    </x:row>
    <x:row r="208">
      <x:c r="A208" s="108" t="str">
        <x:v>WR</x:v>
      </x:c>
      <x:c r="B208" s="108" t="str">
        <x:v>Christian Kirk</x:v>
      </x:c>
      <x:c r="C208" s="108" t="str">
        <x:v>HOU</x:v>
      </x:c>
      <x:c r="D208" s="108" t="n">
        <x:v>6</x:v>
      </x:c>
      <x:c r="E208" s="109" t="n">
        <x:v>0</x:v>
      </x:c>
      <x:c r="F208" s="109" t="n">
        <x:v>0</x:v>
      </x:c>
      <x:c r="G208" s="109" t="n">
        <x:v>4</x:v>
      </x:c>
      <x:c r="H208" s="109" t="n">
        <x:v>3.5</x:v>
      </x:c>
      <x:c r="I208" s="109" t="n">
        <x:v>8.4</x:v>
      </x:c>
      <x:c r="J208" s="109"/>
      <x:c r="K208" s="109" t="n">
        <x:v>0</x:v>
      </x:c>
      <x:c r="L208" s="109" t="n">
        <x:v>0</x:v>
      </x:c>
      <x:c r="M208" s="109" t="n">
        <x:v>4.6</x:v>
      </x:c>
      <x:c r="N208" s="109" t="n">
        <x:v>0.8</x:v>
      </x:c>
      <x:c r="O208" s="109" t="n">
        <x:v>1.1</x:v>
      </x:c>
      <x:c r="P208" s="109" t="n">
        <x:v>13.9</x:v>
      </x:c>
      <x:c r="Q208" s="109" t="n">
        <x:v>0</x:v>
      </x:c>
      <x:c r="R208" s="109" t="n">
        <x:v>1.1</x:v>
      </x:c>
      <x:c r="S208" s="109" t="n">
        <x:v>0</x:v>
      </x:c>
      <x:c r="T208" s="109" t="n">
        <x:v>5.2</x:v>
      </x:c>
      <x:c r="U208" s="109" t="n">
        <x:v>1.1</x:v>
      </x:c>
      <x:c r="V208" s="109" t="n">
        <x:v>0.2</x:v>
      </x:c>
      <x:c r="W208" s="109" t="n">
        <x:f>AVERAGE(E208:V208)</x:f>
        <x:v>2.582352941176471</x:v>
      </x:c>
      <x:c r="X208" s="109" t="n">
        <x:f>MEDIAN(E208:V208)</x:f>
        <x:v>1.1</x:v>
      </x:c>
      <x:c r="Y208" s="109" t="n">
        <x:f>PERCENTILE.INC(E208:V208,0.25)</x:f>
        <x:v>0</x:v>
      </x:c>
      <x:c r="Z208" s="109" t="n">
        <x:f>STDEV.P(E208:V208)</x:f>
        <x:v>3.687536288015689</x:v>
      </x:c>
      <x:c r="AA208" s="173" t="n">
        <x:f>IF(W208=0,"",Z208/ABS(W208))</x:f>
        <x:v>1.4279753279331822</x:v>
      </x:c>
      <x:c r="AB208" s="173" t="n">
        <x:f>IF(W208=0,0,(COUNTIF(E208:V208,"&lt;"&amp;0.5*W208)-COUNTBLANK(E208:V208))/COUNT(E208:V208))</x:f>
        <x:v>0.6470588235294118</x:v>
      </x:c>
      <x:c r="AC208" s="109" t="n">
        <x:f>SUM(E208:V208)</x:f>
        <x:v>43.90000000000001</x:v>
      </x:c>
    </x:row>
    <x:row r="209">
      <x:c r="A209" s="108" t="str">
        <x:v>WR</x:v>
      </x:c>
      <x:c r="B209" s="108" t="str">
        <x:v>Jalen Tolbert</x:v>
      </x:c>
      <x:c r="C209" s="108" t="str">
        <x:v>DAL</x:v>
      </x:c>
      <x:c r="D209" s="108" t="n">
        <x:v>10</x:v>
      </x:c>
      <x:c r="E209" s="109" t="n">
        <x:v>1.1</x:v>
      </x:c>
      <x:c r="F209" s="109" t="n">
        <x:v>5.15</x:v>
      </x:c>
      <x:c r="G209" s="109" t="n">
        <x:v>5.9</x:v>
      </x:c>
      <x:c r="H209" s="109" t="n">
        <x:v>8.1</x:v>
      </x:c>
      <x:c r="I209" s="109" t="n">
        <x:v>0</x:v>
      </x:c>
      <x:c r="J209" s="109" t="n">
        <x:v>1.3</x:v>
      </x:c>
      <x:c r="K209" s="109" t="n">
        <x:v>2.1</x:v>
      </x:c>
      <x:c r="L209" s="109" t="n">
        <x:v>11.7</x:v>
      </x:c>
      <x:c r="M209" s="109" t="n">
        <x:v>0</x:v>
      </x:c>
      <x:c r="N209" s="109"/>
      <x:c r="O209" s="109" t="n">
        <x:v>0</x:v>
      </x:c>
      <x:c r="P209" s="109" t="n">
        <x:v>0</x:v>
      </x:c>
      <x:c r="Q209" s="109" t="n">
        <x:v>0</x:v>
      </x:c>
      <x:c r="R209" s="109" t="n">
        <x:v>0</x:v>
      </x:c>
      <x:c r="S209" s="109" t="n">
        <x:v>0</x:v>
      </x:c>
      <x:c r="T209" s="109" t="n">
        <x:v>0</x:v>
      </x:c>
      <x:c r="U209" s="109" t="n">
        <x:v>5.1</x:v>
      </x:c>
      <x:c r="V209" s="109" t="n">
        <x:v>0</x:v>
      </x:c>
      <x:c r="W209" s="109" t="n">
        <x:f>AVERAGE(E209:V209)</x:f>
        <x:v>2.3794117647058823</x:v>
      </x:c>
      <x:c r="X209" s="109" t="n">
        <x:f>MEDIAN(E209:V209)</x:f>
        <x:v>0</x:v>
      </x:c>
      <x:c r="Y209" s="109" t="n">
        <x:f>PERCENTILE.INC(E209:V209,0.25)</x:f>
        <x:v>0</x:v>
      </x:c>
      <x:c r="Z209" s="109" t="n">
        <x:f>STDEV.P(E209:V209)</x:f>
        <x:v>3.4377257711325147</x:v>
      </x:c>
      <x:c r="AA209" s="173" t="n">
        <x:f>IF(W209=0,"",Z209/ABS(W209))</x:f>
        <x:v>1.444779681316508</x:v>
      </x:c>
      <x:c r="AB209" s="173" t="n">
        <x:f>IF(W209=0,0,(COUNTIF(E209:V209,"&lt;"&amp;0.5*W209)-COUNTBLANK(E209:V209))/COUNT(E209:V209))</x:f>
        <x:v>0.5882352941176471</x:v>
      </x:c>
      <x:c r="AC209" s="109" t="n">
        <x:f>SUM(E209:V209)</x:f>
        <x:v>40.45</x:v>
      </x:c>
    </x:row>
    <x:row r="210">
      <x:c r="A210" s="108" t="str">
        <x:v>WR</x:v>
      </x:c>
      <x:c r="B210" s="108" t="str">
        <x:v>David Sills V</x:v>
      </x:c>
      <x:c r="C210" s="108" t="str">
        <x:v>ATL</x:v>
      </x:c>
      <x:c r="D210" s="108" t="n">
        <x:v>5</x:v>
      </x:c>
      <x:c r="E210" s="109" t="n">
        <x:v>0</x:v>
      </x:c>
      <x:c r="F210" s="109" t="n">
        <x:v>0</x:v>
      </x:c>
      <x:c r="G210" s="109" t="n">
        <x:v>1.4</x:v>
      </x:c>
      <x:c r="H210" s="109" t="n">
        <x:v>0</x:v>
      </x:c>
      <x:c r="I210" s="109"/>
      <x:c r="J210" s="109" t="n">
        <x:v>0</x:v>
      </x:c>
      <x:c r="K210" s="109" t="n">
        <x:v>0</x:v>
      </x:c>
      <x:c r="L210" s="109" t="n">
        <x:v>2.4</x:v>
      </x:c>
      <x:c r="M210" s="109" t="n">
        <x:v>0</x:v>
      </x:c>
      <x:c r="N210" s="109" t="n">
        <x:v>0</x:v>
      </x:c>
      <x:c r="O210" s="109" t="n">
        <x:v>1.6</x:v>
      </x:c>
      <x:c r="P210" s="109" t="n">
        <x:v>8.6</x:v>
      </x:c>
      <x:c r="Q210" s="109" t="n">
        <x:v>8.5</x:v>
      </x:c>
      <x:c r="R210" s="109" t="n">
        <x:v>0</x:v>
      </x:c>
      <x:c r="S210" s="109" t="n">
        <x:v>10.8</x:v>
      </x:c>
      <x:c r="T210" s="109" t="n">
        <x:v>0</x:v>
      </x:c>
      <x:c r="U210" s="109" t="n">
        <x:v>5.2</x:v>
      </x:c>
      <x:c r="V210" s="109" t="n">
        <x:v>1.6</x:v>
      </x:c>
      <x:c r="W210" s="109" t="n">
        <x:f>AVERAGE(E210:V210)</x:f>
        <x:v>2.3588235294117648</x:v>
      </x:c>
      <x:c r="X210" s="109" t="n">
        <x:f>MEDIAN(E210:V210)</x:f>
        <x:v>0</x:v>
      </x:c>
      <x:c r="Y210" s="109" t="n">
        <x:f>PERCENTILE.INC(E210:V210,0.25)</x:f>
        <x:v>0</x:v>
      </x:c>
      <x:c r="Z210" s="109" t="n">
        <x:f>STDEV.P(E210:V210)</x:f>
        <x:v>3.4990853970597735</x:v>
      </x:c>
      <x:c r="AA210" s="173" t="n">
        <x:f>IF(W210=0,"",Z210/ABS(W210))</x:f>
        <x:v>1.4834027867834452</x:v>
      </x:c>
      <x:c r="AB210" s="173" t="n">
        <x:f>IF(W210=0,0,(COUNTIF(E210:V210,"&lt;"&amp;0.5*W210)-COUNTBLANK(E210:V210))/COUNT(E210:V210))</x:f>
        <x:v>0.5294117647058824</x:v>
      </x:c>
      <x:c r="AC210" s="109" t="n">
        <x:f>SUM(E210:V210)</x:f>
        <x:v>40.1</x:v>
      </x:c>
    </x:row>
    <x:row r="211">
      <x:c r="A211" s="108" t="str">
        <x:v>WR</x:v>
      </x:c>
      <x:c r="B211" s="108" t="str">
        <x:v>Devaughn Vele</x:v>
      </x:c>
      <x:c r="C211" s="108" t="str">
        <x:v>NO</x:v>
      </x:c>
      <x:c r="D211" s="108" t="n">
        <x:v>11</x:v>
      </x:c>
      <x:c r="E211" s="109" t="n">
        <x:v>1.8</x:v>
      </x:c>
      <x:c r="F211" s="109" t="n">
        <x:v>6.8</x:v>
      </x:c>
      <x:c r="G211" s="109" t="n">
        <x:v>0</x:v>
      </x:c>
      <x:c r="H211" s="109" t="n">
        <x:v>0</x:v>
      </x:c>
      <x:c r="I211" s="109" t="n">
        <x:v>2.3</x:v>
      </x:c>
      <x:c r="J211" s="109" t="n">
        <x:v>0</x:v>
      </x:c>
      <x:c r="K211" s="109" t="n">
        <x:v>0</x:v>
      </x:c>
      <x:c r="L211" s="109" t="n">
        <x:v>1.5</x:v>
      </x:c>
      <x:c r="M211" s="109" t="n">
        <x:v>0</x:v>
      </x:c>
      <x:c r="N211" s="109" t="n">
        <x:v>2</x:v>
      </x:c>
      <x:c r="O211" s="109"/>
      <x:c r="P211" s="109" t="n">
        <x:v>5.2</x:v>
      </x:c>
      <x:c r="Q211" s="109" t="n">
        <x:v>19.3</x:v>
      </x:c>
      <x:c r="R211" s="109" t="n">
        <x:v>5.5</x:v>
      </x:c>
      <x:c r="S211" s="109" t="n">
        <x:v>9.4</x:v>
      </x:c>
      <x:c r="T211" s="109" t="n">
        <x:v>0</x:v>
      </x:c>
      <x:c r="U211" s="109" t="n">
        <x:v>0</x:v>
      </x:c>
      <x:c r="V211" s="109" t="n">
        <x:v>0</x:v>
      </x:c>
      <x:c r="W211" s="109" t="n">
        <x:f>AVERAGE(E211:V211)</x:f>
        <x:v>3.164705882352941</x:v>
      </x:c>
      <x:c r="X211" s="109" t="n">
        <x:f>MEDIAN(E211:V211)</x:f>
        <x:v>1.5</x:v>
      </x:c>
      <x:c r="Y211" s="109" t="n">
        <x:f>PERCENTILE.INC(E211:V211,0.25)</x:f>
        <x:v>0</x:v>
      </x:c>
      <x:c r="Z211" s="109" t="n">
        <x:f>STDEV.P(E211:V211)</x:f>
        <x:v>4.904372739945277</x:v>
      </x:c>
      <x:c r="AA211" s="173" t="n">
        <x:f>IF(W211=0,"",Z211/ABS(W211))</x:f>
        <x:v>1.5497088583470207</x:v>
      </x:c>
      <x:c r="AB211" s="173" t="n">
        <x:f>IF(W211=0,0,(COUNTIF(E211:V211,"&lt;"&amp;0.5*W211)-COUNTBLANK(E211:V211))/COUNT(E211:V211))</x:f>
        <x:v>0.5294117647058824</x:v>
      </x:c>
      <x:c r="AC211" s="109" t="n">
        <x:f>SUM(E211:V211)</x:f>
        <x:v>53.8</x:v>
      </x:c>
    </x:row>
    <x:row r="212">
      <x:c r="A212" s="108" t="str">
        <x:v>WR</x:v>
      </x:c>
      <x:c r="B212" s="108" t="str">
        <x:v>Kyle Williams</x:v>
      </x:c>
      <x:c r="C212" s="108" t="str">
        <x:v>NE</x:v>
      </x:c>
      <x:c r="D212" s="108" t="n">
        <x:v>14</x:v>
      </x:c>
      <x:c r="E212" s="109" t="n">
        <x:v>1.7</x:v>
      </x:c>
      <x:c r="F212" s="109" t="n">
        <x:v>0</x:v>
      </x:c>
      <x:c r="G212" s="109" t="n">
        <x:v>1.3</x:v>
      </x:c>
      <x:c r="H212" s="109" t="n">
        <x:v>-0.2</x:v>
      </x:c>
      <x:c r="I212" s="109" t="n">
        <x:v>0</x:v>
      </x:c>
      <x:c r="J212" s="109" t="n">
        <x:v>0</x:v>
      </x:c>
      <x:c r="K212" s="109" t="n">
        <x:v>0</x:v>
      </x:c>
      <x:c r="L212" s="109" t="n">
        <x:v>0</x:v>
      </x:c>
      <x:c r="M212" s="109" t="n">
        <x:v>0</x:v>
      </x:c>
      <x:c r="N212" s="109" t="n">
        <x:v>15.7</x:v>
      </x:c>
      <x:c r="O212" s="109" t="n">
        <x:v>0</x:v>
      </x:c>
      <x:c r="P212" s="109" t="n">
        <x:v>4.88</x:v>
      </x:c>
      <x:c r="Q212" s="109" t="n">
        <x:v>10.34</x:v>
      </x:c>
      <x:c r="R212" s="109"/>
      <x:c r="S212" s="109" t="n">
        <x:v>2.91</x:v>
      </x:c>
      <x:c r="T212" s="109" t="n">
        <x:v>14.27</x:v>
      </x:c>
      <x:c r="U212" s="109" t="n">
        <x:v>3.5</x:v>
      </x:c>
      <x:c r="V212" s="109" t="n">
        <x:v>0.5</x:v>
      </x:c>
      <x:c r="W212" s="109" t="n">
        <x:f>AVERAGE(E212:V212)</x:f>
        <x:v>3.229411764705882</x:v>
      </x:c>
      <x:c r="X212" s="109" t="n">
        <x:f>MEDIAN(E212:V212)</x:f>
        <x:v>0.5</x:v>
      </x:c>
      <x:c r="Y212" s="109" t="n">
        <x:f>PERCENTILE.INC(E212:V212,0.25)</x:f>
        <x:v>0</x:v>
      </x:c>
      <x:c r="Z212" s="109" t="n">
        <x:f>STDEV.P(E212:V212)</x:f>
        <x:v>5.02433076677673</x:v>
      </x:c>
      <x:c r="AA212" s="173" t="n">
        <x:f>IF(W212=0,"",Z212/ABS(W212))</x:f>
        <x:v>1.5558036982733046</x:v>
      </x:c>
      <x:c r="AB212" s="173" t="n">
        <x:f>IF(W212=0,0,(COUNTIF(E212:V212,"&lt;"&amp;0.5*W212)-COUNTBLANK(E212:V212))/COUNT(E212:V212))</x:f>
        <x:v>0.5882352941176471</x:v>
      </x:c>
      <x:c r="AC212" s="109" t="n">
        <x:f>SUM(E212:V212)</x:f>
        <x:v>54.89999999999999</x:v>
      </x:c>
    </x:row>
    <x:row r="213">
      <x:c r="A213" s="108" t="str">
        <x:v>WR</x:v>
      </x:c>
      <x:c r="B213" s="108" t="str">
        <x:v>Garrett Wilson</x:v>
      </x:c>
      <x:c r="C213" s="108" t="str">
        <x:v>NYJ</x:v>
      </x:c>
      <x:c r="D213" s="108" t="n">
        <x:v>9</x:v>
      </x:c>
      <x:c r="E213" s="109" t="n">
        <x:v>19</x:v>
      </x:c>
      <x:c r="F213" s="109" t="n">
        <x:v>6.5</x:v>
      </x:c>
      <x:c r="G213" s="109" t="n">
        <x:v>19.4</x:v>
      </x:c>
      <x:c r="H213" s="109" t="n">
        <x:v>17.2</x:v>
      </x:c>
      <x:c r="I213" s="109" t="n">
        <x:v>16.1</x:v>
      </x:c>
      <x:c r="J213" s="109" t="n">
        <x:v>2.8</x:v>
      </x:c>
      <x:c r="K213" s="109" t="n">
        <x:v>0</x:v>
      </x:c>
      <x:c r="L213" s="109" t="n">
        <x:v>0</x:v>
      </x:c>
      <x:c r="M213" s="109"/>
      <x:c r="N213" s="109" t="n">
        <x:v>0</x:v>
      </x:c>
      <x:c r="O213" s="109" t="n">
        <x:v>0</x:v>
      </x:c>
      <x:c r="P213" s="109" t="n">
        <x:v>0</x:v>
      </x:c>
      <x:c r="Q213" s="109" t="n">
        <x:v>0</x:v>
      </x:c>
      <x:c r="R213" s="109" t="n">
        <x:v>0</x:v>
      </x:c>
      <x:c r="S213" s="109" t="n">
        <x:v>0</x:v>
      </x:c>
      <x:c r="T213" s="109" t="n">
        <x:v>0</x:v>
      </x:c>
      <x:c r="U213" s="109" t="n">
        <x:v>0</x:v>
      </x:c>
      <x:c r="V213" s="109" t="n">
        <x:v>0</x:v>
      </x:c>
      <x:c r="W213" s="109" t="n">
        <x:f>AVERAGE(E213:V213)</x:f>
        <x:v>4.76470588235294</x:v>
      </x:c>
      <x:c r="X213" s="109" t="n">
        <x:f>MEDIAN(E213:V213)</x:f>
        <x:v>0</x:v>
      </x:c>
      <x:c r="Y213" s="109" t="n">
        <x:f>PERCENTILE.INC(E213:V213,0.25)</x:f>
        <x:v>0</x:v>
      </x:c>
      <x:c r="Z213" s="109" t="n">
        <x:f>STDEV.P(E213:V213)</x:f>
        <x:v>7.501210974900345</x:v>
      </x:c>
      <x:c r="AA213" s="173" t="n">
        <x:f>IF(W213=0,"",Z213/ABS(W213))</x:f>
        <x:v>1.5743282293000727</x:v>
      </x:c>
      <x:c r="AB213" s="173" t="n">
        <x:f>IF(W213=0,0,(COUNTIF(E213:V213,"&lt;"&amp;0.5*W213)-COUNTBLANK(E213:V213))/COUNT(E213:V213))</x:f>
        <x:v>0.6470588235294118</x:v>
      </x:c>
      <x:c r="AC213" s="109" t="n">
        <x:f>SUM(E213:V213)</x:f>
        <x:v>80.99999999999999</x:v>
      </x:c>
    </x:row>
    <x:row r="214">
      <x:c r="A214" s="108" t="str">
        <x:v>WR</x:v>
      </x:c>
      <x:c r="B214" s="108" t="str">
        <x:v>Dyami Brown</x:v>
      </x:c>
      <x:c r="C214" s="108" t="str">
        <x:v>JAX</x:v>
      </x:c>
      <x:c r="D214" s="108" t="n">
        <x:v>8</x:v>
      </x:c>
      <x:c r="E214" s="109" t="n">
        <x:v>7.3</x:v>
      </x:c>
      <x:c r="F214" s="109" t="n">
        <x:v>15.1</x:v>
      </x:c>
      <x:c r="G214" s="109" t="n">
        <x:v>1.7</x:v>
      </x:c>
      <x:c r="H214" s="109" t="n">
        <x:v>0</x:v>
      </x:c>
      <x:c r="I214" s="109" t="n">
        <x:v>2.5</x:v>
      </x:c>
      <x:c r="J214" s="109" t="n">
        <x:v>3</x:v>
      </x:c>
      <x:c r="K214" s="109" t="n">
        <x:v>7.8</x:v>
      </x:c>
      <x:c r="L214" s="109"/>
      <x:c r="M214" s="109" t="n">
        <x:v>5.78</x:v>
      </x:c>
      <x:c r="N214" s="109" t="n">
        <x:v>0</x:v>
      </x:c>
      <x:c r="O214" s="109" t="n">
        <x:v>0</x:v>
      </x:c>
      <x:c r="P214" s="109" t="n">
        <x:v>0</x:v>
      </x:c>
      <x:c r="Q214" s="109" t="n">
        <x:v>0</x:v>
      </x:c>
      <x:c r="R214" s="109" t="n">
        <x:v>0</x:v>
      </x:c>
      <x:c r="S214" s="109" t="n">
        <x:v>-1.6</x:v>
      </x:c>
      <x:c r="T214" s="109" t="n">
        <x:v>0</x:v>
      </x:c>
      <x:c r="U214" s="109" t="n">
        <x:v>0</x:v>
      </x:c>
      <x:c r="V214" s="109" t="n">
        <x:v>1.3</x:v>
      </x:c>
      <x:c r="W214" s="109" t="n">
        <x:f>AVERAGE(E214:V214)</x:f>
        <x:v>2.5223529411764702</x:v>
      </x:c>
      <x:c r="X214" s="109" t="n">
        <x:f>MEDIAN(E214:V214)</x:f>
        <x:v>0</x:v>
      </x:c>
      <x:c r="Y214" s="109" t="n">
        <x:f>PERCENTILE.INC(E214:V214,0.25)</x:f>
        <x:v>0</x:v>
      </x:c>
      <x:c r="Z214" s="109" t="n">
        <x:f>STDEV.P(E214:V214)</x:f>
        <x:v>4.128665258483545</x:v>
      </x:c>
      <x:c r="AA214" s="173" t="n">
        <x:f>IF(W214=0,"",Z214/ABS(W214))</x:f>
        <x:v>1.6368309093801368</x:v>
      </x:c>
      <x:c r="AB214" s="173" t="n">
        <x:f>IF(W214=0,0,(COUNTIF(E214:V214,"&lt;"&amp;0.5*W214)-COUNTBLANK(E214:V214))/COUNT(E214:V214))</x:f>
        <x:v>0.5294117647058824</x:v>
      </x:c>
      <x:c r="AC214" s="109" t="n">
        <x:f>SUM(E214:V214)</x:f>
        <x:v>42.879999999999995</x:v>
      </x:c>
    </x:row>
    <x:row r="215">
      <x:c r="A215" s="108" t="str">
        <x:v>WR</x:v>
      </x:c>
      <x:c r="B215" s="108" t="str">
        <x:v>Jayden Reed</x:v>
      </x:c>
      <x:c r="C215" s="108" t="str">
        <x:v>GB</x:v>
      </x:c>
      <x:c r="D215" s="108" t="n">
        <x:v>5</x:v>
      </x:c>
      <x:c r="E215" s="109" t="n">
        <x:v>13.05</x:v>
      </x:c>
      <x:c r="F215" s="109" t="n">
        <x:v>0</x:v>
      </x:c>
      <x:c r="G215" s="109" t="n">
        <x:v>0</x:v>
      </x:c>
      <x:c r="H215" s="109" t="n">
        <x:v>0</x:v>
      </x:c>
      <x:c r="I215" s="109"/>
      <x:c r="J215" s="109" t="n">
        <x:v>0</x:v>
      </x:c>
      <x:c r="K215" s="109" t="n">
        <x:v>0</x:v>
      </x:c>
      <x:c r="L215" s="109" t="n">
        <x:v>0</x:v>
      </x:c>
      <x:c r="M215" s="109" t="n">
        <x:v>0</x:v>
      </x:c>
      <x:c r="N215" s="109" t="n">
        <x:v>0</x:v>
      </x:c>
      <x:c r="O215" s="109" t="n">
        <x:v>0</x:v>
      </x:c>
      <x:c r="P215" s="109" t="n">
        <x:v>0</x:v>
      </x:c>
      <x:c r="Q215" s="109" t="n">
        <x:v>0</x:v>
      </x:c>
      <x:c r="R215" s="109" t="n">
        <x:v>7.3</x:v>
      </x:c>
      <x:c r="S215" s="109" t="n">
        <x:v>8</x:v>
      </x:c>
      <x:c r="T215" s="109" t="n">
        <x:v>5.6</x:v>
      </x:c>
      <x:c r="U215" s="109" t="n">
        <x:v>6.1</x:v>
      </x:c>
      <x:c r="V215" s="109" t="n">
        <x:v>0</x:v>
      </x:c>
      <x:c r="W215" s="109" t="n">
        <x:f>AVERAGE(E215:V215)</x:f>
        <x:v>2.3558823529411765</x:v>
      </x:c>
      <x:c r="X215" s="109" t="n">
        <x:f>MEDIAN(E215:V215)</x:f>
        <x:v>0</x:v>
      </x:c>
      <x:c r="Y215" s="109" t="n">
        <x:f>PERCENTILE.INC(E215:V215,0.25)</x:f>
        <x:v>0</x:v>
      </x:c>
      <x:c r="Z215" s="109" t="n">
        <x:f>STDEV.P(E215:V215)</x:f>
        <x:v>3.9243539128394107</x:v>
      </x:c>
      <x:c r="AA215" s="173" t="n">
        <x:f>IF(W215=0,"",Z215/ABS(W215))</x:f>
        <x:v>1.6657682027033702</x:v>
      </x:c>
      <x:c r="AB215" s="173" t="n">
        <x:f>IF(W215=0,0,(COUNTIF(E215:V215,"&lt;"&amp;0.5*W215)-COUNTBLANK(E215:V215))/COUNT(E215:V215))</x:f>
        <x:v>0.7058823529411765</x:v>
      </x:c>
      <x:c r="AC215" s="109" t="n">
        <x:f>SUM(E215:V215)</x:f>
        <x:v>40.050000000000004</x:v>
      </x:c>
    </x:row>
    <x:row r="216">
      <x:c r="A216" s="108" t="str">
        <x:v>WR</x:v>
      </x:c>
      <x:c r="B216" s="108" t="str">
        <x:v>Tory Horton</x:v>
      </x:c>
      <x:c r="C216" s="108" t="str">
        <x:v>SEA</x:v>
      </x:c>
      <x:c r="D216" s="108" t="n">
        <x:v>8</x:v>
      </x:c>
      <x:c r="E216" s="109" t="n">
        <x:v>0.6</x:v>
      </x:c>
      <x:c r="F216" s="109" t="n">
        <x:v>11.7</x:v>
      </x:c>
      <x:c r="G216" s="109" t="n">
        <x:v>22.4</x:v>
      </x:c>
      <x:c r="H216" s="109" t="n">
        <x:v>2</x:v>
      </x:c>
      <x:c r="I216" s="109" t="n">
        <x:v>11.4</x:v>
      </x:c>
      <x:c r="J216" s="109" t="n">
        <x:v>0.25</x:v>
      </x:c>
      <x:c r="K216" s="109" t="n">
        <x:v>3.35</x:v>
      </x:c>
      <x:c r="L216" s="109"/>
      <x:c r="M216" s="109" t="n">
        <x:v>18.8</x:v>
      </x:c>
      <x:c r="N216" s="109" t="n">
        <x:v>0</x:v>
      </x:c>
      <x:c r="O216" s="109" t="n">
        <x:v>0</x:v>
      </x:c>
      <x:c r="P216" s="109" t="n">
        <x:v>0</x:v>
      </x:c>
      <x:c r="Q216" s="109" t="n">
        <x:v>0</x:v>
      </x:c>
      <x:c r="R216" s="109" t="n">
        <x:v>0</x:v>
      </x:c>
      <x:c r="S216" s="109" t="n">
        <x:v>0</x:v>
      </x:c>
      <x:c r="T216" s="109" t="n">
        <x:v>0</x:v>
      </x:c>
      <x:c r="U216" s="109" t="n">
        <x:v>0</x:v>
      </x:c>
      <x:c r="V216" s="109" t="n">
        <x:v>0</x:v>
      </x:c>
      <x:c r="W216" s="109" t="n">
        <x:f>AVERAGE(E216:V216)</x:f>
        <x:v>4.147058823529412</x:v>
      </x:c>
      <x:c r="X216" s="109" t="n">
        <x:f>MEDIAN(E216:V216)</x:f>
        <x:v>0</x:v>
      </x:c>
      <x:c r="Y216" s="109" t="n">
        <x:f>PERCENTILE.INC(E216:V216,0.25)</x:f>
        <x:v>0</x:v>
      </x:c>
      <x:c r="Z216" s="109" t="n">
        <x:f>STDEV.P(E216:V216)</x:f>
        <x:v>7.051605378089763</x:v>
      </x:c>
      <x:c r="AA216" s="173" t="n">
        <x:f>IF(W216=0,"",Z216/ABS(W216))</x:f>
        <x:v>1.7003871124471768</x:v>
      </x:c>
      <x:c r="AB216" s="173" t="n">
        <x:f>IF(W216=0,0,(COUNTIF(E216:V216,"&lt;"&amp;0.5*W216)-COUNTBLANK(E216:V216))/COUNT(E216:V216))</x:f>
        <x:v>0.7058823529411765</x:v>
      </x:c>
      <x:c r="AC216" s="109" t="n">
        <x:f>SUM(E216:V216)</x:f>
        <x:v>70.5</x:v>
      </x:c>
    </x:row>
    <x:row r="217">
      <x:c r="A217" s="108" t="str">
        <x:v>WR</x:v>
      </x:c>
      <x:c r="B217" s="108" t="str">
        <x:v>Travis Hunter</x:v>
      </x:c>
      <x:c r="C217" s="108" t="str">
        <x:v>JAX</x:v>
      </x:c>
      <x:c r="D217" s="108" t="n">
        <x:v>8</x:v>
      </x:c>
      <x:c r="E217" s="109" t="n">
        <x:v>6.3</x:v>
      </x:c>
      <x:c r="F217" s="109" t="n">
        <x:v>3.7</x:v>
      </x:c>
      <x:c r="G217" s="109" t="n">
        <x:v>2.6</x:v>
      </x:c>
      <x:c r="H217" s="109" t="n">
        <x:v>5.2</x:v>
      </x:c>
      <x:c r="I217" s="109" t="n">
        <x:v>7.9</x:v>
      </x:c>
      <x:c r="J217" s="109" t="n">
        <x:v>3.5</x:v>
      </x:c>
      <x:c r="K217" s="109" t="n">
        <x:v>20.1</x:v>
      </x:c>
      <x:c r="L217" s="109"/>
      <x:c r="M217" s="109" t="n">
        <x:v>0</x:v>
      </x:c>
      <x:c r="N217" s="109" t="n">
        <x:v>0</x:v>
      </x:c>
      <x:c r="O217" s="109" t="n">
        <x:v>0</x:v>
      </x:c>
      <x:c r="P217" s="109" t="n">
        <x:v>0</x:v>
      </x:c>
      <x:c r="Q217" s="109" t="n">
        <x:v>0</x:v>
      </x:c>
      <x:c r="R217" s="109" t="n">
        <x:v>0</x:v>
      </x:c>
      <x:c r="S217" s="109" t="n">
        <x:v>0</x:v>
      </x:c>
      <x:c r="T217" s="109" t="n">
        <x:v>0</x:v>
      </x:c>
      <x:c r="U217" s="109" t="n">
        <x:v>0</x:v>
      </x:c>
      <x:c r="V217" s="109" t="n">
        <x:v>0</x:v>
      </x:c>
      <x:c r="W217" s="109" t="n">
        <x:f>AVERAGE(E217:V217)</x:f>
        <x:v>2.9000000000000004</x:v>
      </x:c>
      <x:c r="X217" s="109" t="n">
        <x:f>MEDIAN(E217:V217)</x:f>
        <x:v>0</x:v>
      </x:c>
      <x:c r="Y217" s="109" t="n">
        <x:f>PERCENTILE.INC(E217:V217,0.25)</x:f>
        <x:v>0</x:v>
      </x:c>
      <x:c r="Z217" s="109" t="n">
        <x:f>STDEV.P(E217:V217)</x:f>
        <x:v>4.987513821298852</x:v>
      </x:c>
      <x:c r="AA217" s="173" t="n">
        <x:f>IF(W217=0,"",Z217/ABS(W217))</x:f>
        <x:v>1.7198323521720176</x:v>
      </x:c>
      <x:c r="AB217" s="173" t="n">
        <x:f>IF(W217=0,0,(COUNTIF(E217:V217,"&lt;"&amp;0.5*W217)-COUNTBLANK(E217:V217))/COUNT(E217:V217))</x:f>
        <x:v>0.5882352941176471</x:v>
      </x:c>
      <x:c r="AC217" s="109" t="n">
        <x:f>SUM(E217:V217)</x:f>
        <x:v>49.300000000000004</x:v>
      </x:c>
    </x:row>
    <x:row r="218">
      <x:c r="A218" s="108" t="str">
        <x:v>WR</x:v>
      </x:c>
      <x:c r="B218" s="108" t="str">
        <x:v>Tim Patrick</x:v>
      </x:c>
      <x:c r="C218" s="108" t="str">
        <x:v>JAX</x:v>
      </x:c>
      <x:c r="D218" s="108" t="n">
        <x:v>8</x:v>
      </x:c>
      <x:c r="E218" s="109" t="n">
        <x:v>0</x:v>
      </x:c>
      <x:c r="F218" s="109" t="n">
        <x:v>0</x:v>
      </x:c>
      <x:c r="G218" s="109" t="n">
        <x:v>2.1</x:v>
      </x:c>
      <x:c r="H218" s="109" t="n">
        <x:v>0.4</x:v>
      </x:c>
      <x:c r="I218" s="109" t="n">
        <x:v>0</x:v>
      </x:c>
      <x:c r="J218" s="109" t="n">
        <x:v>9.1</x:v>
      </x:c>
      <x:c r="K218" s="109" t="n">
        <x:v>2.7</x:v>
      </x:c>
      <x:c r="L218" s="109"/>
      <x:c r="M218" s="109" t="n">
        <x:v>0</x:v>
      </x:c>
      <x:c r="N218" s="109" t="n">
        <x:v>0</x:v>
      </x:c>
      <x:c r="O218" s="109" t="n">
        <x:v>9.5</x:v>
      </x:c>
      <x:c r="P218" s="109" t="n">
        <x:v>0</x:v>
      </x:c>
      <x:c r="Q218" s="109" t="n">
        <x:v>1.6</x:v>
      </x:c>
      <x:c r="R218" s="109" t="n">
        <x:v>16.3</x:v>
      </x:c>
      <x:c r="S218" s="109" t="n">
        <x:v>0</x:v>
      </x:c>
      <x:c r="T218" s="109" t="n">
        <x:v>1.6</x:v>
      </x:c>
      <x:c r="U218" s="109" t="n">
        <x:v>0</x:v>
      </x:c>
      <x:c r="V218" s="109" t="n">
        <x:v>0.9</x:v>
      </x:c>
      <x:c r="W218" s="109" t="n">
        <x:f>AVERAGE(E218:V218)</x:f>
        <x:v>2.6</x:v>
      </x:c>
      <x:c r="X218" s="109" t="n">
        <x:f>MEDIAN(E218:V218)</x:f>
        <x:v>0.4</x:v>
      </x:c>
      <x:c r="Y218" s="109" t="n">
        <x:f>PERCENTILE.INC(E218:V218,0.25)</x:f>
        <x:v>0</x:v>
      </x:c>
      <x:c r="Z218" s="109" t="n">
        <x:f>STDEV.P(E218:V218)</x:f>
        <x:v>4.482777500350319</x:v>
      </x:c>
      <x:c r="AA218" s="173" t="n">
        <x:f>IF(W218=0,"",Z218/ABS(W218))</x:f>
        <x:v>1.7241451924424303</x:v>
      </x:c>
      <x:c r="AB218" s="173" t="n">
        <x:f>IF(W218=0,0,(COUNTIF(E218:V218,"&lt;"&amp;0.5*W218)-COUNTBLANK(E218:V218))/COUNT(E218:V218))</x:f>
        <x:v>0.5882352941176471</x:v>
      </x:c>
      <x:c r="AC218" s="109" t="n">
        <x:f>SUM(E218:V218)</x:f>
        <x:v>44.2</x:v>
      </x:c>
    </x:row>
    <x:row r="219">
      <x:c r="A219" s="108" t="str">
        <x:v>WR</x:v>
      </x:c>
      <x:c r="B219" s="108" t="str">
        <x:v>Tyreek Hill</x:v>
      </x:c>
      <x:c r="C219" s="108" t="str">
        <x:v>MIA</x:v>
      </x:c>
      <x:c r="D219" s="108" t="n">
        <x:v>12</x:v>
      </x:c>
      <x:c r="E219" s="109" t="n">
        <x:v>6</x:v>
      </x:c>
      <x:c r="F219" s="109" t="n">
        <x:v>14.85</x:v>
      </x:c>
      <x:c r="G219" s="109" t="n">
        <x:v>13.4</x:v>
      </x:c>
      <x:c r="H219" s="109" t="n">
        <x:v>9.7</x:v>
      </x:c>
      <x:c r="I219" s="109" t="n">
        <x:v>0</x:v>
      </x:c>
      <x:c r="J219" s="109" t="n">
        <x:v>0</x:v>
      </x:c>
      <x:c r="K219" s="109" t="n">
        <x:v>0</x:v>
      </x:c>
      <x:c r="L219" s="109" t="n">
        <x:v>0</x:v>
      </x:c>
      <x:c r="M219" s="109" t="n">
        <x:v>0</x:v>
      </x:c>
      <x:c r="N219" s="109" t="n">
        <x:v>0</x:v>
      </x:c>
      <x:c r="O219" s="109" t="n">
        <x:v>0</x:v>
      </x:c>
      <x:c r="P219" s="109"/>
      <x:c r="Q219" s="109" t="n">
        <x:v>0</x:v>
      </x:c>
      <x:c r="R219" s="109" t="n">
        <x:v>0</x:v>
      </x:c>
      <x:c r="S219" s="109" t="n">
        <x:v>0</x:v>
      </x:c>
      <x:c r="T219" s="109" t="n">
        <x:v>0</x:v>
      </x:c>
      <x:c r="U219" s="109" t="n">
        <x:v>0</x:v>
      </x:c>
      <x:c r="V219" s="109" t="n">
        <x:v>0</x:v>
      </x:c>
      <x:c r="W219" s="109" t="n">
        <x:f>AVERAGE(E219:V219)</x:f>
        <x:v>2.585294117647059</x:v>
      </x:c>
      <x:c r="X219" s="109" t="n">
        <x:f>MEDIAN(E219:V219)</x:f>
        <x:v>0</x:v>
      </x:c>
      <x:c r="Y219" s="109" t="n">
        <x:f>PERCENTILE.INC(E219:V219,0.25)</x:f>
        <x:v>0</x:v>
      </x:c>
      <x:c r="Z219" s="109" t="n">
        <x:f>STDEV.P(E219:V219)</x:f>
        <x:v>4.950037572818849</x:v>
      </x:c>
      <x:c r="AA219" s="173" t="n">
        <x:f>IF(W219=0,"",Z219/ABS(W219))</x:f>
        <x:v>1.9146903012041054</x:v>
      </x:c>
      <x:c r="AB219" s="173" t="n">
        <x:f>IF(W219=0,0,(COUNTIF(E219:V219,"&lt;"&amp;0.5*W219)-COUNTBLANK(E219:V219))/COUNT(E219:V219))</x:f>
        <x:v>0.7647058823529411</x:v>
      </x:c>
      <x:c r="AC219" s="109" t="n">
        <x:f>SUM(E219:V219)</x:f>
        <x:v>43.95</x:v>
      </x:c>
    </x:row>
    <x:row r="220">
      <x:c r="A220" s="108" t="str">
        <x:v>WR</x:v>
      </x:c>
      <x:c r="B220" s="108" t="str">
        <x:v>Malik Nabers</x:v>
      </x:c>
      <x:c r="C220" s="108" t="str">
        <x:v>NYG</x:v>
      </x:c>
      <x:c r="D220" s="108" t="n">
        <x:v>14</x:v>
      </x:c>
      <x:c r="E220" s="109" t="n">
        <x:v>9.6</x:v>
      </x:c>
      <x:c r="F220" s="109" t="n">
        <x:v>35.2</x:v>
      </x:c>
      <x:c r="G220" s="109" t="n">
        <x:v>2.3</x:v>
      </x:c>
      <x:c r="H220" s="109" t="n">
        <x:v>3</x:v>
      </x:c>
      <x:c r="I220" s="109" t="n">
        <x:v>0</x:v>
      </x:c>
      <x:c r="J220" s="109" t="n">
        <x:v>0</x:v>
      </x:c>
      <x:c r="K220" s="109" t="n">
        <x:v>0</x:v>
      </x:c>
      <x:c r="L220" s="109" t="n">
        <x:v>0</x:v>
      </x:c>
      <x:c r="M220" s="109" t="n">
        <x:v>0</x:v>
      </x:c>
      <x:c r="N220" s="109" t="n">
        <x:v>0</x:v>
      </x:c>
      <x:c r="O220" s="109" t="n">
        <x:v>0</x:v>
      </x:c>
      <x:c r="P220" s="109" t="n">
        <x:v>0</x:v>
      </x:c>
      <x:c r="Q220" s="109" t="n">
        <x:v>0</x:v>
      </x:c>
      <x:c r="R220" s="109"/>
      <x:c r="S220" s="109" t="n">
        <x:v>0</x:v>
      </x:c>
      <x:c r="T220" s="109" t="n">
        <x:v>0</x:v>
      </x:c>
      <x:c r="U220" s="109" t="n">
        <x:v>0</x:v>
      </x:c>
      <x:c r="V220" s="109" t="n">
        <x:v>0</x:v>
      </x:c>
      <x:c r="W220" s="109" t="n">
        <x:f>AVERAGE(E220:V220)</x:f>
        <x:v>2.947058823529412</x:v>
      </x:c>
      <x:c r="X220" s="109" t="n">
        <x:f>MEDIAN(E220:V220)</x:f>
        <x:v>0</x:v>
      </x:c>
      <x:c r="Y220" s="109" t="n">
        <x:f>PERCENTILE.INC(E220:V220,0.25)</x:f>
        <x:v>0</x:v>
      </x:c>
      <x:c r="Z220" s="109" t="n">
        <x:f>STDEV.P(E220:V220)</x:f>
        <x:v>8.394123830328734</x:v>
      </x:c>
      <x:c r="AA220" s="173" t="n">
        <x:f>IF(W220=0,"",Z220/ABS(W220))</x:f>
        <x:v>2.848305491329111</x:v>
      </x:c>
      <x:c r="AB220" s="173" t="n">
        <x:f>IF(W220=0,0,(COUNTIF(E220:V220,"&lt;"&amp;0.5*W220)-COUNTBLANK(E220:V220))/COUNT(E220:V220))</x:f>
        <x:v>0.7647058823529411</x:v>
      </x:c>
      <x:c r="AC220" s="109" t="n">
        <x:f>SUM(E220:V220)</x:f>
        <x:v>50.1</x:v>
      </x:c>
    </x:row>
    <x:row r="221">
      <x:c r="A221" s="108" t="str">
        <x:v>TE</x:v>
      </x:c>
      <x:c r="B221" s="108" t="str">
        <x:v>Trey McBride</x:v>
      </x:c>
      <x:c r="C221" s="108" t="str">
        <x:v>ARI</x:v>
      </x:c>
      <x:c r="D221" s="108" t="n">
        <x:v>8</x:v>
      </x:c>
      <x:c r="E221" s="109" t="n">
        <x:v>9.1</x:v>
      </x:c>
      <x:c r="F221" s="109" t="n">
        <x:v>10.8</x:v>
      </x:c>
      <x:c r="G221" s="109" t="n">
        <x:v>12.8</x:v>
      </x:c>
      <x:c r="H221" s="109" t="n">
        <x:v>8.7</x:v>
      </x:c>
      <x:c r="I221" s="109" t="n">
        <x:v>6.6</x:v>
      </x:c>
      <x:c r="J221" s="109" t="n">
        <x:v>17.2</x:v>
      </x:c>
      <x:c r="K221" s="109" t="n">
        <x:v>24.4</x:v>
      </x:c>
      <x:c r="L221" s="109"/>
      <x:c r="M221" s="109" t="n">
        <x:v>14</x:v>
      </x:c>
      <x:c r="N221" s="109" t="n">
        <x:v>23.2</x:v>
      </x:c>
      <x:c r="O221" s="109" t="n">
        <x:v>22.5</x:v>
      </x:c>
      <x:c r="P221" s="109" t="n">
        <x:v>12.4</x:v>
      </x:c>
      <x:c r="Q221" s="109" t="n">
        <x:v>18.2</x:v>
      </x:c>
      <x:c r="R221" s="109" t="n">
        <x:v>8.3</x:v>
      </x:c>
      <x:c r="S221" s="109" t="n">
        <x:v>31.4</x:v>
      </x:c>
      <x:c r="T221" s="109" t="n">
        <x:v>4.7</x:v>
      </x:c>
      <x:c r="U221" s="109" t="n">
        <x:v>18.6</x:v>
      </x:c>
      <x:c r="V221" s="109" t="n">
        <x:v>10</x:v>
      </x:c>
      <x:c r="W221" s="109" t="n">
        <x:f>AVERAGE(E221:V221)</x:f>
        <x:v>14.876470588235295</x:v>
      </x:c>
      <x:c r="X221" s="109" t="n">
        <x:f>MEDIAN(E221:V221)</x:f>
        <x:v>12.8</x:v>
      </x:c>
      <x:c r="Y221" s="109" t="n">
        <x:f>PERCENTILE.INC(E221:V221,0.25)</x:f>
        <x:v>9.1</x:v>
      </x:c>
      <x:c r="Z221" s="109" t="n">
        <x:f>STDEV.P(E221:V221)</x:f>
        <x:v>7.112005542557616</x:v>
      </x:c>
      <x:c r="AA221" s="173" t="n">
        <x:f>IF(W221=0,"",Z221/ABS(W221))</x:f>
        <x:v>0.4780707561228923</x:v>
      </x:c>
      <x:c r="AB221" s="173" t="n">
        <x:f>IF(W221=0,0,(COUNTIF(E221:V221,"&lt;"&amp;0.5*W221)-COUNTBLANK(E221:V221))/COUNT(E221:V221))</x:f>
        <x:v>0.11764705882352941</x:v>
      </x:c>
      <x:c r="AC221" s="109" t="n">
        <x:f>SUM(E221:V221)</x:f>
        <x:v>252.9</x:v>
      </x:c>
    </x:row>
    <x:row r="222">
      <x:c r="A222" s="108" t="str">
        <x:v>TE</x:v>
      </x:c>
      <x:c r="B222" s="108" t="str">
        <x:v>Travis Kelce</x:v>
      </x:c>
      <x:c r="C222" s="108" t="str">
        <x:v>KC</x:v>
      </x:c>
      <x:c r="D222" s="108" t="n">
        <x:v>10</x:v>
      </x:c>
      <x:c r="E222" s="109" t="n">
        <x:v>11.7</x:v>
      </x:c>
      <x:c r="F222" s="109" t="n">
        <x:v>8.1</x:v>
      </x:c>
      <x:c r="G222" s="109" t="n">
        <x:v>4.6</x:v>
      </x:c>
      <x:c r="H222" s="109" t="n">
        <x:v>7.3</x:v>
      </x:c>
      <x:c r="I222" s="109" t="n">
        <x:v>15.6</x:v>
      </x:c>
      <x:c r="J222" s="109" t="n">
        <x:v>10.8</x:v>
      </x:c>
      <x:c r="K222" s="109" t="n">
        <x:v>6.9</x:v>
      </x:c>
      <x:c r="L222" s="109" t="n">
        <x:v>18.9</x:v>
      </x:c>
      <x:c r="M222" s="109" t="n">
        <x:v>10.6</x:v>
      </x:c>
      <x:c r="N222" s="109"/>
      <x:c r="O222" s="109" t="n">
        <x:v>19.6</x:v>
      </x:c>
      <x:c r="P222" s="109" t="n">
        <x:v>6.4</x:v>
      </x:c>
      <x:c r="Q222" s="109" t="n">
        <x:v>13</x:v>
      </x:c>
      <x:c r="R222" s="109" t="n">
        <x:v>1.3</x:v>
      </x:c>
      <x:c r="S222" s="109" t="n">
        <x:v>10.5</x:v>
      </x:c>
      <x:c r="T222" s="109" t="n">
        <x:v>1.1</x:v>
      </x:c>
      <x:c r="U222" s="109" t="n">
        <x:v>6.1</x:v>
      </x:c>
      <x:c r="V222" s="109" t="n">
        <x:v>2.2</x:v>
      </x:c>
      <x:c r="W222" s="109" t="n">
        <x:f>AVERAGE(E222:V222)</x:f>
        <x:v>9.1</x:v>
      </x:c>
      <x:c r="X222" s="109" t="n">
        <x:f>MEDIAN(E222:V222)</x:f>
        <x:v>8.1</x:v>
      </x:c>
      <x:c r="Y222" s="109" t="n">
        <x:f>PERCENTILE.INC(E222:V222,0.25)</x:f>
        <x:v>6.1</x:v>
      </x:c>
      <x:c r="Z222" s="109" t="n">
        <x:f>STDEV.P(E222:V222)</x:f>
        <x:v>5.399782130681157</x:v>
      </x:c>
      <x:c r="AA222" s="173" t="n">
        <x:f>IF(W222=0,"",Z222/ABS(W222))</x:f>
        <x:v>0.593382651723204</x:v>
      </x:c>
      <x:c r="AB222" s="173" t="n">
        <x:f>IF(W222=0,0,(COUNTIF(E222:V222,"&lt;"&amp;0.5*W222)-COUNTBLANK(E222:V222))/COUNT(E222:V222))</x:f>
        <x:v>0.17647058823529413</x:v>
      </x:c>
      <x:c r="AC222" s="109" t="n">
        <x:f>SUM(E222:V222)</x:f>
        <x:v>154.7</x:v>
      </x:c>
    </x:row>
    <x:row r="223">
      <x:c r="A223" s="108" t="str">
        <x:v>TE</x:v>
      </x:c>
      <x:c r="B223" s="108" t="str">
        <x:v>Juwan Johnson</x:v>
      </x:c>
      <x:c r="C223" s="108" t="str">
        <x:v>NO</x:v>
      </x:c>
      <x:c r="D223" s="108" t="n">
        <x:v>11</x:v>
      </x:c>
      <x:c r="E223" s="109" t="n">
        <x:v>11.6</x:v>
      </x:c>
      <x:c r="F223" s="109" t="n">
        <x:v>13.4</x:v>
      </x:c>
      <x:c r="G223" s="109" t="n">
        <x:v>8.1</x:v>
      </x:c>
      <x:c r="H223" s="109" t="n">
        <x:v>4.3</x:v>
      </x:c>
      <x:c r="I223" s="109" t="n">
        <x:v>2.7</x:v>
      </x:c>
      <x:c r="J223" s="109" t="n">
        <x:v>0.5</x:v>
      </x:c>
      <x:c r="K223" s="109" t="n">
        <x:v>10.4</x:v>
      </x:c>
      <x:c r="L223" s="109" t="n">
        <x:v>7.8</x:v>
      </x:c>
      <x:c r="M223" s="109" t="n">
        <x:v>10.6</x:v>
      </x:c>
      <x:c r="N223" s="109" t="n">
        <x:v>17.2</x:v>
      </x:c>
      <x:c r="O223" s="109"/>
      <x:c r="P223" s="109" t="n">
        <x:v>7.6</x:v>
      </x:c>
      <x:c r="Q223" s="109" t="n">
        <x:v>6.4</x:v>
      </x:c>
      <x:c r="R223" s="109" t="n">
        <x:v>5.8</x:v>
      </x:c>
      <x:c r="S223" s="109" t="n">
        <x:v>5</x:v>
      </x:c>
      <x:c r="T223" s="109" t="n">
        <x:v>12.9</x:v>
      </x:c>
      <x:c r="U223" s="109" t="n">
        <x:v>11.5</x:v>
      </x:c>
      <x:c r="V223" s="109" t="n">
        <x:v>5.6</x:v>
      </x:c>
      <x:c r="W223" s="109" t="n">
        <x:f>AVERAGE(E223:V223)</x:f>
        <x:v>8.31764705882353</x:v>
      </x:c>
      <x:c r="X223" s="109" t="n">
        <x:f>MEDIAN(E223:V223)</x:f>
        <x:v>7.8</x:v>
      </x:c>
      <x:c r="Y223" s="109" t="n">
        <x:f>PERCENTILE.INC(E223:V223,0.25)</x:f>
        <x:v>5.6</x:v>
      </x:c>
      <x:c r="Z223" s="109" t="n">
        <x:f>STDEV.P(E223:V223)</x:f>
        <x:v>4.160208605363246</x:v>
      </x:c>
      <x:c r="AA223" s="173" t="n">
        <x:f>IF(W223=0,"",Z223/ABS(W223))</x:f>
        <x:v>0.5001665225684241</x:v>
      </x:c>
      <x:c r="AB223" s="173" t="n">
        <x:f>IF(W223=0,0,(COUNTIF(E223:V223,"&lt;"&amp;0.5*W223)-COUNTBLANK(E223:V223))/COUNT(E223:V223))</x:f>
        <x:v>0.11764705882352941</x:v>
      </x:c>
      <x:c r="AC223" s="109" t="n">
        <x:f>SUM(E223:V223)</x:f>
        <x:v>141.4</x:v>
      </x:c>
    </x:row>
    <x:row r="224">
      <x:c r="A224" s="108" t="str">
        <x:v>TE</x:v>
      </x:c>
      <x:c r="B224" s="108" t="str">
        <x:v>Harold Fannin Jr.</x:v>
      </x:c>
      <x:c r="C224" s="108" t="str">
        <x:v>CLE</x:v>
      </x:c>
      <x:c r="D224" s="108" t="n">
        <x:v>9</x:v>
      </x:c>
      <x:c r="E224" s="109" t="n">
        <x:v>10.1</x:v>
      </x:c>
      <x:c r="F224" s="109" t="n">
        <x:v>7.3</x:v>
      </x:c>
      <x:c r="G224" s="109" t="n">
        <x:v>4</x:v>
      </x:c>
      <x:c r="H224" s="109" t="n">
        <x:v>3.5</x:v>
      </x:c>
      <x:c r="I224" s="109" t="n">
        <x:v>9.3</x:v>
      </x:c>
      <x:c r="J224" s="109" t="n">
        <x:v>11.6</x:v>
      </x:c>
      <x:c r="K224" s="109" t="n">
        <x:v>5.6</x:v>
      </x:c>
      <x:c r="L224" s="109" t="n">
        <x:v>15.4</x:v>
      </x:c>
      <x:c r="M224" s="109"/>
      <x:c r="N224" s="109" t="n">
        <x:v>6.4</x:v>
      </x:c>
      <x:c r="O224" s="109" t="n">
        <x:v>3.6</x:v>
      </x:c>
      <x:c r="P224" s="109" t="n">
        <x:v>6.4</x:v>
      </x:c>
      <x:c r="Q224" s="109" t="n">
        <x:v>9.8</x:v>
      </x:c>
      <x:c r="R224" s="109" t="n">
        <x:v>21.4</x:v>
      </x:c>
      <x:c r="S224" s="109" t="n">
        <x:v>8.5</x:v>
      </x:c>
      <x:c r="T224" s="109" t="n">
        <x:v>17.5</x:v>
      </x:c>
      <x:c r="U224" s="109" t="n">
        <x:v>10</x:v>
      </x:c>
      <x:c r="V224" s="109" t="n">
        <x:v>0</x:v>
      </x:c>
      <x:c r="W224" s="109" t="n">
        <x:f>AVERAGE(E224:V224)</x:f>
        <x:v>8.847058823529412</x:v>
      </x:c>
      <x:c r="X224" s="109" t="n">
        <x:f>MEDIAN(E224:V224)</x:f>
        <x:v>8.5</x:v>
      </x:c>
      <x:c r="Y224" s="109" t="n">
        <x:f>PERCENTILE.INC(E224:V224,0.25)</x:f>
        <x:v>5.6</x:v>
      </x:c>
      <x:c r="Z224" s="109" t="n">
        <x:f>STDEV.P(E224:V224)</x:f>
        <x:v>5.25750082062692</x:v>
      </x:c>
      <x:c r="AA224" s="173" t="n">
        <x:f>IF(W224=0,"",Z224/ABS(W224))</x:f>
        <x:v>0.5942653853102235</x:v>
      </x:c>
      <x:c r="AB224" s="173" t="n">
        <x:f>IF(W224=0,0,(COUNTIF(E224:V224,"&lt;"&amp;0.5*W224)-COUNTBLANK(E224:V224))/COUNT(E224:V224))</x:f>
        <x:v>0.23529411764705882</x:v>
      </x:c>
      <x:c r="AC224" s="109" t="n">
        <x:f>SUM(E224:V224)</x:f>
        <x:v>150.4</x:v>
      </x:c>
    </x:row>
    <x:row r="225">
      <x:c r="A225" s="108" t="str">
        <x:v>TE</x:v>
      </x:c>
      <x:c r="B225" s="108" t="str">
        <x:v>Hunter Henry</x:v>
      </x:c>
      <x:c r="C225" s="108" t="str">
        <x:v>NE</x:v>
      </x:c>
      <x:c r="D225" s="108" t="n">
        <x:v>14</x:v>
      </x:c>
      <x:c r="E225" s="109" t="n">
        <x:v>8.6</x:v>
      </x:c>
      <x:c r="F225" s="109" t="n">
        <x:v>1.4</x:v>
      </x:c>
      <x:c r="G225" s="109" t="n">
        <x:v>25</x:v>
      </x:c>
      <x:c r="H225" s="109" t="n">
        <x:v>10.9</x:v>
      </x:c>
      <x:c r="I225" s="109" t="n">
        <x:v>5.6</x:v>
      </x:c>
      <x:c r="J225" s="109" t="n">
        <x:v>4.2</x:v>
      </x:c>
      <x:c r="K225" s="109" t="n">
        <x:v>5.3</x:v>
      </x:c>
      <x:c r="L225" s="109" t="n">
        <x:v>7.2</x:v>
      </x:c>
      <x:c r="M225" s="109" t="n">
        <x:v>7.1</x:v>
      </x:c>
      <x:c r="N225" s="109" t="n">
        <x:v>1.4</x:v>
      </x:c>
      <x:c r="O225" s="109" t="n">
        <x:v>6.5</x:v>
      </x:c>
      <x:c r="P225" s="109" t="n">
        <x:v>21</x:v>
      </x:c>
      <x:c r="Q225" s="109" t="n">
        <x:v>9.3</x:v>
      </x:c>
      <x:c r="R225" s="109"/>
      <x:c r="S225" s="109" t="n">
        <x:v>2.3</x:v>
      </x:c>
      <x:c r="T225" s="109" t="n">
        <x:v>12.5</x:v>
      </x:c>
      <x:c r="U225" s="109" t="n">
        <x:v>12.4</x:v>
      </x:c>
      <x:c r="V225" s="109" t="n">
        <x:v>8.1</x:v>
      </x:c>
      <x:c r="W225" s="109" t="n">
        <x:f>AVERAGE(E225:V225)</x:f>
        <x:v>8.75294117647059</x:v>
      </x:c>
      <x:c r="X225" s="109" t="n">
        <x:f>MEDIAN(E225:V225)</x:f>
        <x:v>7.2</x:v>
      </x:c>
      <x:c r="Y225" s="109" t="n">
        <x:f>PERCENTILE.INC(E225:V225,0.25)</x:f>
        <x:v>5.3</x:v>
      </x:c>
      <x:c r="Z225" s="109" t="n">
        <x:f>STDEV.P(E225:V225)</x:f>
        <x:v>6.1798646136949165</x:v>
      </x:c>
      <x:c r="AA225" s="173" t="n">
        <x:f>IF(W225=0,"",Z225/ABS(W225))</x:f>
        <x:v>0.70603291957536</x:v>
      </x:c>
      <x:c r="AB225" s="173" t="n">
        <x:f>IF(W225=0,0,(COUNTIF(E225:V225,"&lt;"&amp;0.5*W225)-COUNTBLANK(E225:V225))/COUNT(E225:V225))</x:f>
        <x:v>0.23529411764705882</x:v>
      </x:c>
      <x:c r="AC225" s="109" t="n">
        <x:f>SUM(E225:V225)</x:f>
        <x:v>148.8</x:v>
      </x:c>
    </x:row>
    <x:row r="226">
      <x:c r="A226" s="108" t="str">
        <x:v>TE</x:v>
      </x:c>
      <x:c r="B226" s="108" t="str">
        <x:v>Tyler Warren</x:v>
      </x:c>
      <x:c r="C226" s="108" t="str">
        <x:v>IND</x:v>
      </x:c>
      <x:c r="D226" s="108" t="n">
        <x:v>11</x:v>
      </x:c>
      <x:c r="E226" s="109" t="n">
        <x:v>11.4</x:v>
      </x:c>
      <x:c r="F226" s="109" t="n">
        <x:v>9.9</x:v>
      </x:c>
      <x:c r="G226" s="109" t="n">
        <x:v>5.3</x:v>
      </x:c>
      <x:c r="H226" s="109" t="n">
        <x:v>15.8</x:v>
      </x:c>
      <x:c r="I226" s="109" t="n">
        <x:v>12.4</x:v>
      </x:c>
      <x:c r="J226" s="109" t="n">
        <x:v>15.3</x:v>
      </x:c>
      <x:c r="K226" s="109" t="n">
        <x:v>14.9</x:v>
      </x:c>
      <x:c r="L226" s="109" t="n">
        <x:v>7.3</x:v>
      </x:c>
      <x:c r="M226" s="109" t="n">
        <x:v>5.1</x:v>
      </x:c>
      <x:c r="N226" s="109" t="n">
        <x:v>13.9</x:v>
      </x:c>
      <x:c r="O226" s="109"/>
      <x:c r="P226" s="109" t="n">
        <x:v>7</x:v>
      </x:c>
      <x:c r="Q226" s="109" t="n">
        <x:v>9.2</x:v>
      </x:c>
      <x:c r="R226" s="109" t="n">
        <x:v>2.7</x:v>
      </x:c>
      <x:c r="S226" s="109" t="n">
        <x:v>3.4</x:v>
      </x:c>
      <x:c r="T226" s="109" t="n">
        <x:v>4.5</x:v>
      </x:c>
      <x:c r="U226" s="109" t="n">
        <x:v>6.8</x:v>
      </x:c>
      <x:c r="V226" s="109" t="n">
        <x:v>5.1</x:v>
      </x:c>
      <x:c r="W226" s="109" t="n">
        <x:f>AVERAGE(E226:V226)</x:f>
        <x:v>8.823529411764708</x:v>
      </x:c>
      <x:c r="X226" s="109" t="n">
        <x:f>MEDIAN(E226:V226)</x:f>
        <x:v>7.3</x:v>
      </x:c>
      <x:c r="Y226" s="109" t="n">
        <x:f>PERCENTILE.INC(E226:V226,0.25)</x:f>
        <x:v>5.1</x:v>
      </x:c>
      <x:c r="Z226" s="109" t="n">
        <x:f>STDEV.P(E226:V226)</x:f>
        <x:v>4.267046011106473</x:v>
      </x:c>
      <x:c r="AA226" s="173" t="n">
        <x:f>IF(W226=0,"",Z226/ABS(W226))</x:f>
        <x:v>0.48359854792540014</x:v>
      </x:c>
      <x:c r="AB226" s="173" t="n">
        <x:f>IF(W226=0,0,(COUNTIF(E226:V226,"&lt;"&amp;0.5*W226)-COUNTBLANK(E226:V226))/COUNT(E226:V226))</x:f>
        <x:v>0.11764705882352941</x:v>
      </x:c>
      <x:c r="AC226" s="109" t="n">
        <x:f>SUM(E226:V226)</x:f>
        <x:v>150.00000000000003</x:v>
      </x:c>
    </x:row>
    <x:row r="227">
      <x:c r="A227" s="108" t="str">
        <x:v>TE</x:v>
      </x:c>
      <x:c r="B227" s="108" t="str">
        <x:v>Jake Ferguson</x:v>
      </x:c>
      <x:c r="C227" s="108" t="str">
        <x:v>DAL</x:v>
      </x:c>
      <x:c r="D227" s="108" t="n">
        <x:v>10</x:v>
      </x:c>
      <x:c r="E227" s="109" t="n">
        <x:v>4.8</x:v>
      </x:c>
      <x:c r="F227" s="109" t="n">
        <x:v>12.3</x:v>
      </x:c>
      <x:c r="G227" s="109" t="n">
        <x:v>14.7</x:v>
      </x:c>
      <x:c r="H227" s="109" t="n">
        <x:v>13.5</x:v>
      </x:c>
      <x:c r="I227" s="109" t="n">
        <x:v>20.4</x:v>
      </x:c>
      <x:c r="J227" s="109" t="n">
        <x:v>10.8</x:v>
      </x:c>
      <x:c r="K227" s="109" t="n">
        <x:v>18.4</x:v>
      </x:c>
      <x:c r="L227" s="109" t="n">
        <x:v>0</x:v>
      </x:c>
      <x:c r="M227" s="109" t="n">
        <x:v>5.5</x:v>
      </x:c>
      <x:c r="N227" s="109"/>
      <x:c r="O227" s="109" t="n">
        <x:v>9.6</x:v>
      </x:c>
      <x:c r="P227" s="109" t="n">
        <x:v>8.1</x:v>
      </x:c>
      <x:c r="Q227" s="109" t="n">
        <x:v>6.1</x:v>
      </x:c>
      <x:c r="R227" s="109" t="n">
        <x:v>8.3</x:v>
      </x:c>
      <x:c r="S227" s="109" t="n">
        <x:v>2.6</x:v>
      </x:c>
      <x:c r="T227" s="109" t="n">
        <x:v>3.4</x:v>
      </x:c>
      <x:c r="U227" s="109" t="n">
        <x:v>7.1</x:v>
      </x:c>
      <x:c r="V227" s="109" t="n">
        <x:v>1</x:v>
      </x:c>
      <x:c r="W227" s="109" t="n">
        <x:f>AVERAGE(E227:V227)</x:f>
        <x:v>8.623529411764704</x:v>
      </x:c>
      <x:c r="X227" s="109" t="n">
        <x:f>MEDIAN(E227:V227)</x:f>
        <x:v>8.1</x:v>
      </x:c>
      <x:c r="Y227" s="109" t="n">
        <x:f>PERCENTILE.INC(E227:V227,0.25)</x:f>
        <x:v>4.8</x:v>
      </x:c>
      <x:c r="Z227" s="109" t="n">
        <x:f>STDEV.P(E227:V227)</x:f>
        <x:v>5.6551412747490435</x:v>
      </x:c>
      <x:c r="AA227" s="173" t="n">
        <x:f>IF(W227=0,"",Z227/ABS(W227))</x:f>
        <x:v>0.6557803661032316</x:v>
      </x:c>
      <x:c r="AB227" s="173" t="n">
        <x:f>IF(W227=0,0,(COUNTIF(E227:V227,"&lt;"&amp;0.5*W227)-COUNTBLANK(E227:V227))/COUNT(E227:V227))</x:f>
        <x:v>0.23529411764705882</x:v>
      </x:c>
      <x:c r="AC227" s="109" t="n">
        <x:f>SUM(E227:V227)</x:f>
        <x:v>146.59999999999997</x:v>
      </x:c>
    </x:row>
    <x:row r="228">
      <x:c r="A228" s="108" t="str">
        <x:v>TE</x:v>
      </x:c>
      <x:c r="B228" s="108" t="str">
        <x:v>Kyle Pitts Sr.</x:v>
      </x:c>
      <x:c r="C228" s="108" t="str">
        <x:v>ATL</x:v>
      </x:c>
      <x:c r="D228" s="108" t="n">
        <x:v>5</x:v>
      </x:c>
      <x:c r="E228" s="109" t="n">
        <x:v>9.4</x:v>
      </x:c>
      <x:c r="F228" s="109" t="n">
        <x:v>5.7</x:v>
      </x:c>
      <x:c r="G228" s="109" t="n">
        <x:v>5.9</x:v>
      </x:c>
      <x:c r="H228" s="109" t="n">
        <x:v>15.5</x:v>
      </x:c>
      <x:c r="I228" s="109"/>
      <x:c r="J228" s="109" t="n">
        <x:v>3.3</x:v>
      </x:c>
      <x:c r="K228" s="109" t="n">
        <x:v>9.7</x:v>
      </x:c>
      <x:c r="L228" s="109" t="n">
        <x:v>10.4</x:v>
      </x:c>
      <x:c r="M228" s="109" t="n">
        <x:v>5.8</x:v>
      </x:c>
      <x:c r="N228" s="109" t="n">
        <x:v>4.8</x:v>
      </x:c>
      <x:c r="O228" s="109" t="n">
        <x:v>2.4</x:v>
      </x:c>
      <x:c r="P228" s="109" t="n">
        <x:v>3.5</x:v>
      </x:c>
      <x:c r="Q228" s="109" t="n">
        <x:v>11.7</x:v>
      </x:c>
      <x:c r="R228" s="109" t="n">
        <x:v>12</x:v>
      </x:c>
      <x:c r="S228" s="109" t="n">
        <x:v>40.1</x:v>
      </x:c>
      <x:c r="T228" s="109" t="n">
        <x:v>15.2</x:v>
      </x:c>
      <x:c r="U228" s="109" t="n">
        <x:v>2.6</x:v>
      </x:c>
      <x:c r="V228" s="109" t="n">
        <x:v>8.8</x:v>
      </x:c>
      <x:c r="W228" s="109" t="n">
        <x:f>AVERAGE(E228:V228)</x:f>
        <x:v>9.811764705882354</x:v>
      </x:c>
      <x:c r="X228" s="109" t="n">
        <x:f>MEDIAN(E228:V228)</x:f>
        <x:v>8.8</x:v>
      </x:c>
      <x:c r="Y228" s="109" t="n">
        <x:f>PERCENTILE.INC(E228:V228,0.25)</x:f>
        <x:v>4.8</x:v>
      </x:c>
      <x:c r="Z228" s="109" t="n">
        <x:f>STDEV.P(E228:V228)</x:f>
        <x:v>8.579310431150539</x:v>
      </x:c>
      <x:c r="AA228" s="173" t="n">
        <x:f>IF(W228=0,"",Z228/ABS(W228))</x:f>
        <x:v>0.8743901518558702</x:v>
      </x:c>
      <x:c r="AB228" s="173" t="n">
        <x:f>IF(W228=0,0,(COUNTIF(E228:V228,"&lt;"&amp;0.5*W228)-COUNTBLANK(E228:V228))/COUNT(E228:V228))</x:f>
        <x:v>0.29411764705882354</x:v>
      </x:c>
      <x:c r="AC228" s="109" t="n">
        <x:f>SUM(E228:V228)</x:f>
        <x:v>166.8</x:v>
      </x:c>
    </x:row>
    <x:row r="229">
      <x:c r="A229" s="108" t="str">
        <x:v>TE</x:v>
      </x:c>
      <x:c r="B229" s="108" t="str">
        <x:v>Dalton Schultz</x:v>
      </x:c>
      <x:c r="C229" s="108" t="str">
        <x:v>HOU</x:v>
      </x:c>
      <x:c r="D229" s="108" t="n">
        <x:v>6</x:v>
      </x:c>
      <x:c r="E229" s="109" t="n">
        <x:v>4.3</x:v>
      </x:c>
      <x:c r="F229" s="109" t="n">
        <x:v>4.4</x:v>
      </x:c>
      <x:c r="G229" s="109" t="n">
        <x:v>6.4</x:v>
      </x:c>
      <x:c r="H229" s="109" t="n">
        <x:v>5.5</x:v>
      </x:c>
      <x:c r="I229" s="109" t="n">
        <x:v>8.5</x:v>
      </x:c>
      <x:c r="J229" s="109"/>
      <x:c r="K229" s="109" t="n">
        <x:v>14.3</x:v>
      </x:c>
      <x:c r="L229" s="109" t="n">
        <x:v>3.4</x:v>
      </x:c>
      <x:c r="M229" s="109" t="n">
        <x:v>10.7</x:v>
      </x:c>
      <x:c r="N229" s="109" t="n">
        <x:v>14.8</x:v>
      </x:c>
      <x:c r="O229" s="109" t="n">
        <x:v>8.1</x:v>
      </x:c>
      <x:c r="P229" s="109" t="n">
        <x:v>1.3</x:v>
      </x:c>
      <x:c r="Q229" s="109" t="n">
        <x:v>9</x:v>
      </x:c>
      <x:c r="R229" s="109" t="n">
        <x:v>3.7</x:v>
      </x:c>
      <x:c r="S229" s="109" t="n">
        <x:v>17.6</x:v>
      </x:c>
      <x:c r="T229" s="109" t="n">
        <x:v>12</x:v>
      </x:c>
      <x:c r="U229" s="109" t="n">
        <x:v>2.9</x:v>
      </x:c>
      <x:c r="V229" s="109" t="n">
        <x:v>9.3</x:v>
      </x:c>
      <x:c r="W229" s="109" t="n">
        <x:f>AVERAGE(E229:V229)</x:f>
        <x:v>8.011764705882355</x:v>
      </x:c>
      <x:c r="X229" s="109" t="n">
        <x:f>MEDIAN(E229:V229)</x:f>
        <x:v>8.1</x:v>
      </x:c>
      <x:c r="Y229" s="109" t="n">
        <x:f>PERCENTILE.INC(E229:V229,0.25)</x:f>
        <x:v>4.3</x:v>
      </x:c>
      <x:c r="Z229" s="109" t="n">
        <x:f>STDEV.P(E229:V229)</x:f>
        <x:v>4.5396141780787</x:v>
      </x:c>
      <x:c r="AA229" s="173" t="n">
        <x:f>IF(W229=0,"",Z229/ABS(W229))</x:f>
        <x:v>0.5666185097455056</x:v>
      </x:c>
      <x:c r="AB229" s="173" t="n">
        <x:f>IF(W229=0,0,(COUNTIF(E229:V229,"&lt;"&amp;0.5*W229)-COUNTBLANK(E229:V229))/COUNT(E229:V229))</x:f>
        <x:v>0.23529411764705882</x:v>
      </x:c>
      <x:c r="AC229" s="109" t="n">
        <x:f>SUM(E229:V229)</x:f>
        <x:v>136.20000000000002</x:v>
      </x:c>
    </x:row>
    <x:row r="230">
      <x:c r="A230" s="108" t="str">
        <x:v>TE</x:v>
      </x:c>
      <x:c r="B230" s="108" t="str">
        <x:v>Colston Loveland</x:v>
      </x:c>
      <x:c r="C230" s="108" t="str">
        <x:v>CHI</x:v>
      </x:c>
      <x:c r="D230" s="108" t="n">
        <x:v>5</x:v>
      </x:c>
      <x:c r="E230" s="109" t="n">
        <x:v>2.2</x:v>
      </x:c>
      <x:c r="F230" s="109" t="n">
        <x:v>0</x:v>
      </x:c>
      <x:c r="G230" s="109" t="n">
        <x:v>3.6</x:v>
      </x:c>
      <x:c r="H230" s="109" t="n">
        <x:v>0</x:v>
      </x:c>
      <x:c r="I230" s="109"/>
      <x:c r="J230" s="109" t="n">
        <x:v>2.1</x:v>
      </x:c>
      <x:c r="K230" s="109" t="n">
        <x:v>3.9</x:v>
      </x:c>
      <x:c r="L230" s="109" t="n">
        <x:v>5.3</x:v>
      </x:c>
      <x:c r="M230" s="109" t="n">
        <x:v>28.8</x:v>
      </x:c>
      <x:c r="N230" s="109" t="n">
        <x:v>7.5</x:v>
      </x:c>
      <x:c r="O230" s="109" t="n">
        <x:v>5.5</x:v>
      </x:c>
      <x:c r="P230" s="109" t="n">
        <x:v>12.9</x:v>
      </x:c>
      <x:c r="Q230" s="109" t="n">
        <x:v>4.3</x:v>
      </x:c>
      <x:c r="R230" s="109" t="n">
        <x:v>10.9</x:v>
      </x:c>
      <x:c r="S230" s="109" t="n">
        <x:v>8.1</x:v>
      </x:c>
      <x:c r="T230" s="109" t="n">
        <x:v>4.5</x:v>
      </x:c>
      <x:c r="U230" s="109" t="n">
        <x:v>18.4</x:v>
      </x:c>
      <x:c r="V230" s="109" t="n">
        <x:v>20.1</x:v>
      </x:c>
      <x:c r="W230" s="109" t="n">
        <x:f>AVERAGE(E230:V230)</x:f>
        <x:v>8.123529411764705</x:v>
      </x:c>
      <x:c r="X230" s="109" t="n">
        <x:f>MEDIAN(E230:V230)</x:f>
        <x:v>5.3</x:v>
      </x:c>
      <x:c r="Y230" s="109" t="n">
        <x:f>PERCENTILE.INC(E230:V230,0.25)</x:f>
        <x:v>3.6</x:v>
      </x:c>
      <x:c r="Z230" s="109" t="n">
        <x:f>STDEV.P(E230:V230)</x:f>
        <x:v>7.637872310113959</x:v>
      </x:c>
      <x:c r="AA230" s="173" t="n">
        <x:f>IF(W230=0,"",Z230/ABS(W230))</x:f>
        <x:v>0.9402159976244555</x:v>
      </x:c>
      <x:c r="AB230" s="173" t="n">
        <x:f>IF(W230=0,0,(COUNTIF(E230:V230,"&lt;"&amp;0.5*W230)-COUNTBLANK(E230:V230))/COUNT(E230:V230))</x:f>
        <x:v>0.35294117647058826</x:v>
      </x:c>
      <x:c r="AC230" s="109" t="n">
        <x:f>SUM(E230:V230)</x:f>
        <x:v>138.1</x:v>
      </x:c>
    </x:row>
    <x:row r="231">
      <x:c r="A231" s="108" t="str">
        <x:v>TE</x:v>
      </x:c>
      <x:c r="B231" s="108" t="str">
        <x:v>Dallas Goedert</x:v>
      </x:c>
      <x:c r="C231" s="108" t="str">
        <x:v>PHI</x:v>
      </x:c>
      <x:c r="D231" s="108" t="n">
        <x:v>9</x:v>
      </x:c>
      <x:c r="E231" s="109" t="n">
        <x:v>7.9</x:v>
      </x:c>
      <x:c r="F231" s="109" t="n">
        <x:v>0</x:v>
      </x:c>
      <x:c r="G231" s="109" t="n">
        <x:v>9.8</x:v>
      </x:c>
      <x:c r="H231" s="109" t="n">
        <x:v>17.7</x:v>
      </x:c>
      <x:c r="I231" s="109" t="n">
        <x:v>9.4</x:v>
      </x:c>
      <x:c r="J231" s="109" t="n">
        <x:v>21.5</x:v>
      </x:c>
      <x:c r="K231" s="109" t="n">
        <x:v>3.3</x:v>
      </x:c>
      <x:c r="L231" s="109" t="n">
        <x:v>16.3</x:v>
      </x:c>
      <x:c r="M231" s="109"/>
      <x:c r="N231" s="109" t="n">
        <x:v>6.3</x:v>
      </x:c>
      <x:c r="O231" s="109" t="n">
        <x:v>3.4</x:v>
      </x:c>
      <x:c r="P231" s="109" t="n">
        <x:v>3</x:v>
      </x:c>
      <x:c r="Q231" s="109" t="n">
        <x:v>3.7</x:v>
      </x:c>
      <x:c r="R231" s="109" t="n">
        <x:v>11.8</x:v>
      </x:c>
      <x:c r="S231" s="109" t="n">
        <x:v>22</x:v>
      </x:c>
      <x:c r="T231" s="109" t="n">
        <x:v>10.7</x:v>
      </x:c>
      <x:c r="U231" s="109" t="n">
        <x:v>8.3</x:v>
      </x:c>
      <x:c r="V231" s="109" t="n">
        <x:v>0</x:v>
      </x:c>
      <x:c r="W231" s="109" t="n">
        <x:f>AVERAGE(E231:V231)</x:f>
        <x:v>9.123529411764707</x:v>
      </x:c>
      <x:c r="X231" s="109" t="n">
        <x:f>MEDIAN(E231:V231)</x:f>
        <x:v>8.3</x:v>
      </x:c>
      <x:c r="Y231" s="109" t="n">
        <x:f>PERCENTILE.INC(E231:V231,0.25)</x:f>
        <x:v>3.4</x:v>
      </x:c>
      <x:c r="Z231" s="109" t="n">
        <x:f>STDEV.P(E231:V231)</x:f>
        <x:v>6.705706912049722</x:v>
      </x:c>
      <x:c r="AA231" s="173" t="n">
        <x:f>IF(W231=0,"",Z231/ABS(W231))</x:f>
        <x:v>0.7349904416817876</x:v>
      </x:c>
      <x:c r="AB231" s="173" t="n">
        <x:f>IF(W231=0,0,(COUNTIF(E231:V231,"&lt;"&amp;0.5*W231)-COUNTBLANK(E231:V231))/COUNT(E231:V231))</x:f>
        <x:v>0.35294117647058826</x:v>
      </x:c>
      <x:c r="AC231" s="109" t="n">
        <x:f>SUM(E231:V231)</x:f>
        <x:v>155.10000000000002</x:v>
      </x:c>
    </x:row>
    <x:row r="232">
      <x:c r="A232" s="108" t="str">
        <x:v>TE</x:v>
      </x:c>
      <x:c r="B232" s="108" t="str">
        <x:v>Chig Okonkwo</x:v>
      </x:c>
      <x:c r="C232" s="108" t="str">
        <x:v>TEN</x:v>
      </x:c>
      <x:c r="D232" s="108" t="n">
        <x:v>10</x:v>
      </x:c>
      <x:c r="E232" s="109" t="n">
        <x:v>3.4</x:v>
      </x:c>
      <x:c r="F232" s="109" t="n">
        <x:v>5.5</x:v>
      </x:c>
      <x:c r="G232" s="109" t="n">
        <x:v>9.1</x:v>
      </x:c>
      <x:c r="H232" s="109" t="n">
        <x:v>0.9</x:v>
      </x:c>
      <x:c r="I232" s="109" t="n">
        <x:v>6.8</x:v>
      </x:c>
      <x:c r="J232" s="109" t="n">
        <x:v>7.6</x:v>
      </x:c>
      <x:c r="K232" s="109" t="n">
        <x:v>0</x:v>
      </x:c>
      <x:c r="L232" s="109" t="n">
        <x:v>7.3</x:v>
      </x:c>
      <x:c r="M232" s="109" t="n">
        <x:v>2</x:v>
      </x:c>
      <x:c r="N232" s="109"/>
      <x:c r="O232" s="109" t="n">
        <x:v>7.1</x:v>
      </x:c>
      <x:c r="P232" s="109" t="n">
        <x:v>5.5</x:v>
      </x:c>
      <x:c r="Q232" s="109" t="n">
        <x:v>4.9</x:v>
      </x:c>
      <x:c r="R232" s="109" t="n">
        <x:v>3</x:v>
      </x:c>
      <x:c r="S232" s="109" t="n">
        <x:v>5.3</x:v>
      </x:c>
      <x:c r="T232" s="109" t="n">
        <x:v>13.4</x:v>
      </x:c>
      <x:c r="U232" s="109" t="n">
        <x:v>15</x:v>
      </x:c>
      <x:c r="V232" s="109" t="n">
        <x:v>1.2</x:v>
      </x:c>
      <x:c r="W232" s="109" t="n">
        <x:f>AVERAGE(E232:V232)</x:f>
        <x:v>5.764705882352941</x:v>
      </x:c>
      <x:c r="X232" s="109" t="n">
        <x:f>MEDIAN(E232:V232)</x:f>
        <x:v>5.5</x:v>
      </x:c>
      <x:c r="Y232" s="109" t="n">
        <x:f>PERCENTILE.INC(E232:V232,0.25)</x:f>
        <x:v>3</x:v>
      </x:c>
      <x:c r="Z232" s="109" t="n">
        <x:f>STDEV.P(E232:V232)</x:f>
        <x:v>3.9818619907644726</x:v>
      </x:c>
      <x:c r="AA232" s="173" t="n">
        <x:f>IF(W232=0,"",Z232/ABS(W232))</x:f>
        <x:v>0.6907311616632248</x:v>
      </x:c>
      <x:c r="AB232" s="173" t="n">
        <x:f>IF(W232=0,0,(COUNTIF(E232:V232,"&lt;"&amp;0.5*W232)-COUNTBLANK(E232:V232))/COUNT(E232:V232))</x:f>
        <x:v>0.23529411764705882</x:v>
      </x:c>
      <x:c r="AC232" s="109" t="n">
        <x:f>SUM(E232:V232)</x:f>
        <x:v>98</x:v>
      </x:c>
    </x:row>
    <x:row r="233">
      <x:c r="A233" s="108" t="str">
        <x:v>TE</x:v>
      </x:c>
      <x:c r="B233" s="108" t="str">
        <x:v>AJ Barner</x:v>
      </x:c>
      <x:c r="C233" s="108" t="str">
        <x:v>SEA</x:v>
      </x:c>
      <x:c r="D233" s="108" t="n">
        <x:v>8</x:v>
      </x:c>
      <x:c r="E233" s="109" t="n">
        <x:v>0.7</x:v>
      </x:c>
      <x:c r="F233" s="109" t="n">
        <x:v>9.8</x:v>
      </x:c>
      <x:c r="G233" s="109" t="n">
        <x:v>2.8</x:v>
      </x:c>
      <x:c r="H233" s="109" t="n">
        <x:v>10.7</x:v>
      </x:c>
      <x:c r="I233" s="109" t="n">
        <x:v>20.8</x:v>
      </x:c>
      <x:c r="J233" s="109" t="n">
        <x:v>8.6</x:v>
      </x:c>
      <x:c r="K233" s="109" t="n">
        <x:v>1.4</x:v>
      </x:c>
      <x:c r="L233" s="109"/>
      <x:c r="M233" s="109" t="n">
        <x:v>9.5</x:v>
      </x:c>
      <x:c r="N233" s="109" t="n">
        <x:v>0.3</x:v>
      </x:c>
      <x:c r="O233" s="109" t="n">
        <x:v>11.6</x:v>
      </x:c>
      <x:c r="P233" s="109" t="n">
        <x:v>2.8</x:v>
      </x:c>
      <x:c r="Q233" s="109" t="n">
        <x:v>5.7</x:v>
      </x:c>
      <x:c r="R233" s="109" t="n">
        <x:v>4.2</x:v>
      </x:c>
      <x:c r="S233" s="109" t="n">
        <x:v>4.2</x:v>
      </x:c>
      <x:c r="T233" s="109" t="n">
        <x:v>13</x:v>
      </x:c>
      <x:c r="U233" s="109" t="n">
        <x:v>11.8</x:v>
      </x:c>
      <x:c r="V233" s="109" t="n">
        <x:v>2.4</x:v>
      </x:c>
      <x:c r="W233" s="109" t="n">
        <x:f>AVERAGE(E233:V233)</x:f>
        <x:v>7.076470588235294</x:v>
      </x:c>
      <x:c r="X233" s="109" t="n">
        <x:f>MEDIAN(E233:V233)</x:f>
        <x:v>5.7</x:v>
      </x:c>
      <x:c r="Y233" s="109" t="n">
        <x:f>PERCENTILE.INC(E233:V233,0.25)</x:f>
        <x:v>2.8</x:v>
      </x:c>
      <x:c r="Z233" s="109" t="n">
        <x:f>STDEV.P(E233:V233)</x:f>
        <x:v>5.372208376205287</x:v>
      </x:c>
      <x:c r="AA233" s="173" t="n">
        <x:f>IF(W233=0,"",Z233/ABS(W233))</x:f>
        <x:v>0.7591649409433906</x:v>
      </x:c>
      <x:c r="AB233" s="173" t="n">
        <x:f>IF(W233=0,0,(COUNTIF(E233:V233,"&lt;"&amp;0.5*W233)-COUNTBLANK(E233:V233))/COUNT(E233:V233))</x:f>
        <x:v>0.35294117647058826</x:v>
      </x:c>
      <x:c r="AC233" s="109" t="n">
        <x:f>SUM(E233:V233)</x:f>
        <x:v>120.3</x:v>
      </x:c>
    </x:row>
    <x:row r="234">
      <x:c r="A234" s="108" t="str">
        <x:v>TE</x:v>
      </x:c>
      <x:c r="B234" s="108" t="str">
        <x:v>Dawson Knox</x:v>
      </x:c>
      <x:c r="C234" s="108" t="str">
        <x:v>BUF</x:v>
      </x:c>
      <x:c r="D234" s="108" t="n">
        <x:v>7</x:v>
      </x:c>
      <x:c r="E234" s="109" t="n">
        <x:v>3</x:v>
      </x:c>
      <x:c r="F234" s="109" t="n">
        <x:v>2.9</x:v>
      </x:c>
      <x:c r="G234" s="109" t="n">
        <x:v>0</x:v>
      </x:c>
      <x:c r="H234" s="109" t="n">
        <x:v>0</x:v>
      </x:c>
      <x:c r="I234" s="109" t="n">
        <x:v>2.5</x:v>
      </x:c>
      <x:c r="J234" s="109" t="n">
        <x:v>8.4</x:v>
      </x:c>
      <x:c r="K234" s="109"/>
      <x:c r="L234" s="109" t="n">
        <x:v>2</x:v>
      </x:c>
      <x:c r="M234" s="109" t="n">
        <x:v>3.5</x:v>
      </x:c>
      <x:c r="N234" s="109" t="n">
        <x:v>5.2</x:v>
      </x:c>
      <x:c r="O234" s="109" t="n">
        <x:v>2.8</x:v>
      </x:c>
      <x:c r="P234" s="109" t="n">
        <x:v>3.2</x:v>
      </x:c>
      <x:c r="Q234" s="109" t="n">
        <x:v>4.3</x:v>
      </x:c>
      <x:c r="R234" s="109" t="n">
        <x:v>14.3</x:v>
      </x:c>
      <x:c r="S234" s="109" t="n">
        <x:v>17.2</x:v>
      </x:c>
      <x:c r="T234" s="109" t="n">
        <x:v>1.5</x:v>
      </x:c>
      <x:c r="U234" s="109" t="n">
        <x:v>5.5</x:v>
      </x:c>
      <x:c r="V234" s="109" t="n">
        <x:v>9.4</x:v>
      </x:c>
      <x:c r="W234" s="109" t="n">
        <x:f>AVERAGE(E234:V234)</x:f>
        <x:v>5.041176470588235</x:v>
      </x:c>
      <x:c r="X234" s="109" t="n">
        <x:f>MEDIAN(E234:V234)</x:f>
        <x:v>3.2</x:v>
      </x:c>
      <x:c r="Y234" s="109" t="n">
        <x:f>PERCENTILE.INC(E234:V234,0.25)</x:f>
        <x:v>2.5</x:v>
      </x:c>
      <x:c r="Z234" s="109" t="n">
        <x:f>STDEV.P(E234:V234)</x:f>
        <x:v>4.622459088805618</x:v>
      </x:c>
      <x:c r="AA234" s="173" t="n">
        <x:f>IF(W234=0,"",Z234/ABS(W234))</x:f>
        <x:v>0.9169405427035648</x:v>
      </x:c>
      <x:c r="AB234" s="173" t="n">
        <x:f>IF(W234=0,0,(COUNTIF(E234:V234,"&lt;"&amp;0.5*W234)-COUNTBLANK(E234:V234))/COUNT(E234:V234))</x:f>
        <x:v>0.29411764705882354</x:v>
      </x:c>
      <x:c r="AC234" s="109" t="n">
        <x:f>SUM(E234:V234)</x:f>
        <x:v>85.7</x:v>
      </x:c>
    </x:row>
    <x:row r="235">
      <x:c r="A235" s="108" t="str">
        <x:v>TE</x:v>
      </x:c>
      <x:c r="B235" s="108" t="str">
        <x:v>Cade Otton</x:v>
      </x:c>
      <x:c r="C235" s="108" t="str">
        <x:v>TB</x:v>
      </x:c>
      <x:c r="D235" s="108" t="n">
        <x:v>9</x:v>
      </x:c>
      <x:c r="E235" s="109" t="n">
        <x:v>0</x:v>
      </x:c>
      <x:c r="F235" s="109" t="n">
        <x:v>4</x:v>
      </x:c>
      <x:c r="G235" s="109" t="n">
        <x:v>0</x:v>
      </x:c>
      <x:c r="H235" s="109" t="n">
        <x:v>2.4</x:v>
      </x:c>
      <x:c r="I235" s="109" t="n">
        <x:v>10.1</x:v>
      </x:c>
      <x:c r="J235" s="109" t="n">
        <x:v>7.6</x:v>
      </x:c>
      <x:c r="K235" s="109" t="n">
        <x:v>10</x:v>
      </x:c>
      <x:c r="L235" s="109" t="n">
        <x:v>6</x:v>
      </x:c>
      <x:c r="M235" s="109"/>
      <x:c r="N235" s="109" t="n">
        <x:v>12.7</x:v>
      </x:c>
      <x:c r="O235" s="109" t="n">
        <x:v>3.8</x:v>
      </x:c>
      <x:c r="P235" s="109" t="n">
        <x:v>4.1</x:v>
      </x:c>
      <x:c r="Q235" s="109" t="n">
        <x:v>1.9</x:v>
      </x:c>
      <x:c r="R235" s="109" t="n">
        <x:v>3.4</x:v>
      </x:c>
      <x:c r="S235" s="109" t="n">
        <x:v>0</x:v>
      </x:c>
      <x:c r="T235" s="109" t="n">
        <x:v>2.5</x:v>
      </x:c>
      <x:c r="U235" s="109" t="n">
        <x:v>5.3</x:v>
      </x:c>
      <x:c r="V235" s="109" t="n">
        <x:v>18.9</x:v>
      </x:c>
      <x:c r="W235" s="109" t="n">
        <x:f>AVERAGE(E235:V235)</x:f>
        <x:v>5.4529411764705875</x:v>
      </x:c>
      <x:c r="X235" s="109" t="n">
        <x:f>MEDIAN(E235:V235)</x:f>
        <x:v>4</x:v>
      </x:c>
      <x:c r="Y235" s="109" t="n">
        <x:f>PERCENTILE.INC(E235:V235,0.25)</x:f>
        <x:v>2.4</x:v>
      </x:c>
      <x:c r="Z235" s="109" t="n">
        <x:f>STDEV.P(E235:V235)</x:f>
        <x:v>4.91876570445913</x:v>
      </x:c>
      <x:c r="AA235" s="173" t="n">
        <x:f>IF(W235=0,"",Z235/ABS(W235))</x:f>
        <x:v>0.9020390180777261</x:v>
      </x:c>
      <x:c r="AB235" s="173" t="n">
        <x:f>IF(W235=0,0,(COUNTIF(E235:V235,"&lt;"&amp;0.5*W235)-COUNTBLANK(E235:V235))/COUNT(E235:V235))</x:f>
        <x:v>0.35294117647058826</x:v>
      </x:c>
      <x:c r="AC235" s="109" t="n">
        <x:f>SUM(E235:V235)</x:f>
        <x:v>92.69999999999999</x:v>
      </x:c>
    </x:row>
    <x:row r="236">
      <x:c r="A236" s="108" t="str">
        <x:v>TE</x:v>
      </x:c>
      <x:c r="B236" s="108" t="str">
        <x:v>Mark Andrews</x:v>
      </x:c>
      <x:c r="C236" s="108" t="str">
        <x:v>BAL</x:v>
      </x:c>
      <x:c r="D236" s="108" t="n">
        <x:v>7</x:v>
      </x:c>
      <x:c r="E236" s="109" t="n">
        <x:v>1</x:v>
      </x:c>
      <x:c r="F236" s="109" t="n">
        <x:v>0.9</x:v>
      </x:c>
      <x:c r="G236" s="109" t="n">
        <x:v>24.1</x:v>
      </x:c>
      <x:c r="H236" s="109" t="n">
        <x:v>6.5</x:v>
      </x:c>
      <x:c r="I236" s="109" t="n">
        <x:v>3.2</x:v>
      </x:c>
      <x:c r="J236" s="109" t="n">
        <x:v>4.6</x:v>
      </x:c>
      <x:c r="K236" s="109"/>
      <x:c r="L236" s="109" t="n">
        <x:v>4.4</x:v>
      </x:c>
      <x:c r="M236" s="109" t="n">
        <x:v>15.6</x:v>
      </x:c>
      <x:c r="N236" s="109" t="n">
        <x:v>8.9</x:v>
      </x:c>
      <x:c r="O236" s="109" t="n">
        <x:v>14.2</x:v>
      </x:c>
      <x:c r="P236" s="109" t="n">
        <x:v>1.6</x:v>
      </x:c>
      <x:c r="Q236" s="109" t="n">
        <x:v>6.7</x:v>
      </x:c>
      <x:c r="R236" s="109" t="n">
        <x:v>1.4</x:v>
      </x:c>
      <x:c r="S236" s="109" t="n">
        <x:v>2.8</x:v>
      </x:c>
      <x:c r="T236" s="109" t="n">
        <x:v>3.4</x:v>
      </x:c>
      <x:c r="U236" s="109" t="n">
        <x:v>4.8</x:v>
      </x:c>
      <x:c r="V236" s="109" t="n">
        <x:v>2.4</x:v>
      </x:c>
      <x:c r="W236" s="109" t="n">
        <x:f>AVERAGE(E236:V236)</x:f>
        <x:v>6.264705882352942</x:v>
      </x:c>
      <x:c r="X236" s="109" t="n">
        <x:f>MEDIAN(E236:V236)</x:f>
        <x:v>4.4</x:v>
      </x:c>
      <x:c r="Y236" s="109" t="n">
        <x:f>PERCENTILE.INC(E236:V236,0.25)</x:f>
        <x:v>2.4</x:v>
      </x:c>
      <x:c r="Z236" s="109" t="n">
        <x:f>STDEV.P(E236:V236)</x:f>
        <x:v>6.088846232489909</x:v>
      </x:c>
      <x:c r="AA236" s="173" t="n">
        <x:f>IF(W236=0,"",Z236/ABS(W236))</x:f>
        <x:v>0.9719285065946333</x:v>
      </x:c>
      <x:c r="AB236" s="173" t="n">
        <x:f>IF(W236=0,0,(COUNTIF(E236:V236,"&lt;"&amp;0.5*W236)-COUNTBLANK(E236:V236))/COUNT(E236:V236))</x:f>
        <x:v>0.35294117647058826</x:v>
      </x:c>
      <x:c r="AC236" s="109" t="n">
        <x:f>SUM(E236:V236)</x:f>
        <x:v>106.50000000000001</x:v>
      </x:c>
    </x:row>
    <x:row r="237">
      <x:c r="A237" s="108" t="str">
        <x:v>TE</x:v>
      </x:c>
      <x:c r="B237" s="108" t="str">
        <x:v>Gunnar Helm</x:v>
      </x:c>
      <x:c r="C237" s="108" t="str">
        <x:v>TEN</x:v>
      </x:c>
      <x:c r="D237" s="108" t="n">
        <x:v>10</x:v>
      </x:c>
      <x:c r="E237" s="109" t="n">
        <x:v>2.1</x:v>
      </x:c>
      <x:c r="F237" s="109" t="n">
        <x:v>1.9</x:v>
      </x:c>
      <x:c r="G237" s="109" t="n">
        <x:v>4.2</x:v>
      </x:c>
      <x:c r="H237" s="109" t="n">
        <x:v>1.7</x:v>
      </x:c>
      <x:c r="I237" s="109" t="n">
        <x:v>5.4</x:v>
      </x:c>
      <x:c r="J237" s="109" t="n">
        <x:v>2.5</x:v>
      </x:c>
      <x:c r="K237" s="109" t="n">
        <x:v>5.6</x:v>
      </x:c>
      <x:c r="L237" s="109" t="n">
        <x:v>9.3</x:v>
      </x:c>
      <x:c r="M237" s="109" t="n">
        <x:v>2</x:v>
      </x:c>
      <x:c r="N237" s="109"/>
      <x:c r="O237" s="109" t="n">
        <x:v>4.9</x:v>
      </x:c>
      <x:c r="P237" s="109" t="n">
        <x:v>8.1</x:v>
      </x:c>
      <x:c r="Q237" s="109" t="n">
        <x:v>5.3</x:v>
      </x:c>
      <x:c r="R237" s="109" t="n">
        <x:v>1.3</x:v>
      </x:c>
      <x:c r="S237" s="109" t="n">
        <x:v>12.9</x:v>
      </x:c>
      <x:c r="T237" s="109" t="n">
        <x:v>1.9</x:v>
      </x:c>
      <x:c r="U237" s="109" t="n">
        <x:v>0.6</x:v>
      </x:c>
      <x:c r="V237" s="109" t="n">
        <x:v>0</x:v>
      </x:c>
      <x:c r="W237" s="109" t="n">
        <x:f>AVERAGE(E237:V237)</x:f>
        <x:v>4.1000000000000005</x:v>
      </x:c>
      <x:c r="X237" s="109" t="n">
        <x:f>MEDIAN(E237:V237)</x:f>
        <x:v>2.5</x:v>
      </x:c>
      <x:c r="Y237" s="109" t="n">
        <x:f>PERCENTILE.INC(E237:V237,0.25)</x:f>
        <x:v>1.9</x:v>
      </x:c>
      <x:c r="Z237" s="109" t="n">
        <x:f>STDEV.P(E237:V237)</x:f>
        <x:v>3.3415389198603056</x:v>
      </x:c>
      <x:c r="AA237" s="173" t="n">
        <x:f>IF(W237=0,"",Z237/ABS(W237))</x:f>
        <x:v>0.8150094926488549</x:v>
      </x:c>
      <x:c r="AB237" s="173" t="n">
        <x:f>IF(W237=0,0,(COUNTIF(E237:V237,"&lt;"&amp;0.5*W237)-COUNTBLANK(E237:V237))/COUNT(E237:V237))</x:f>
        <x:v>0.4117647058823529</x:v>
      </x:c>
      <x:c r="AC237" s="109" t="n">
        <x:f>SUM(E237:V237)</x:f>
        <x:v>69.7</x:v>
      </x:c>
    </x:row>
    <x:row r="238">
      <x:c r="A238" s="108" t="str">
        <x:v>TE</x:v>
      </x:c>
      <x:c r="B238" s="108" t="str">
        <x:v>Oronde Gadsden</x:v>
      </x:c>
      <x:c r="C238" s="108" t="str">
        <x:v>LAC</x:v>
      </x:c>
      <x:c r="D238" s="108" t="n">
        <x:v>12</x:v>
      </x:c>
      <x:c r="E238" s="109" t="n">
        <x:v>0</x:v>
      </x:c>
      <x:c r="F238" s="109" t="n">
        <x:v>0</x:v>
      </x:c>
      <x:c r="G238" s="109" t="n">
        <x:v>7.1</x:v>
      </x:c>
      <x:c r="H238" s="109" t="n">
        <x:v>2.6</x:v>
      </x:c>
      <x:c r="I238" s="109" t="n">
        <x:v>1.9</x:v>
      </x:c>
      <x:c r="J238" s="109" t="n">
        <x:v>8.3</x:v>
      </x:c>
      <x:c r="K238" s="109" t="n">
        <x:v>25.9</x:v>
      </x:c>
      <x:c r="L238" s="109" t="n">
        <x:v>16.2</x:v>
      </x:c>
      <x:c r="M238" s="109" t="n">
        <x:v>9.3</x:v>
      </x:c>
      <x:c r="N238" s="109" t="n">
        <x:v>2.8</x:v>
      </x:c>
      <x:c r="O238" s="109" t="n">
        <x:v>5.1</x:v>
      </x:c>
      <x:c r="P238" s="109"/>
      <x:c r="Q238" s="109" t="n">
        <x:v>3.2</x:v>
      </x:c>
      <x:c r="R238" s="109" t="n">
        <x:v>1.2</x:v>
      </x:c>
      <x:c r="S238" s="109" t="n">
        <x:v>8.1</x:v>
      </x:c>
      <x:c r="T238" s="109" t="n">
        <x:v>1.2</x:v>
      </x:c>
      <x:c r="U238" s="109" t="n">
        <x:v>10.7</x:v>
      </x:c>
      <x:c r="V238" s="109" t="n">
        <x:v>3.3</x:v>
      </x:c>
      <x:c r="W238" s="109" t="n">
        <x:f>AVERAGE(E238:V238)</x:f>
        <x:v>6.288235294117647</x:v>
      </x:c>
      <x:c r="X238" s="109" t="n">
        <x:f>MEDIAN(E238:V238)</x:f>
        <x:v>3.3</x:v>
      </x:c>
      <x:c r="Y238" s="109" t="n">
        <x:f>PERCENTILE.INC(E238:V238,0.25)</x:f>
        <x:v>1.9</x:v>
      </x:c>
      <x:c r="Z238" s="109" t="n">
        <x:f>STDEV.P(E238:V238)</x:f>
        <x:v>6.485992359370549</x:v>
      </x:c>
      <x:c r="AA238" s="173" t="n">
        <x:f>IF(W238=0,"",Z238/ABS(W238))</x:f>
        <x:v>1.0314487381599564</x:v>
      </x:c>
      <x:c r="AB238" s="173" t="n">
        <x:f>IF(W238=0,0,(COUNTIF(E238:V238,"&lt;"&amp;0.5*W238)-COUNTBLANK(E238:V238))/COUNT(E238:V238))</x:f>
        <x:v>0.4117647058823529</x:v>
      </x:c>
      <x:c r="AC238" s="109" t="n">
        <x:f>SUM(E238:V238)</x:f>
        <x:v>106.89999999999999</x:v>
      </x:c>
    </x:row>
    <x:row r="239">
      <x:c r="A239" s="108" t="str">
        <x:v>TE</x:v>
      </x:c>
      <x:c r="B239" s="108" t="str">
        <x:v>Pat Freiermuth</x:v>
      </x:c>
      <x:c r="C239" s="108" t="str">
        <x:v>PIT</x:v>
      </x:c>
      <x:c r="D239" s="108" t="n">
        <x:v>5</x:v>
      </x:c>
      <x:c r="E239" s="109" t="n">
        <x:v>4.3</x:v>
      </x:c>
      <x:c r="F239" s="109" t="n">
        <x:v>4.6</x:v>
      </x:c>
      <x:c r="G239" s="109" t="n">
        <x:v>1.1</x:v>
      </x:c>
      <x:c r="H239" s="109" t="n">
        <x:v>0</x:v>
      </x:c>
      <x:c r="I239" s="109"/>
      <x:c r="J239" s="109" t="n">
        <x:v>1.6</x:v>
      </x:c>
      <x:c r="K239" s="109" t="n">
        <x:v>27.6</x:v>
      </x:c>
      <x:c r="L239" s="109" t="n">
        <x:v>2.8</x:v>
      </x:c>
      <x:c r="M239" s="109" t="n">
        <x:v>10.2</x:v>
      </x:c>
      <x:c r="N239" s="109" t="n">
        <x:v>4.8</x:v>
      </x:c>
      <x:c r="O239" s="109" t="n">
        <x:v>2.4</x:v>
      </x:c>
      <x:c r="P239" s="109" t="n">
        <x:v>9.4</x:v>
      </x:c>
      <x:c r="Q239" s="109" t="n">
        <x:v>0</x:v>
      </x:c>
      <x:c r="R239" s="109" t="n">
        <x:v>1.9</x:v>
      </x:c>
      <x:c r="S239" s="109" t="n">
        <x:v>6</x:v>
      </x:c>
      <x:c r="T239" s="109" t="n">
        <x:v>4</x:v>
      </x:c>
      <x:c r="U239" s="109" t="n">
        <x:v>7.8</x:v>
      </x:c>
      <x:c r="V239" s="109" t="n">
        <x:v>6.6</x:v>
      </x:c>
      <x:c r="W239" s="109" t="n">
        <x:f>AVERAGE(E239:V239)</x:f>
        <x:v>5.594117647058823</x:v>
      </x:c>
      <x:c r="X239" s="109" t="n">
        <x:f>MEDIAN(E239:V239)</x:f>
        <x:v>4.3</x:v>
      </x:c>
      <x:c r="Y239" s="109" t="n">
        <x:f>PERCENTILE.INC(E239:V239,0.25)</x:f>
        <x:v>1.9</x:v>
      </x:c>
      <x:c r="Z239" s="109" t="n">
        <x:f>STDEV.P(E239:V239)</x:f>
        <x:v>6.241367741150719</x:v>
      </x:c>
      <x:c r="AA239" s="173" t="n">
        <x:f>IF(W239=0,"",Z239/ABS(W239))</x:f>
        <x:v>1.1157019095642715</x:v>
      </x:c>
      <x:c r="AB239" s="173" t="n">
        <x:f>IF(W239=0,0,(COUNTIF(E239:V239,"&lt;"&amp;0.5*W239)-COUNTBLANK(E239:V239))/COUNT(E239:V239))</x:f>
        <x:v>0.35294117647058826</x:v>
      </x:c>
      <x:c r="AC239" s="109" t="n">
        <x:f>SUM(E239:V239)</x:f>
        <x:v>95.1</x:v>
      </x:c>
    </x:row>
    <x:row r="240">
      <x:c r="A240" s="108" t="str">
        <x:v>TE</x:v>
      </x:c>
      <x:c r="B240" s="108" t="str">
        <x:v>Evan Engram</x:v>
      </x:c>
      <x:c r="C240" s="108" t="str">
        <x:v>DEN</x:v>
      </x:c>
      <x:c r="D240" s="108" t="n">
        <x:v>12</x:v>
      </x:c>
      <x:c r="E240" s="109" t="n">
        <x:v>3.6</x:v>
      </x:c>
      <x:c r="F240" s="109" t="n">
        <x:v>1.7</x:v>
      </x:c>
      <x:c r="G240" s="109" t="n">
        <x:v>0</x:v>
      </x:c>
      <x:c r="H240" s="109" t="n">
        <x:v>4.9</x:v>
      </x:c>
      <x:c r="I240" s="109" t="n">
        <x:v>11.3</x:v>
      </x:c>
      <x:c r="J240" s="109" t="n">
        <x:v>7.4</x:v>
      </x:c>
      <x:c r="K240" s="109" t="n">
        <x:v>6.7</x:v>
      </x:c>
      <x:c r="L240" s="109" t="n">
        <x:v>5.6</x:v>
      </x:c>
      <x:c r="M240" s="109" t="n">
        <x:v>0</x:v>
      </x:c>
      <x:c r="N240" s="109" t="n">
        <x:v>2.2</x:v>
      </x:c>
      <x:c r="O240" s="109" t="n">
        <x:v>5.3</x:v>
      </x:c>
      <x:c r="P240" s="109"/>
      <x:c r="Q240" s="109" t="n">
        <x:v>10.9</x:v>
      </x:c>
      <x:c r="R240" s="109" t="n">
        <x:v>1.8</x:v>
      </x:c>
      <x:c r="S240" s="109" t="n">
        <x:v>1.7</x:v>
      </x:c>
      <x:c r="T240" s="109" t="n">
        <x:v>4.6</x:v>
      </x:c>
      <x:c r="U240" s="109" t="n">
        <x:v>4.1</x:v>
      </x:c>
      <x:c r="V240" s="109" t="n">
        <x:v>6</x:v>
      </x:c>
      <x:c r="W240" s="109" t="n">
        <x:f>AVERAGE(E240:V240)</x:f>
        <x:v>4.576470588235294</x:v>
      </x:c>
      <x:c r="X240" s="109" t="n">
        <x:f>MEDIAN(E240:V240)</x:f>
        <x:v>4.6</x:v>
      </x:c>
      <x:c r="Y240" s="109" t="n">
        <x:f>PERCENTILE.INC(E240:V240,0.25)</x:f>
        <x:v>1.8</x:v>
      </x:c>
      <x:c r="Z240" s="109" t="n">
        <x:f>STDEV.P(E240:V240)</x:f>
        <x:v>3.202486058520365</x:v>
      </x:c>
      <x:c r="AA240" s="173" t="n">
        <x:f>IF(W240=0,"",Z240/ABS(W240))</x:f>
        <x:v>0.6997720179286145</x:v>
      </x:c>
      <x:c r="AB240" s="173" t="n">
        <x:f>IF(W240=0,0,(COUNTIF(E240:V240,"&lt;"&amp;0.5*W240)-COUNTBLANK(E240:V240))/COUNT(E240:V240))</x:f>
        <x:v>0.35294117647058826</x:v>
      </x:c>
      <x:c r="AC240" s="109" t="n">
        <x:f>SUM(E240:V240)</x:f>
        <x:v>77.8</x:v>
      </x:c>
    </x:row>
    <x:row r="241">
      <x:c r="A241" s="108" t="str">
        <x:v>TE</x:v>
      </x:c>
      <x:c r="B241" s="108" t="str">
        <x:v>T.J. Hockenson</x:v>
      </x:c>
      <x:c r="C241" s="108" t="str">
        <x:v>MIN</x:v>
      </x:c>
      <x:c r="D241" s="108" t="n">
        <x:v>6</x:v>
      </x:c>
      <x:c r="E241" s="109" t="n">
        <x:v>3</x:v>
      </x:c>
      <x:c r="F241" s="109" t="n">
        <x:v>1.7</x:v>
      </x:c>
      <x:c r="G241" s="109" t="n">
        <x:v>13.4</x:v>
      </x:c>
      <x:c r="H241" s="109" t="n">
        <x:v>5.9</x:v>
      </x:c>
      <x:c r="I241" s="109" t="n">
        <x:v>6.8</x:v>
      </x:c>
      <x:c r="J241" s="109"/>
      <x:c r="K241" s="109" t="n">
        <x:v>7.3</x:v>
      </x:c>
      <x:c r="L241" s="109" t="n">
        <x:v>3.6</x:v>
      </x:c>
      <x:c r="M241" s="109" t="n">
        <x:v>8.1</x:v>
      </x:c>
      <x:c r="N241" s="109" t="n">
        <x:v>1.8</x:v>
      </x:c>
      <x:c r="O241" s="109" t="n">
        <x:v>5.4</x:v>
      </x:c>
      <x:c r="P241" s="109" t="n">
        <x:v>3.9</x:v>
      </x:c>
      <x:c r="Q241" s="109" t="n">
        <x:v>8.9</x:v>
      </x:c>
      <x:c r="R241" s="109" t="n">
        <x:v>8.2</x:v>
      </x:c>
      <x:c r="S241" s="109" t="n">
        <x:v>8.6</x:v>
      </x:c>
      <x:c r="T241" s="109" t="n">
        <x:v>0.7</x:v>
      </x:c>
      <x:c r="U241" s="109" t="n">
        <x:v>0</x:v>
      </x:c>
      <x:c r="V241" s="109" t="n">
        <x:v>0</x:v>
      </x:c>
      <x:c r="W241" s="109" t="n">
        <x:f>AVERAGE(E241:V241)</x:f>
        <x:v>5.135294117647058</x:v>
      </x:c>
      <x:c r="X241" s="109" t="n">
        <x:f>MEDIAN(E241:V241)</x:f>
        <x:v>5.4</x:v>
      </x:c>
      <x:c r="Y241" s="109" t="n">
        <x:f>PERCENTILE.INC(E241:V241,0.25)</x:f>
        <x:v>1.8</x:v>
      </x:c>
      <x:c r="Z241" s="109" t="n">
        <x:f>STDEV.P(E241:V241)</x:f>
        <x:v>3.634465925078075</x:v>
      </x:c>
      <x:c r="AA241" s="173" t="n">
        <x:f>IF(W241=0,"",Z241/ABS(W241))</x:f>
        <x:v>0.7077425054562118</x:v>
      </x:c>
      <x:c r="AB241" s="173" t="n">
        <x:f>IF(W241=0,0,(COUNTIF(E241:V241,"&lt;"&amp;0.5*W241)-COUNTBLANK(E241:V241))/COUNT(E241:V241))</x:f>
        <x:v>0.29411764705882354</x:v>
      </x:c>
      <x:c r="AC241" s="109" t="n">
        <x:f>SUM(E241:V241)</x:f>
        <x:v>87.3</x:v>
      </x:c>
    </x:row>
    <x:row r="242">
      <x:c r="A242" s="108" t="str">
        <x:v>TE</x:v>
      </x:c>
      <x:c r="B242" s="108" t="str">
        <x:v>Darnell Washington</x:v>
      </x:c>
      <x:c r="C242" s="108" t="str">
        <x:v>PIT</x:v>
      </x:c>
      <x:c r="D242" s="108" t="n">
        <x:v>5</x:v>
      </x:c>
      <x:c r="E242" s="109" t="n">
        <x:v>0</x:v>
      </x:c>
      <x:c r="F242" s="109" t="n">
        <x:v>2</x:v>
      </x:c>
      <x:c r="G242" s="109" t="n">
        <x:v>0</x:v>
      </x:c>
      <x:c r="H242" s="109" t="n">
        <x:v>3.5</x:v>
      </x:c>
      <x:c r="I242" s="109"/>
      <x:c r="J242" s="109" t="n">
        <x:v>7.2</x:v>
      </x:c>
      <x:c r="K242" s="109" t="n">
        <x:v>7.7</x:v>
      </x:c>
      <x:c r="L242" s="109" t="n">
        <x:v>0</x:v>
      </x:c>
      <x:c r="M242" s="109" t="n">
        <x:v>6.3</x:v>
      </x:c>
      <x:c r="N242" s="109" t="n">
        <x:v>2</x:v>
      </x:c>
      <x:c r="O242" s="109" t="n">
        <x:v>8.7</x:v>
      </x:c>
      <x:c r="P242" s="109" t="n">
        <x:v>3.2</x:v>
      </x:c>
      <x:c r="Q242" s="109" t="n">
        <x:v>5.5</x:v>
      </x:c>
      <x:c r="R242" s="109" t="n">
        <x:v>1.7</x:v>
      </x:c>
      <x:c r="S242" s="109" t="n">
        <x:v>4</x:v>
      </x:c>
      <x:c r="T242" s="109" t="n">
        <x:v>3.1</x:v>
      </x:c>
      <x:c r="U242" s="109" t="n">
        <x:v>2.5</x:v>
      </x:c>
      <x:c r="V242" s="109" t="n">
        <x:v>0</x:v>
      </x:c>
      <x:c r="W242" s="109" t="n">
        <x:f>AVERAGE(E242:V242)</x:f>
        <x:v>3.3764705882352946</x:v>
      </x:c>
      <x:c r="X242" s="109" t="n">
        <x:f>MEDIAN(E242:V242)</x:f>
        <x:v>3.1</x:v>
      </x:c>
      <x:c r="Y242" s="109" t="n">
        <x:f>PERCENTILE.INC(E242:V242,0.25)</x:f>
        <x:v>1.7</x:v>
      </x:c>
      <x:c r="Z242" s="109" t="n">
        <x:f>STDEV.P(E242:V242)</x:f>
        <x:v>2.746019453203171</x:v>
      </x:c>
      <x:c r="AA242" s="173" t="n">
        <x:f>IF(W242=0,"",Z242/ABS(W242))</x:f>
        <x:v>0.8132810227256777</x:v>
      </x:c>
      <x:c r="AB242" s="173" t="n">
        <x:f>IF(W242=0,0,(COUNTIF(E242:V242,"&lt;"&amp;0.5*W242)-COUNTBLANK(E242:V242))/COUNT(E242:V242))</x:f>
        <x:v>0.23529411764705882</x:v>
      </x:c>
      <x:c r="AC242" s="109" t="n">
        <x:f>SUM(E242:V242)</x:f>
        <x:v>57.400000000000006</x:v>
      </x:c>
    </x:row>
    <x:row r="243">
      <x:c r="A243" s="108" t="str">
        <x:v>TE</x:v>
      </x:c>
      <x:c r="B243" s="108" t="str">
        <x:v>Cole Kmet</x:v>
      </x:c>
      <x:c r="C243" s="108" t="str">
        <x:v>CHI</x:v>
      </x:c>
      <x:c r="D243" s="108" t="n">
        <x:v>5</x:v>
      </x:c>
      <x:c r="E243" s="109" t="n">
        <x:v>3.6</x:v>
      </x:c>
      <x:c r="F243" s="109" t="n">
        <x:v>3.9</x:v>
      </x:c>
      <x:c r="G243" s="109" t="n">
        <x:v>7.5</x:v>
      </x:c>
      <x:c r="H243" s="109" t="n">
        <x:v>6.1</x:v>
      </x:c>
      <x:c r="I243" s="109"/>
      <x:c r="J243" s="109" t="n">
        <x:v>0.5</x:v>
      </x:c>
      <x:c r="K243" s="109" t="n">
        <x:v>2.1</x:v>
      </x:c>
      <x:c r="L243" s="109" t="n">
        <x:v>0</x:v>
      </x:c>
      <x:c r="M243" s="109" t="n">
        <x:v>1.5</x:v>
      </x:c>
      <x:c r="N243" s="109" t="n">
        <x:v>1</x:v>
      </x:c>
      <x:c r="O243" s="109" t="n">
        <x:v>7</x:v>
      </x:c>
      <x:c r="P243" s="109" t="n">
        <x:v>0.8</x:v>
      </x:c>
      <x:c r="Q243" s="109" t="n">
        <x:v>11.1</x:v>
      </x:c>
      <x:c r="R243" s="109" t="n">
        <x:v>5.2</x:v>
      </x:c>
      <x:c r="S243" s="109" t="n">
        <x:v>3.8</x:v>
      </x:c>
      <x:c r="T243" s="109" t="n">
        <x:v>2.4</x:v>
      </x:c>
      <x:c r="U243" s="109" t="n">
        <x:v>2.6</x:v>
      </x:c>
      <x:c r="V243" s="109" t="n">
        <x:v>4.6</x:v>
      </x:c>
      <x:c r="W243" s="109" t="n">
        <x:f>AVERAGE(E243:V243)</x:f>
        <x:v>3.7470588235294118</x:v>
      </x:c>
      <x:c r="X243" s="109" t="n">
        <x:f>MEDIAN(E243:V243)</x:f>
        <x:v>3.6</x:v>
      </x:c>
      <x:c r="Y243" s="109" t="n">
        <x:f>PERCENTILE.INC(E243:V243,0.25)</x:f>
        <x:v>1.5</x:v>
      </x:c>
      <x:c r="Z243" s="109" t="n">
        <x:f>STDEV.P(E243:V243)</x:f>
        <x:v>2.8580366866823357</x:v>
      </x:c>
      <x:c r="AA243" s="173" t="n">
        <x:f>IF(W243=0,"",Z243/ABS(W243))</x:f>
        <x:v>0.7627413449544694</x:v>
      </x:c>
      <x:c r="AB243" s="173" t="n">
        <x:f>IF(W243=0,0,(COUNTIF(E243:V243,"&lt;"&amp;0.5*W243)-COUNTBLANK(E243:V243))/COUNT(E243:V243))</x:f>
        <x:v>0.29411764705882354</x:v>
      </x:c>
      <x:c r="AC243" s="109" t="n">
        <x:f>SUM(E243:V243)</x:f>
        <x:v>63.7</x:v>
      </x:c>
    </x:row>
    <x:row r="244">
      <x:c r="A244" s="108" t="str">
        <x:v>TE</x:v>
      </x:c>
      <x:c r="B244" s="108" t="str">
        <x:v>Theo Johnson</x:v>
      </x:c>
      <x:c r="C244" s="108" t="str">
        <x:v>NYG</x:v>
      </x:c>
      <x:c r="D244" s="108" t="n">
        <x:v>14</x:v>
      </x:c>
      <x:c r="E244" s="109" t="n">
        <x:v>1</x:v>
      </x:c>
      <x:c r="F244" s="109" t="n">
        <x:v>5.4</x:v>
      </x:c>
      <x:c r="G244" s="109" t="n">
        <x:v>1.5</x:v>
      </x:c>
      <x:c r="H244" s="109" t="n">
        <x:v>9.2</x:v>
      </x:c>
      <x:c r="I244" s="109" t="n">
        <x:v>18.3</x:v>
      </x:c>
      <x:c r="J244" s="109" t="n">
        <x:v>3.7</x:v>
      </x:c>
      <x:c r="K244" s="109" t="n">
        <x:v>16.1</x:v>
      </x:c>
      <x:c r="L244" s="109" t="n">
        <x:v>3.5</x:v>
      </x:c>
      <x:c r="M244" s="109" t="n">
        <x:v>10.2</x:v>
      </x:c>
      <x:c r="N244" s="109" t="n">
        <x:v>11</x:v>
      </x:c>
      <x:c r="O244" s="109" t="n">
        <x:v>5.1</x:v>
      </x:c>
      <x:c r="P244" s="109" t="n">
        <x:v>9.2</x:v>
      </x:c>
      <x:c r="Q244" s="109" t="n">
        <x:v>4.4</x:v>
      </x:c>
      <x:c r="R244" s="109"/>
      <x:c r="S244" s="109" t="n">
        <x:v>8.7</x:v>
      </x:c>
      <x:c r="T244" s="109" t="n">
        <x:v>0</x:v>
      </x:c>
      <x:c r="U244" s="109" t="n">
        <x:v>0</x:v>
      </x:c>
      <x:c r="V244" s="109" t="n">
        <x:v>0</x:v>
      </x:c>
      <x:c r="W244" s="109" t="n">
        <x:f>AVERAGE(E244:V244)</x:f>
        <x:v>6.311764705882354</x:v>
      </x:c>
      <x:c r="X244" s="109" t="n">
        <x:f>MEDIAN(E244:V244)</x:f>
        <x:v>5.1</x:v>
      </x:c>
      <x:c r="Y244" s="109" t="n">
        <x:f>PERCENTILE.INC(E244:V244,0.25)</x:f>
        <x:v>1.5</x:v>
      </x:c>
      <x:c r="Z244" s="109" t="n">
        <x:f>STDEV.P(E244:V244)</x:f>
        <x:v>5.371918526049983</x:v>
      </x:c>
      <x:c r="AA244" s="173" t="n">
        <x:f>IF(W244=0,"",Z244/ABS(W244))</x:f>
        <x:v>0.8510961318066141</x:v>
      </x:c>
      <x:c r="AB244" s="173" t="n">
        <x:f>IF(W244=0,0,(COUNTIF(E244:V244,"&lt;"&amp;0.5*W244)-COUNTBLANK(E244:V244))/COUNT(E244:V244))</x:f>
        <x:v>0.29411764705882354</x:v>
      </x:c>
      <x:c r="AC244" s="109" t="n">
        <x:f>SUM(E244:V244)</x:f>
        <x:v>107.30000000000001</x:v>
      </x:c>
    </x:row>
    <x:row r="245">
      <x:c r="A245" s="108" t="str">
        <x:v>TE</x:v>
      </x:c>
      <x:c r="B245" s="108" t="str">
        <x:v>Jonnu Smith</x:v>
      </x:c>
      <x:c r="C245" s="108" t="str">
        <x:v>PIT</x:v>
      </x:c>
      <x:c r="D245" s="108" t="n">
        <x:v>5</x:v>
      </x:c>
      <x:c r="E245" s="109" t="n">
        <x:v>10</x:v>
      </x:c>
      <x:c r="F245" s="109" t="n">
        <x:v>4.7</x:v>
      </x:c>
      <x:c r="G245" s="109" t="n">
        <x:v>3.3</x:v>
      </x:c>
      <x:c r="H245" s="109" t="n">
        <x:v>1.6</x:v>
      </x:c>
      <x:c r="I245" s="109"/>
      <x:c r="J245" s="109" t="n">
        <x:v>4.3</x:v>
      </x:c>
      <x:c r="K245" s="109" t="n">
        <x:v>10.3</x:v>
      </x:c>
      <x:c r="L245" s="109" t="n">
        <x:v>2.7</x:v>
      </x:c>
      <x:c r="M245" s="109" t="n">
        <x:v>4</x:v>
      </x:c>
      <x:c r="N245" s="109" t="n">
        <x:v>0.9</x:v>
      </x:c>
      <x:c r="O245" s="109" t="n">
        <x:v>0</x:v>
      </x:c>
      <x:c r="P245" s="109" t="n">
        <x:v>4.3</x:v>
      </x:c>
      <x:c r="Q245" s="109" t="n">
        <x:v>1.1</x:v>
      </x:c>
      <x:c r="R245" s="109" t="n">
        <x:v>0</x:v>
      </x:c>
      <x:c r="S245" s="109" t="n">
        <x:v>9.6</x:v>
      </x:c>
      <x:c r="T245" s="109" t="n">
        <x:v>2.8</x:v>
      </x:c>
      <x:c r="U245" s="109" t="n">
        <x:v>5.2</x:v>
      </x:c>
      <x:c r="V245" s="109" t="n">
        <x:v>0.9</x:v>
      </x:c>
      <x:c r="W245" s="109" t="n">
        <x:f>AVERAGE(E245:V245)</x:f>
        <x:v>3.864705882352941</x:v>
      </x:c>
      <x:c r="X245" s="109" t="n">
        <x:f>MEDIAN(E245:V245)</x:f>
        <x:v>3.3</x:v>
      </x:c>
      <x:c r="Y245" s="109" t="n">
        <x:f>PERCENTILE.INC(E245:V245,0.25)</x:f>
        <x:v>1.1</x:v>
      </x:c>
      <x:c r="Z245" s="109" t="n">
        <x:f>STDEV.P(E245:V245)</x:f>
        <x:v>3.234545367903227</x:v>
      </x:c>
      <x:c r="AA245" s="173" t="n">
        <x:f>IF(W245=0,"",Z245/ABS(W245))</x:f>
        <x:v>0.8369447679506067</x:v>
      </x:c>
      <x:c r="AB245" s="173" t="n">
        <x:f>IF(W245=0,0,(COUNTIF(E245:V245,"&lt;"&amp;0.5*W245)-COUNTBLANK(E245:V245))/COUNT(E245:V245))</x:f>
        <x:v>0.35294117647058826</x:v>
      </x:c>
      <x:c r="AC245" s="109" t="n">
        <x:f>SUM(E245:V245)</x:f>
        <x:v>65.7</x:v>
      </x:c>
    </x:row>
    <x:row r="246">
      <x:c r="A246" s="108" t="str">
        <x:v>TE</x:v>
      </x:c>
      <x:c r="B246" s="108" t="str">
        <x:v>Mason Taylor</x:v>
      </x:c>
      <x:c r="C246" s="108" t="str">
        <x:v>NYJ</x:v>
      </x:c>
      <x:c r="D246" s="108" t="n">
        <x:v>9</x:v>
      </x:c>
      <x:c r="E246" s="109" t="n">
        <x:v>2.5</x:v>
      </x:c>
      <x:c r="F246" s="109" t="n">
        <x:v>1</x:v>
      </x:c>
      <x:c r="G246" s="109" t="n">
        <x:v>3.8</x:v>
      </x:c>
      <x:c r="H246" s="109" t="n">
        <x:v>9</x:v>
      </x:c>
      <x:c r="I246" s="109" t="n">
        <x:v>13.2</x:v>
      </x:c>
      <x:c r="J246" s="109" t="n">
        <x:v>0.7</x:v>
      </x:c>
      <x:c r="K246" s="109" t="n">
        <x:v>4.6</x:v>
      </x:c>
      <x:c r="L246" s="109" t="n">
        <x:v>11.9</x:v>
      </x:c>
      <x:c r="M246" s="109"/>
      <x:c r="N246" s="109" t="n">
        <x:v>0.9</x:v>
      </x:c>
      <x:c r="O246" s="109" t="n">
        <x:v>5</x:v>
      </x:c>
      <x:c r="P246" s="109" t="n">
        <x:v>3.6</x:v>
      </x:c>
      <x:c r="Q246" s="109" t="n">
        <x:v>3.1</x:v>
      </x:c>
      <x:c r="R246" s="109" t="n">
        <x:v>7.6</x:v>
      </x:c>
      <x:c r="S246" s="109" t="n">
        <x:v>0</x:v>
      </x:c>
      <x:c r="T246" s="109" t="n">
        <x:v>0</x:v>
      </x:c>
      <x:c r="U246" s="109" t="n">
        <x:v>0</x:v>
      </x:c>
      <x:c r="V246" s="109" t="n">
        <x:v>0</x:v>
      </x:c>
      <x:c r="W246" s="109" t="n">
        <x:f>AVERAGE(E246:V246)</x:f>
        <x:v>3.935294117647058</x:v>
      </x:c>
      <x:c r="X246" s="109" t="n">
        <x:f>MEDIAN(E246:V246)</x:f>
        <x:v>3.1</x:v>
      </x:c>
      <x:c r="Y246" s="109" t="n">
        <x:f>PERCENTILE.INC(E246:V246,0.25)</x:f>
        <x:v>0.7</x:v>
      </x:c>
      <x:c r="Z246" s="109" t="n">
        <x:f>STDEV.P(E246:V246)</x:f>
        <x:v>4.080504752005794</x:v>
      </x:c>
      <x:c r="AA246" s="173" t="n">
        <x:f>IF(W246=0,"",Z246/ABS(W246))</x:f>
        <x:v>1.0368995632899627</x:v>
      </x:c>
      <x:c r="AB246" s="173" t="n">
        <x:f>IF(W246=0,0,(COUNTIF(E246:V246,"&lt;"&amp;0.5*W246)-COUNTBLANK(E246:V246))/COUNT(E246:V246))</x:f>
        <x:v>0.4117647058823529</x:v>
      </x:c>
      <x:c r="AC246" s="109" t="n">
        <x:f>SUM(E246:V246)</x:f>
        <x:v>66.89999999999999</x:v>
      </x:c>
    </x:row>
    <x:row r="247">
      <x:c r="A247" s="108" t="str">
        <x:v>TE</x:v>
      </x:c>
      <x:c r="B247" s="108" t="str">
        <x:v>Brenton Strange</x:v>
      </x:c>
      <x:c r="C247" s="108" t="str">
        <x:v>JAX</x:v>
      </x:c>
      <x:c r="D247" s="108" t="n">
        <x:v>8</x:v>
      </x:c>
      <x:c r="E247" s="109" t="n">
        <x:v>7.9</x:v>
      </x:c>
      <x:c r="F247" s="109" t="n">
        <x:v>3.2</x:v>
      </x:c>
      <x:c r="G247" s="109" t="n">
        <x:v>9.1</x:v>
      </x:c>
      <x:c r="H247" s="109" t="n">
        <x:v>7.5</x:v>
      </x:c>
      <x:c r="I247" s="109" t="n">
        <x:v>2.7</x:v>
      </x:c>
      <x:c r="J247" s="109" t="n">
        <x:v>0</x:v>
      </x:c>
      <x:c r="K247" s="109" t="n">
        <x:v>0</x:v>
      </x:c>
      <x:c r="L247" s="109"/>
      <x:c r="M247" s="109" t="n">
        <x:v>0</x:v>
      </x:c>
      <x:c r="N247" s="109" t="n">
        <x:v>0</x:v>
      </x:c>
      <x:c r="O247" s="109" t="n">
        <x:v>0</x:v>
      </x:c>
      <x:c r="P247" s="109" t="n">
        <x:v>11.8</x:v>
      </x:c>
      <x:c r="Q247" s="109" t="n">
        <x:v>12</x:v>
      </x:c>
      <x:c r="R247" s="109" t="n">
        <x:v>4.2</x:v>
      </x:c>
      <x:c r="S247" s="109" t="n">
        <x:v>3.1</x:v>
      </x:c>
      <x:c r="T247" s="109" t="n">
        <x:v>12.4</x:v>
      </x:c>
      <x:c r="U247" s="109" t="n">
        <x:v>6.9</x:v>
      </x:c>
      <x:c r="V247" s="109" t="n">
        <x:v>14.2</x:v>
      </x:c>
      <x:c r="W247" s="109" t="n">
        <x:f>AVERAGE(E247:V247)</x:f>
        <x:v>5.588235294117648</x:v>
      </x:c>
      <x:c r="X247" s="109" t="n">
        <x:f>MEDIAN(E247:V247)</x:f>
        <x:v>4.2</x:v>
      </x:c>
      <x:c r="Y247" s="109" t="n">
        <x:f>PERCENTILE.INC(E247:V247,0.25)</x:f>
        <x:v>0</x:v>
      </x:c>
      <x:c r="Z247" s="109" t="n">
        <x:f>STDEV.P(E247:V247)</x:f>
        <x:v>4.8605110301334</x:v>
      </x:c>
      <x:c r="AA247" s="173" t="n">
        <x:f>IF(W247=0,"",Z247/ABS(W247))</x:f>
        <x:v>0.8697756580238715</x:v>
      </x:c>
      <x:c r="AB247" s="173" t="n">
        <x:f>IF(W247=0,0,(COUNTIF(E247:V247,"&lt;"&amp;0.5*W247)-COUNTBLANK(E247:V247))/COUNT(E247:V247))</x:f>
        <x:v>0.35294117647058826</x:v>
      </x:c>
      <x:c r="AC247" s="109" t="n">
        <x:f>SUM(E247:V247)</x:f>
        <x:v>95.00000000000001</x:v>
      </x:c>
    </x:row>
    <x:row r="248">
      <x:c r="A248" s="108" t="str">
        <x:v>TE</x:v>
      </x:c>
      <x:c r="B248" s="108" t="str">
        <x:v>Zach Ertz</x:v>
      </x:c>
      <x:c r="C248" s="108" t="str">
        <x:v>WSH</x:v>
      </x:c>
      <x:c r="D248" s="108" t="n">
        <x:v>12</x:v>
      </x:c>
      <x:c r="E248" s="109" t="n">
        <x:v>10.1</x:v>
      </x:c>
      <x:c r="F248" s="109" t="n">
        <x:v>15.4</x:v>
      </x:c>
      <x:c r="G248" s="109" t="n">
        <x:v>5.3</x:v>
      </x:c>
      <x:c r="H248" s="109" t="n">
        <x:v>4.6</x:v>
      </x:c>
      <x:c r="I248" s="109" t="n">
        <x:v>0</x:v>
      </x:c>
      <x:c r="J248" s="109" t="n">
        <x:v>13.3</x:v>
      </x:c>
      <x:c r="K248" s="109" t="n">
        <x:v>11.2</x:v>
      </x:c>
      <x:c r="L248" s="109" t="n">
        <x:v>3.6</x:v>
      </x:c>
      <x:c r="M248" s="109" t="n">
        <x:v>6.6</x:v>
      </x:c>
      <x:c r="N248" s="109" t="n">
        <x:v>7.4</x:v>
      </x:c>
      <x:c r="O248" s="109" t="n">
        <x:v>6.2</x:v>
      </x:c>
      <x:c r="P248" s="109"/>
      <x:c r="Q248" s="109" t="n">
        <x:v>15.6</x:v>
      </x:c>
      <x:c r="R248" s="109" t="n">
        <x:v>1.6</x:v>
      </x:c>
      <x:c r="S248" s="109" t="n">
        <x:v>0</x:v>
      </x:c>
      <x:c r="T248" s="109" t="n">
        <x:v>0</x:v>
      </x:c>
      <x:c r="U248" s="109" t="n">
        <x:v>0</x:v>
      </x:c>
      <x:c r="V248" s="109" t="n">
        <x:v>0</x:v>
      </x:c>
      <x:c r="W248" s="109" t="n">
        <x:f>AVERAGE(E248:V248)</x:f>
        <x:v>5.935294117647059</x:v>
      </x:c>
      <x:c r="X248" s="109" t="n">
        <x:f>MEDIAN(E248:V248)</x:f>
        <x:v>5.3</x:v>
      </x:c>
      <x:c r="Y248" s="109" t="n">
        <x:f>PERCENTILE.INC(E248:V248,0.25)</x:f>
        <x:v>0</x:v>
      </x:c>
      <x:c r="Z248" s="109" t="n">
        <x:f>STDEV.P(E248:V248)</x:f>
        <x:v>5.355144989136268</x:v>
      </x:c>
      <x:c r="AA248" s="173" t="n">
        <x:f>IF(W248=0,"",Z248/ABS(W248))</x:f>
        <x:v>0.9022543589228598</x:v>
      </x:c>
      <x:c r="AB248" s="173" t="n">
        <x:f>IF(W248=0,0,(COUNTIF(E248:V248,"&lt;"&amp;0.5*W248)-COUNTBLANK(E248:V248))/COUNT(E248:V248))</x:f>
        <x:v>0.35294117647058826</x:v>
      </x:c>
      <x:c r="AC248" s="109" t="n">
        <x:f>SUM(E248:V248)</x:f>
        <x:v>100.9</x:v>
      </x:c>
    </x:row>
    <x:row r="249">
      <x:c r="A249" s="108" t="str">
        <x:v>TE</x:v>
      </x:c>
      <x:c r="B249" s="108" t="str">
        <x:v>Dalton Kincaid</x:v>
      </x:c>
      <x:c r="C249" s="108" t="str">
        <x:v>BUF</x:v>
      </x:c>
      <x:c r="D249" s="108" t="n">
        <x:v>7</x:v>
      </x:c>
      <x:c r="E249" s="109" t="n">
        <x:v>12.3</x:v>
      </x:c>
      <x:c r="F249" s="109" t="n">
        <x:v>5.7</x:v>
      </x:c>
      <x:c r="G249" s="109" t="n">
        <x:v>15.1</x:v>
      </x:c>
      <x:c r="H249" s="109" t="n">
        <x:v>9.3</x:v>
      </x:c>
      <x:c r="I249" s="109" t="n">
        <x:v>13.8</x:v>
      </x:c>
      <x:c r="J249" s="109" t="n">
        <x:v>0</x:v>
      </x:c>
      <x:c r="K249" s="109"/>
      <x:c r="L249" s="109" t="n">
        <x:v>2.8</x:v>
      </x:c>
      <x:c r="M249" s="109" t="n">
        <x:v>19.1</x:v>
      </x:c>
      <x:c r="N249" s="109" t="n">
        <x:v>4.7</x:v>
      </x:c>
      <x:c r="O249" s="109" t="n">
        <x:v>0</x:v>
      </x:c>
      <x:c r="P249" s="109" t="n">
        <x:v>0</x:v>
      </x:c>
      <x:c r="Q249" s="109" t="n">
        <x:v>0</x:v>
      </x:c>
      <x:c r="R249" s="109" t="n">
        <x:v>12.1</x:v>
      </x:c>
      <x:c r="S249" s="109" t="n">
        <x:v>4.9</x:v>
      </x:c>
      <x:c r="T249" s="109" t="n">
        <x:v>0</x:v>
      </x:c>
      <x:c r="U249" s="109" t="n">
        <x:v>0</x:v>
      </x:c>
      <x:c r="V249" s="109" t="n">
        <x:v>6.3</x:v>
      </x:c>
      <x:c r="W249" s="109" t="n">
        <x:f>AVERAGE(E249:V249)</x:f>
        <x:v>6.241176470588235</x:v>
      </x:c>
      <x:c r="X249" s="109" t="n">
        <x:f>MEDIAN(E249:V249)</x:f>
        <x:v>4.9</x:v>
      </x:c>
      <x:c r="Y249" s="109" t="n">
        <x:f>PERCENTILE.INC(E249:V249,0.25)</x:f>
        <x:v>0</x:v>
      </x:c>
      <x:c r="Z249" s="109" t="n">
        <x:f>STDEV.P(E249:V249)</x:f>
        <x:v>6.094265271888996</x:v>
      </x:c>
      <x:c r="AA249" s="173" t="n">
        <x:f>IF(W249=0,"",Z249/ABS(W249))</x:f>
        <x:v>0.9764609766457392</x:v>
      </x:c>
      <x:c r="AB249" s="173" t="n">
        <x:f>IF(W249=0,0,(COUNTIF(E249:V249,"&lt;"&amp;0.5*W249)-COUNTBLANK(E249:V249))/COUNT(E249:V249))</x:f>
        <x:v>0.4117647058823529</x:v>
      </x:c>
      <x:c r="AC249" s="109" t="n">
        <x:f>SUM(E249:V249)</x:f>
        <x:v>106.1</x:v>
      </x:c>
    </x:row>
    <x:row r="250">
      <x:c r="A250" s="108" t="str">
        <x:v>TE</x:v>
      </x:c>
      <x:c r="B250" s="108" t="str">
        <x:v>George Kittle</x:v>
      </x:c>
      <x:c r="C250" s="108" t="str">
        <x:v>SF</x:v>
      </x:c>
      <x:c r="D250" s="108" t="n">
        <x:v>14</x:v>
      </x:c>
      <x:c r="E250" s="109" t="n">
        <x:v>10.5</x:v>
      </x:c>
      <x:c r="F250" s="109" t="n">
        <x:v>0</x:v>
      </x:c>
      <x:c r="G250" s="109" t="n">
        <x:v>0</x:v>
      </x:c>
      <x:c r="H250" s="109" t="n">
        <x:v>0</x:v>
      </x:c>
      <x:c r="I250" s="109" t="n">
        <x:v>0</x:v>
      </x:c>
      <x:c r="J250" s="109" t="n">
        <x:v>0</x:v>
      </x:c>
      <x:c r="K250" s="109" t="n">
        <x:v>0</x:v>
      </x:c>
      <x:c r="L250" s="109" t="n">
        <x:v>12.3</x:v>
      </x:c>
      <x:c r="M250" s="109" t="n">
        <x:v>4.9</x:v>
      </x:c>
      <x:c r="N250" s="109" t="n">
        <x:v>18.9</x:v>
      </x:c>
      <x:c r="O250" s="109" t="n">
        <x:v>21.7</x:v>
      </x:c>
      <x:c r="P250" s="109" t="n">
        <x:v>10.8</x:v>
      </x:c>
      <x:c r="Q250" s="109" t="n">
        <x:v>8.7</x:v>
      </x:c>
      <x:c r="R250" s="109"/>
      <x:c r="S250" s="109" t="n">
        <x:v>18.8</x:v>
      </x:c>
      <x:c r="T250" s="109" t="n">
        <x:v>21</x:v>
      </x:c>
      <x:c r="U250" s="109" t="n">
        <x:v>0</x:v>
      </x:c>
      <x:c r="V250" s="109" t="n">
        <x:v>5.4</x:v>
      </x:c>
      <x:c r="W250" s="109" t="n">
        <x:f>AVERAGE(E250:V250)</x:f>
        <x:v>7.823529411764706</x:v>
      </x:c>
      <x:c r="X250" s="109" t="n">
        <x:f>MEDIAN(E250:V250)</x:f>
        <x:v>5.4</x:v>
      </x:c>
      <x:c r="Y250" s="109" t="n">
        <x:f>PERCENTILE.INC(E250:V250,0.25)</x:f>
        <x:v>0</x:v>
      </x:c>
      <x:c r="Z250" s="109" t="n">
        <x:f>STDEV.P(E250:V250)</x:f>
        <x:v>8.00386152478655</x:v>
      </x:c>
      <x:c r="AA250" s="173" t="n">
        <x:f>IF(W250=0,"",Z250/ABS(W250))</x:f>
        <x:v>1.0230499693336192</x:v>
      </x:c>
      <x:c r="AB250" s="173" t="n">
        <x:f>IF(W250=0,0,(COUNTIF(E250:V250,"&lt;"&amp;0.5*W250)-COUNTBLANK(E250:V250))/COUNT(E250:V250))</x:f>
        <x:v>0.4117647058823529</x:v>
      </x:c>
      <x:c r="AC250" s="109" t="n">
        <x:f>SUM(E250:V250)</x:f>
        <x:v>133</x:v>
      </x:c>
    </x:row>
    <x:row r="251">
      <x:c r="A251" s="108" t="str">
        <x:v>TE</x:v>
      </x:c>
      <x:c r="B251" s="108" t="str">
        <x:v>Colby Parkinson</x:v>
      </x:c>
      <x:c r="C251" s="108" t="str">
        <x:v>LAR</x:v>
      </x:c>
      <x:c r="D251" s="108" t="n">
        <x:v>8</x:v>
      </x:c>
      <x:c r="E251" s="109" t="n">
        <x:v>-1.6</x:v>
      </x:c>
      <x:c r="F251" s="109" t="n">
        <x:v>0</x:v>
      </x:c>
      <x:c r="G251" s="109" t="n">
        <x:v>0</x:v>
      </x:c>
      <x:c r="H251" s="109" t="n">
        <x:v>2.7</x:v>
      </x:c>
      <x:c r="I251" s="109" t="n">
        <x:v>0</x:v>
      </x:c>
      <x:c r="J251" s="109" t="n">
        <x:v>0</x:v>
      </x:c>
      <x:c r="K251" s="109" t="n">
        <x:v>6.2</x:v>
      </x:c>
      <x:c r="L251" s="109"/>
      <x:c r="M251" s="109" t="n">
        <x:v>2</x:v>
      </x:c>
      <x:c r="N251" s="109" t="n">
        <x:v>12.1</x:v>
      </x:c>
      <x:c r="O251" s="109" t="n">
        <x:v>8.4</x:v>
      </x:c>
      <x:c r="P251" s="109" t="n">
        <x:v>12.1</x:v>
      </x:c>
      <x:c r="Q251" s="109" t="n">
        <x:v>4.7</x:v>
      </x:c>
      <x:c r="R251" s="109" t="n">
        <x:v>10.7</x:v>
      </x:c>
      <x:c r="S251" s="109" t="n">
        <x:v>22</x:v>
      </x:c>
      <x:c r="T251" s="109" t="n">
        <x:v>3.1</x:v>
      </x:c>
      <x:c r="U251" s="109" t="n">
        <x:v>8.3</x:v>
      </x:c>
      <x:c r="V251" s="109" t="n">
        <x:v>17.6</x:v>
      </x:c>
      <x:c r="W251" s="109" t="n">
        <x:f>AVERAGE(E251:V251)</x:f>
        <x:v>6.370588235294116</x:v>
      </x:c>
      <x:c r="X251" s="109" t="n">
        <x:f>MEDIAN(E251:V251)</x:f>
        <x:v>4.7</x:v>
      </x:c>
      <x:c r="Y251" s="109" t="n">
        <x:f>PERCENTILE.INC(E251:V251,0.25)</x:f>
        <x:v>0</x:v>
      </x:c>
      <x:c r="Z251" s="109" t="n">
        <x:f>STDEV.P(E251:V251)</x:f>
        <x:v>6.573455059455805</x:v>
      </x:c>
      <x:c r="AA251" s="173" t="n">
        <x:f>IF(W251=0,"",Z251/ABS(W251))</x:f>
        <x:v>1.0318442844944478</x:v>
      </x:c>
      <x:c r="AB251" s="173" t="n">
        <x:f>IF(W251=0,0,(COUNTIF(E251:V251,"&lt;"&amp;0.5*W251)-COUNTBLANK(E251:V251))/COUNT(E251:V251))</x:f>
        <x:v>0.47058823529411764</x:v>
      </x:c>
      <x:c r="AC251" s="109" t="n">
        <x:f>SUM(E251:V251)</x:f>
        <x:v>108.29999999999998</x:v>
      </x:c>
    </x:row>
    <x:row r="252">
      <x:c r="A252" s="108" t="str">
        <x:v>TE</x:v>
      </x:c>
      <x:c r="B252" s="108" t="str">
        <x:v>Brock Bowers</x:v>
      </x:c>
      <x:c r="C252" s="108" t="str">
        <x:v>LV</x:v>
      </x:c>
      <x:c r="D252" s="108" t="n">
        <x:v>8</x:v>
      </x:c>
      <x:c r="E252" s="109" t="n">
        <x:v>12.8</x:v>
      </x:c>
      <x:c r="F252" s="109" t="n">
        <x:v>6.3</x:v>
      </x:c>
      <x:c r="G252" s="109" t="n">
        <x:v>7.8</x:v>
      </x:c>
      <x:c r="H252" s="109" t="n">
        <x:v>7.1</x:v>
      </x:c>
      <x:c r="I252" s="109" t="n">
        <x:v>0</x:v>
      </x:c>
      <x:c r="J252" s="109" t="n">
        <x:v>0</x:v>
      </x:c>
      <x:c r="K252" s="109" t="n">
        <x:v>0</x:v>
      </x:c>
      <x:c r="L252" s="109"/>
      <x:c r="M252" s="109" t="n">
        <x:v>37.3</x:v>
      </x:c>
      <x:c r="N252" s="109" t="n">
        <x:v>3.2</x:v>
      </x:c>
      <x:c r="O252" s="109" t="n">
        <x:v>10.7</x:v>
      </x:c>
      <x:c r="P252" s="109" t="n">
        <x:v>8.5</x:v>
      </x:c>
      <x:c r="Q252" s="109" t="n">
        <x:v>20.3</x:v>
      </x:c>
      <x:c r="R252" s="109" t="n">
        <x:v>12.6</x:v>
      </x:c>
      <x:c r="S252" s="109" t="n">
        <x:v>5.8</x:v>
      </x:c>
      <x:c r="T252" s="109" t="n">
        <x:v>11.8</x:v>
      </x:c>
      <x:c r="U252" s="109" t="n">
        <x:v>0</x:v>
      </x:c>
      <x:c r="V252" s="109" t="n">
        <x:v>0</x:v>
      </x:c>
      <x:c r="W252" s="109" t="n">
        <x:f>AVERAGE(E252:V252)</x:f>
        <x:v>8.482352941176472</x:v>
      </x:c>
      <x:c r="X252" s="109" t="n">
        <x:f>MEDIAN(E252:V252)</x:f>
        <x:v>7.1</x:v>
      </x:c>
      <x:c r="Y252" s="109" t="n">
        <x:f>PERCENTILE.INC(E252:V252,0.25)</x:f>
        <x:v>0</x:v>
      </x:c>
      <x:c r="Z252" s="109" t="n">
        <x:f>STDEV.P(E252:V252)</x:f>
        <x:v>9.151099920653552</x:v>
      </x:c>
      <x:c r="AA252" s="173" t="n">
        <x:f>IF(W252=0,"",Z252/ABS(W252))</x:f>
        <x:v>1.0788397964709455</x:v>
      </x:c>
      <x:c r="AB252" s="173" t="n">
        <x:f>IF(W252=0,0,(COUNTIF(E252:V252,"&lt;"&amp;0.5*W252)-COUNTBLANK(E252:V252))/COUNT(E252:V252))</x:f>
        <x:v>0.35294117647058826</x:v>
      </x:c>
      <x:c r="AC252" s="109" t="n">
        <x:f>SUM(E252:V252)</x:f>
        <x:v>144.20000000000002</x:v>
      </x:c>
    </x:row>
    <x:row r="253">
      <x:c r="A253" s="108" t="str">
        <x:v>TE</x:v>
      </x:c>
      <x:c r="B253" s="108" t="str">
        <x:v>David Njoku</x:v>
      </x:c>
      <x:c r="C253" s="108" t="str">
        <x:v>CLE</x:v>
      </x:c>
      <x:c r="D253" s="108" t="n">
        <x:v>9</x:v>
      </x:c>
      <x:c r="E253" s="109" t="n">
        <x:v>5.2</x:v>
      </x:c>
      <x:c r="F253" s="109" t="n">
        <x:v>6</x:v>
      </x:c>
      <x:c r="G253" s="109" t="n">
        <x:v>6.5</x:v>
      </x:c>
      <x:c r="H253" s="109" t="n">
        <x:v>2.1</x:v>
      </x:c>
      <x:c r="I253" s="109" t="n">
        <x:v>15.7</x:v>
      </x:c>
      <x:c r="J253" s="109" t="n">
        <x:v>4.3</x:v>
      </x:c>
      <x:c r="K253" s="109" t="n">
        <x:v>0</x:v>
      </x:c>
      <x:c r="L253" s="109" t="n">
        <x:v>11.7</x:v>
      </x:c>
      <x:c r="M253" s="109"/>
      <x:c r="N253" s="109" t="n">
        <x:v>9.1</x:v>
      </x:c>
      <x:c r="O253" s="109" t="n">
        <x:v>1.2</x:v>
      </x:c>
      <x:c r="P253" s="109" t="n">
        <x:v>0</x:v>
      </x:c>
      <x:c r="Q253" s="109" t="n">
        <x:v>1.4</x:v>
      </x:c>
      <x:c r="R253" s="109" t="n">
        <x:v>6.6</x:v>
      </x:c>
      <x:c r="S253" s="109" t="n">
        <x:v>0</x:v>
      </x:c>
      <x:c r="T253" s="109" t="n">
        <x:v>0</x:v>
      </x:c>
      <x:c r="U253" s="109" t="n">
        <x:v>0</x:v>
      </x:c>
      <x:c r="V253" s="109" t="n">
        <x:v>0</x:v>
      </x:c>
      <x:c r="W253" s="109" t="n">
        <x:f>AVERAGE(E253:V253)</x:f>
        <x:v>4.105882352941176</x:v>
      </x:c>
      <x:c r="X253" s="109" t="n">
        <x:f>MEDIAN(E253:V253)</x:f>
        <x:v>2.1</x:v>
      </x:c>
      <x:c r="Y253" s="109" t="n">
        <x:f>PERCENTILE.INC(E253:V253,0.25)</x:f>
        <x:v>0</x:v>
      </x:c>
      <x:c r="Z253" s="109" t="n">
        <x:f>STDEV.P(E253:V253)</x:f>
        <x:v>4.56810819232069</x:v>
      </x:c>
      <x:c r="AA253" s="173" t="n">
        <x:f>IF(W253=0,"",Z253/ABS(W253))</x:f>
        <x:v>1.1125764938316867</x:v>
      </x:c>
      <x:c r="AB253" s="173" t="n">
        <x:f>IF(W253=0,0,(COUNTIF(E253:V253,"&lt;"&amp;0.5*W253)-COUNTBLANK(E253:V253))/COUNT(E253:V253))</x:f>
        <x:v>0.47058823529411764</x:v>
      </x:c>
      <x:c r="AC253" s="109" t="n">
        <x:f>SUM(E253:V253)</x:f>
        <x:v>69.8</x:v>
      </x:c>
    </x:row>
    <x:row r="254">
      <x:c r="A254" s="108" t="str">
        <x:v>TE</x:v>
      </x:c>
      <x:c r="B254" s="108" t="str">
        <x:v>Noah Fant</x:v>
      </x:c>
      <x:c r="C254" s="108" t="str">
        <x:v>CIN</x:v>
      </x:c>
      <x:c r="D254" s="108" t="n">
        <x:v>10</x:v>
      </x:c>
      <x:c r="E254" s="109" t="n">
        <x:v>10.6</x:v>
      </x:c>
      <x:c r="F254" s="109" t="n">
        <x:v>4.3</x:v>
      </x:c>
      <x:c r="G254" s="109" t="n">
        <x:v>3.1</x:v>
      </x:c>
      <x:c r="H254" s="109" t="n">
        <x:v>0</x:v>
      </x:c>
      <x:c r="I254" s="109" t="n">
        <x:v>0</x:v>
      </x:c>
      <x:c r="J254" s="109" t="n">
        <x:v>4.7</x:v>
      </x:c>
      <x:c r="K254" s="109" t="n">
        <x:v>12.4</x:v>
      </x:c>
      <x:c r="L254" s="109" t="n">
        <x:v>5.6</x:v>
      </x:c>
      <x:c r="M254" s="109" t="n">
        <x:v>9.8</x:v>
      </x:c>
      <x:c r="N254" s="109"/>
      <x:c r="O254" s="109" t="n">
        <x:v>4.1</x:v>
      </x:c>
      <x:c r="P254" s="109" t="n">
        <x:v>1.4</x:v>
      </x:c>
      <x:c r="Q254" s="109" t="n">
        <x:v>0.8</x:v>
      </x:c>
      <x:c r="R254" s="109" t="n">
        <x:v>2</x:v>
      </x:c>
      <x:c r="S254" s="109" t="n">
        <x:v>0</x:v>
      </x:c>
      <x:c r="T254" s="109" t="n">
        <x:v>0</x:v>
      </x:c>
      <x:c r="U254" s="109" t="n">
        <x:v>0</x:v>
      </x:c>
      <x:c r="V254" s="109" t="n">
        <x:v>-1</x:v>
      </x:c>
      <x:c r="W254" s="109" t="n">
        <x:f>AVERAGE(E254:V254)</x:f>
        <x:v>3.4</x:v>
      </x:c>
      <x:c r="X254" s="109" t="n">
        <x:f>MEDIAN(E254:V254)</x:f>
        <x:v>2</x:v>
      </x:c>
      <x:c r="Y254" s="109" t="n">
        <x:f>PERCENTILE.INC(E254:V254,0.25)</x:f>
        <x:v>0</x:v>
      </x:c>
      <x:c r="Z254" s="109" t="n">
        <x:f>STDEV.P(E254:V254)</x:f>
        <x:v>3.997057741418717</x:v>
      </x:c>
      <x:c r="AA254" s="173" t="n">
        <x:f>IF(W254=0,"",Z254/ABS(W254))</x:f>
        <x:v>1.1756052180643286</x:v>
      </x:c>
      <x:c r="AB254" s="173" t="n">
        <x:f>IF(W254=0,0,(COUNTIF(E254:V254,"&lt;"&amp;0.5*W254)-COUNTBLANK(E254:V254))/COUNT(E254:V254))</x:f>
        <x:v>0.47058823529411764</x:v>
      </x:c>
      <x:c r="AC254" s="109" t="n">
        <x:f>SUM(E254:V254)</x:f>
        <x:v>57.8</x:v>
      </x:c>
    </x:row>
    <x:row r="255">
      <x:c r="A255" s="108" t="str">
        <x:v>TE</x:v>
      </x:c>
      <x:c r="B255" s="108" t="str">
        <x:v>Jake Tonges</x:v>
      </x:c>
      <x:c r="C255" s="108" t="str">
        <x:v>SF</x:v>
      </x:c>
      <x:c r="D255" s="108" t="n">
        <x:v>14</x:v>
      </x:c>
      <x:c r="E255" s="109" t="n">
        <x:v>9</x:v>
      </x:c>
      <x:c r="F255" s="109" t="n">
        <x:v>5.1</x:v>
      </x:c>
      <x:c r="G255" s="109" t="n">
        <x:v>3.1</x:v>
      </x:c>
      <x:c r="H255" s="109" t="n">
        <x:v>13.3</x:v>
      </x:c>
      <x:c r="I255" s="109" t="n">
        <x:v>13.6</x:v>
      </x:c>
      <x:c r="J255" s="109" t="n">
        <x:v>8.8</x:v>
      </x:c>
      <x:c r="K255" s="109" t="n">
        <x:v>0</x:v>
      </x:c>
      <x:c r="L255" s="109" t="n">
        <x:v>6.7</x:v>
      </x:c>
      <x:c r="M255" s="109" t="n">
        <x:v>0</x:v>
      </x:c>
      <x:c r="N255" s="109" t="n">
        <x:v>0</x:v>
      </x:c>
      <x:c r="O255" s="109" t="n">
        <x:v>0</x:v>
      </x:c>
      <x:c r="P255" s="109" t="n">
        <x:v>0</x:v>
      </x:c>
      <x:c r="Q255" s="109" t="n">
        <x:v>0</x:v>
      </x:c>
      <x:c r="R255" s="109"/>
      <x:c r="S255" s="109" t="n">
        <x:v>0</x:v>
      </x:c>
      <x:c r="T255" s="109" t="n">
        <x:v>1.2</x:v>
      </x:c>
      <x:c r="U255" s="109" t="n">
        <x:v>15.5</x:v>
      </x:c>
      <x:c r="V255" s="109" t="n">
        <x:v>0</x:v>
      </x:c>
      <x:c r="W255" s="109" t="n">
        <x:f>AVERAGE(E255:V255)</x:f>
        <x:v>4.488235294117648</x:v>
      </x:c>
      <x:c r="X255" s="109" t="n">
        <x:f>MEDIAN(E255:V255)</x:f>
        <x:v>1.2</x:v>
      </x:c>
      <x:c r="Y255" s="109" t="n">
        <x:f>PERCENTILE.INC(E255:V255,0.25)</x:f>
        <x:v>0</x:v>
      </x:c>
      <x:c r="Z255" s="109" t="n">
        <x:f>STDEV.P(E255:V255)</x:f>
        <x:v>5.423465611466004</x:v>
      </x:c>
      <x:c r="AA255" s="173" t="n">
        <x:f>IF(W255=0,"",Z255/ABS(W255))</x:f>
        <x:v>1.208373727325322</x:v>
      </x:c>
      <x:c r="AB255" s="173" t="n">
        <x:f>IF(W255=0,0,(COUNTIF(E255:V255,"&lt;"&amp;0.5*W255)-COUNTBLANK(E255:V255))/COUNT(E255:V255))</x:f>
        <x:v>0.5294117647058824</x:v>
      </x:c>
      <x:c r="AC255" s="109" t="n">
        <x:f>SUM(E255:V255)</x:f>
        <x:v>76.30000000000001</x:v>
      </x:c>
    </x:row>
    <x:row r="256">
      <x:c r="A256" s="108" t="str">
        <x:v>TE</x:v>
      </x:c>
      <x:c r="B256" s="108" t="str">
        <x:v>Sam LaPorta</x:v>
      </x:c>
      <x:c r="C256" s="108" t="str">
        <x:v>DET</x:v>
      </x:c>
      <x:c r="D256" s="108" t="n">
        <x:v>8</x:v>
      </x:c>
      <x:c r="E256" s="109" t="n">
        <x:v>10.9</x:v>
      </x:c>
      <x:c r="F256" s="109" t="n">
        <x:v>4.1</x:v>
      </x:c>
      <x:c r="G256" s="109" t="n">
        <x:v>5.3</x:v>
      </x:c>
      <x:c r="H256" s="109" t="n">
        <x:v>5.4</x:v>
      </x:c>
      <x:c r="I256" s="109" t="n">
        <x:v>17.7</x:v>
      </x:c>
      <x:c r="J256" s="109" t="n">
        <x:v>14</x:v>
      </x:c>
      <x:c r="K256" s="109" t="n">
        <x:v>3</x:v>
      </x:c>
      <x:c r="L256" s="109"/>
      <x:c r="M256" s="109" t="n">
        <x:v>20.7</x:v>
      </x:c>
      <x:c r="N256" s="109" t="n">
        <x:v>7.8</x:v>
      </x:c>
      <x:c r="O256" s="109" t="n">
        <x:v>0</x:v>
      </x:c>
      <x:c r="P256" s="109" t="n">
        <x:v>0</x:v>
      </x:c>
      <x:c r="Q256" s="109" t="n">
        <x:v>0</x:v>
      </x:c>
      <x:c r="R256" s="109" t="n">
        <x:v>0</x:v>
      </x:c>
      <x:c r="S256" s="109" t="n">
        <x:v>0</x:v>
      </x:c>
      <x:c r="T256" s="109" t="n">
        <x:v>0</x:v>
      </x:c>
      <x:c r="U256" s="109" t="n">
        <x:v>0</x:v>
      </x:c>
      <x:c r="V256" s="109" t="n">
        <x:v>0</x:v>
      </x:c>
      <x:c r="W256" s="109" t="n">
        <x:f>AVERAGE(E256:V256)</x:f>
        <x:v>5.229411764705882</x:v>
      </x:c>
      <x:c r="X256" s="109" t="n">
        <x:f>MEDIAN(E256:V256)</x:f>
        <x:v>3</x:v>
      </x:c>
      <x:c r="Y256" s="109" t="n">
        <x:f>PERCENTILE.INC(E256:V256,0.25)</x:f>
        <x:v>0</x:v>
      </x:c>
      <x:c r="Z256" s="109" t="n">
        <x:f>STDEV.P(E256:V256)</x:f>
        <x:v>6.5780172862865856</x:v>
      </x:c>
      <x:c r="AA256" s="173" t="n">
        <x:f>IF(W256=0,"",Z256/ABS(W256))</x:f>
        <x:v>1.257888569931068</x:v>
      </x:c>
      <x:c r="AB256" s="173" t="n">
        <x:f>IF(W256=0,0,(COUNTIF(E256:V256,"&lt;"&amp;0.5*W256)-COUNTBLANK(E256:V256))/COUNT(E256:V256))</x:f>
        <x:v>0.47058823529411764</x:v>
      </x:c>
      <x:c r="AC256" s="109" t="n">
        <x:f>SUM(E256:V256)</x:f>
        <x:v>88.9</x:v>
      </x:c>
    </x:row>
    <x:row r="257">
      <x:c r="A257" s="108" t="str">
        <x:v>TE</x:v>
      </x:c>
      <x:c r="B257" s="108" t="str">
        <x:v>Michael Mayer</x:v>
      </x:c>
      <x:c r="C257" s="108" t="str">
        <x:v>LV</x:v>
      </x:c>
      <x:c r="D257" s="108" t="n">
        <x:v>8</x:v>
      </x:c>
      <x:c r="E257" s="109" t="n">
        <x:v>5.8</x:v>
      </x:c>
      <x:c r="F257" s="109" t="n">
        <x:v>1.9</x:v>
      </x:c>
      <x:c r="G257" s="109" t="n">
        <x:v>0</x:v>
      </x:c>
      <x:c r="H257" s="109" t="n">
        <x:v>0</x:v>
      </x:c>
      <x:c r="I257" s="109" t="n">
        <x:v>0</x:v>
      </x:c>
      <x:c r="J257" s="109" t="n">
        <x:v>13.5</x:v>
      </x:c>
      <x:c r="K257" s="109" t="n">
        <x:v>1.5</x:v>
      </x:c>
      <x:c r="L257" s="109"/>
      <x:c r="M257" s="109" t="n">
        <x:v>4.1</x:v>
      </x:c>
      <x:c r="N257" s="109" t="n">
        <x:v>3.7</x:v>
      </x:c>
      <x:c r="O257" s="109" t="n">
        <x:v>2.8</x:v>
      </x:c>
      <x:c r="P257" s="109" t="n">
        <x:v>1.9</x:v>
      </x:c>
      <x:c r="Q257" s="109" t="n">
        <x:v>0</x:v>
      </x:c>
      <x:c r="R257" s="109" t="n">
        <x:v>0</x:v>
      </x:c>
      <x:c r="S257" s="109" t="n">
        <x:v>0</x:v>
      </x:c>
      <x:c r="T257" s="109" t="n">
        <x:v>1</x:v>
      </x:c>
      <x:c r="U257" s="109" t="n">
        <x:v>13.4</x:v>
      </x:c>
      <x:c r="V257" s="109" t="n">
        <x:v>6.2</x:v>
      </x:c>
      <x:c r="W257" s="109" t="n">
        <x:f>AVERAGE(E257:V257)</x:f>
        <x:v>3.2823529411764705</x:v>
      </x:c>
      <x:c r="X257" s="109" t="n">
        <x:f>MEDIAN(E257:V257)</x:f>
        <x:v>1.9</x:v>
      </x:c>
      <x:c r="Y257" s="109" t="n">
        <x:f>PERCENTILE.INC(E257:V257,0.25)</x:f>
        <x:v>0</x:v>
      </x:c>
      <x:c r="Z257" s="109" t="n">
        <x:f>STDEV.P(E257:V257)</x:f>
        <x:v>4.197651345289291</x:v>
      </x:c>
      <x:c r="AA257" s="173" t="n">
        <x:f>IF(W257=0,"",Z257/ABS(W257))</x:f>
        <x:v>1.27885435250749</x:v>
      </x:c>
      <x:c r="AB257" s="173" t="n">
        <x:f>IF(W257=0,0,(COUNTIF(E257:V257,"&lt;"&amp;0.5*W257)-COUNTBLANK(E257:V257))/COUNT(E257:V257))</x:f>
        <x:v>0.47058823529411764</x:v>
      </x:c>
      <x:c r="AC257" s="109" t="n">
        <x:f>SUM(E257:V257)</x:f>
        <x:v>55.8</x:v>
      </x:c>
    </x:row>
    <x:row r="258">
      <x:c r="A258" s="108" t="str">
        <x:v>TE</x:v>
      </x:c>
      <x:c r="B258" s="108" t="str">
        <x:v>Mike Gesicki</x:v>
      </x:c>
      <x:c r="C258" s="108" t="str">
        <x:v>CIN</x:v>
      </x:c>
      <x:c r="D258" s="108" t="n">
        <x:v>10</x:v>
      </x:c>
      <x:c r="E258" s="109" t="n">
        <x:v>1.9</x:v>
      </x:c>
      <x:c r="F258" s="109" t="n">
        <x:v>3.3</x:v>
      </x:c>
      <x:c r="G258" s="109" t="n">
        <x:v>1.1</x:v>
      </x:c>
      <x:c r="H258" s="109" t="n">
        <x:v>1.3</x:v>
      </x:c>
      <x:c r="I258" s="109" t="n">
        <x:v>2.5</x:v>
      </x:c>
      <x:c r="J258" s="109" t="n">
        <x:v>0</x:v>
      </x:c>
      <x:c r="K258" s="109" t="n">
        <x:v>0</x:v>
      </x:c>
      <x:c r="L258" s="109" t="n">
        <x:v>0</x:v>
      </x:c>
      <x:c r="M258" s="109" t="n">
        <x:v>0</x:v>
      </x:c>
      <x:c r="N258" s="109"/>
      <x:c r="O258" s="109" t="n">
        <x:v>0</x:v>
      </x:c>
      <x:c r="P258" s="109" t="n">
        <x:v>5.5</x:v>
      </x:c>
      <x:c r="Q258" s="109" t="n">
        <x:v>2.9</x:v>
      </x:c>
      <x:c r="R258" s="109" t="n">
        <x:v>17.6</x:v>
      </x:c>
      <x:c r="S258" s="109" t="n">
        <x:v>1.6</x:v>
      </x:c>
      <x:c r="T258" s="109" t="n">
        <x:v>11</x:v>
      </x:c>
      <x:c r="U258" s="109" t="n">
        <x:v>5.7</x:v>
      </x:c>
      <x:c r="V258" s="109" t="n">
        <x:v>2.3</x:v>
      </x:c>
      <x:c r="W258" s="109" t="n">
        <x:f>AVERAGE(E258:V258)</x:f>
        <x:v>3.3352941176470585</x:v>
      </x:c>
      <x:c r="X258" s="109" t="n">
        <x:f>MEDIAN(E258:V258)</x:f>
        <x:v>1.9</x:v>
      </x:c>
      <x:c r="Y258" s="109" t="n">
        <x:f>PERCENTILE.INC(E258:V258,0.25)</x:f>
        <x:v>0</x:v>
      </x:c>
      <x:c r="Z258" s="109" t="n">
        <x:f>STDEV.P(E258:V258)</x:f>
        <x:v>4.500319096721736</x:v>
      </x:c>
      <x:c r="AA258" s="173" t="n">
        <x:f>IF(W258=0,"",Z258/ABS(W258))</x:f>
        <x:v>1.3493020219447887</x:v>
      </x:c>
      <x:c r="AB258" s="173" t="n">
        <x:f>IF(W258=0,0,(COUNTIF(E258:V258,"&lt;"&amp;0.5*W258)-COUNTBLANK(E258:V258))/COUNT(E258:V258))</x:f>
        <x:v>0.47058823529411764</x:v>
      </x:c>
      <x:c r="AC258" s="109" t="n">
        <x:f>SUM(E258:V258)</x:f>
        <x:v>56.699999999999996</x:v>
      </x:c>
    </x:row>
    <x:row r="259">
      <x:c r="A259" s="108" t="str">
        <x:v>TE</x:v>
      </x:c>
      <x:c r="B259" s="108" t="str">
        <x:v>Tyler Higbee</x:v>
      </x:c>
      <x:c r="C259" s="108" t="str">
        <x:v>LAR</x:v>
      </x:c>
      <x:c r="D259" s="108" t="n">
        <x:v>8</x:v>
      </x:c>
      <x:c r="E259" s="109" t="n">
        <x:v>0</x:v>
      </x:c>
      <x:c r="F259" s="109" t="n">
        <x:v>5.7</x:v>
      </x:c>
      <x:c r="G259" s="109" t="n">
        <x:v>0</x:v>
      </x:c>
      <x:c r="H259" s="109" t="n">
        <x:v>3.5</x:v>
      </x:c>
      <x:c r="I259" s="109" t="n">
        <x:v>0</x:v>
      </x:c>
      <x:c r="J259" s="109" t="n">
        <x:v>12</x:v>
      </x:c>
      <x:c r="K259" s="109" t="n">
        <x:v>3.4</x:v>
      </x:c>
      <x:c r="L259" s="109"/>
      <x:c r="M259" s="109" t="n">
        <x:v>8.8</x:v>
      </x:c>
      <x:c r="N259" s="109" t="n">
        <x:v>4.8</x:v>
      </x:c>
      <x:c r="O259" s="109" t="n">
        <x:v>2.8</x:v>
      </x:c>
      <x:c r="P259" s="109" t="n">
        <x:v>0</x:v>
      </x:c>
      <x:c r="Q259" s="109" t="n">
        <x:v>0</x:v>
      </x:c>
      <x:c r="R259" s="109" t="n">
        <x:v>0</x:v>
      </x:c>
      <x:c r="S259" s="109" t="n">
        <x:v>0</x:v>
      </x:c>
      <x:c r="T259" s="109" t="n">
        <x:v>0</x:v>
      </x:c>
      <x:c r="U259" s="109" t="n">
        <x:v>0</x:v>
      </x:c>
      <x:c r="V259" s="109" t="n">
        <x:v>17.6</x:v>
      </x:c>
      <x:c r="W259" s="109" t="n">
        <x:f>AVERAGE(E259:V259)</x:f>
        <x:v>3.4470588235294115</x:v>
      </x:c>
      <x:c r="X259" s="109" t="n">
        <x:f>MEDIAN(E259:V259)</x:f>
        <x:v>0</x:v>
      </x:c>
      <x:c r="Y259" s="109" t="n">
        <x:f>PERCENTILE.INC(E259:V259,0.25)</x:f>
        <x:v>0</x:v>
      </x:c>
      <x:c r="Z259" s="109" t="n">
        <x:f>STDEV.P(E259:V259)</x:f>
        <x:v>4.949048351428291</x:v>
      </x:c>
      <x:c r="AA259" s="173" t="n">
        <x:f>IF(W259=0,"",Z259/ABS(W259))</x:f>
        <x:v>1.4357307504143508</x:v>
      </x:c>
      <x:c r="AB259" s="173" t="n">
        <x:f>IF(W259=0,0,(COUNTIF(E259:V259,"&lt;"&amp;0.5*W259)-COUNTBLANK(E259:V259))/COUNT(E259:V259))</x:f>
        <x:v>0.5294117647058824</x:v>
      </x:c>
      <x:c r="AC259" s="109" t="n">
        <x:f>SUM(E259:V259)</x:f>
        <x:v>58.599999999999994</x:v>
      </x:c>
    </x:row>
    <x:row r="260">
      <x:c r="A260" s="108" t="str">
        <x:v>TE</x:v>
      </x:c>
      <x:c r="B260" s="108" t="str">
        <x:v>Tucker Kraft</x:v>
      </x:c>
      <x:c r="C260" s="108" t="str">
        <x:v>GB</x:v>
      </x:c>
      <x:c r="D260" s="108" t="n">
        <x:v>5</x:v>
      </x:c>
      <x:c r="E260" s="109" t="n">
        <x:v>8.9</x:v>
      </x:c>
      <x:c r="F260" s="109" t="n">
        <x:v>21.4</x:v>
      </x:c>
      <x:c r="G260" s="109" t="n">
        <x:v>4.4</x:v>
      </x:c>
      <x:c r="H260" s="109" t="n">
        <x:v>8.1</x:v>
      </x:c>
      <x:c r="I260" s="109"/>
      <x:c r="J260" s="109" t="n">
        <x:v>11.3</x:v>
      </x:c>
      <x:c r="K260" s="109" t="n">
        <x:v>14.3</x:v>
      </x:c>
      <x:c r="L260" s="109" t="n">
        <x:v>29.8</x:v>
      </x:c>
      <x:c r="M260" s="109" t="n">
        <x:v>3</x:v>
      </x:c>
      <x:c r="N260" s="109" t="n">
        <x:v>0</x:v>
      </x:c>
      <x:c r="O260" s="109" t="n">
        <x:v>0</x:v>
      </x:c>
      <x:c r="P260" s="109" t="n">
        <x:v>0</x:v>
      </x:c>
      <x:c r="Q260" s="109" t="n">
        <x:v>0</x:v>
      </x:c>
      <x:c r="R260" s="109" t="n">
        <x:v>0</x:v>
      </x:c>
      <x:c r="S260" s="109" t="n">
        <x:v>0</x:v>
      </x:c>
      <x:c r="T260" s="109" t="n">
        <x:v>0</x:v>
      </x:c>
      <x:c r="U260" s="109" t="n">
        <x:v>0</x:v>
      </x:c>
      <x:c r="V260" s="109" t="n">
        <x:v>0</x:v>
      </x:c>
      <x:c r="W260" s="109" t="n">
        <x:f>AVERAGE(E260:V260)</x:f>
        <x:v>5.9529411764705875</x:v>
      </x:c>
      <x:c r="X260" s="109" t="n">
        <x:f>MEDIAN(E260:V260)</x:f>
        <x:v>0</x:v>
      </x:c>
      <x:c r="Y260" s="109" t="n">
        <x:f>PERCENTILE.INC(E260:V260,0.25)</x:f>
        <x:v>0</x:v>
      </x:c>
      <x:c r="Z260" s="109" t="n">
        <x:f>STDEV.P(E260:V260)</x:f>
        <x:v>8.571232161203293</x:v>
      </x:c>
      <x:c r="AA260" s="173" t="n">
        <x:f>IF(W260=0,"",Z260/ABS(W260))</x:f>
        <x:v>1.4398314895301976</x:v>
      </x:c>
      <x:c r="AB260" s="173" t="n">
        <x:f>IF(W260=0,0,(COUNTIF(E260:V260,"&lt;"&amp;0.5*W260)-COUNTBLANK(E260:V260))/COUNT(E260:V260))</x:f>
        <x:v>0.5294117647058824</x:v>
      </x:c>
      <x:c r="AC260" s="109" t="n">
        <x:f>SUM(E260:V260)</x:f>
        <x:v>101.19999999999999</x:v>
      </x:c>
    </x:row>
    <x:row r="261">
      <x:c r="A261" s="108" t="str">
        <x:v>TE</x:v>
      </x:c>
      <x:c r="B261" s="108" t="str">
        <x:v>Darren Waller</x:v>
      </x:c>
      <x:c r="C261" s="108" t="str">
        <x:v>MIA</x:v>
      </x:c>
      <x:c r="D261" s="108" t="n">
        <x:v>12</x:v>
      </x:c>
      <x:c r="E261" s="109" t="n">
        <x:v>0</x:v>
      </x:c>
      <x:c r="F261" s="109" t="n">
        <x:v>0</x:v>
      </x:c>
      <x:c r="G261" s="109" t="n">
        <x:v>0</x:v>
      </x:c>
      <x:c r="H261" s="109" t="n">
        <x:v>16.2</x:v>
      </x:c>
      <x:c r="I261" s="109" t="n">
        <x:v>16.3</x:v>
      </x:c>
      <x:c r="J261" s="109" t="n">
        <x:v>8.2</x:v>
      </x:c>
      <x:c r="K261" s="109" t="n">
        <x:v>0</x:v>
      </x:c>
      <x:c r="L261" s="109" t="n">
        <x:v>0</x:v>
      </x:c>
      <x:c r="M261" s="109" t="n">
        <x:v>0</x:v>
      </x:c>
      <x:c r="N261" s="109" t="n">
        <x:v>0</x:v>
      </x:c>
      <x:c r="O261" s="109" t="n">
        <x:v>0</x:v>
      </x:c>
      <x:c r="P261" s="109"/>
      <x:c r="Q261" s="109" t="n">
        <x:v>5.7</x:v>
      </x:c>
      <x:c r="R261" s="109" t="n">
        <x:v>2.2</x:v>
      </x:c>
      <x:c r="S261" s="109" t="n">
        <x:v>22.1</x:v>
      </x:c>
      <x:c r="T261" s="109" t="n">
        <x:v>5.5</x:v>
      </x:c>
      <x:c r="U261" s="109" t="n">
        <x:v>0.5</x:v>
      </x:c>
      <x:c r="V261" s="109" t="n">
        <x:v>0</x:v>
      </x:c>
      <x:c r="W261" s="109" t="n">
        <x:f>AVERAGE(E261:V261)</x:f>
        <x:v>4.511764705882354</x:v>
      </x:c>
      <x:c r="X261" s="109" t="n">
        <x:f>MEDIAN(E261:V261)</x:f>
        <x:v>0</x:v>
      </x:c>
      <x:c r="Y261" s="109" t="n">
        <x:f>PERCENTILE.INC(E261:V261,0.25)</x:f>
        <x:v>0</x:v>
      </x:c>
      <x:c r="Z261" s="109" t="n">
        <x:f>STDEV.P(E261:V261)</x:f>
        <x:v>6.88373038000739</x:v>
      </x:c>
      <x:c r="AA261" s="173" t="n">
        <x:f>IF(W261=0,"",Z261/ABS(W261))</x:f>
        <x:v>1.5257290281633065</x:v>
      </x:c>
      <x:c r="AB261" s="173" t="n">
        <x:f>IF(W261=0,0,(COUNTIF(E261:V261,"&lt;"&amp;0.5*W261)-COUNTBLANK(E261:V261))/COUNT(E261:V261))</x:f>
        <x:v>0.6470588235294118</x:v>
      </x:c>
      <x:c r="AC261" s="109" t="n">
        <x:f>SUM(E261:V261)</x:f>
        <x:v>76.70000000000002</x:v>
      </x:c>
    </x:row>
    <x:row r="262">
      <x:c r="A262" s="108" t="str">
        <x:v>K</x:v>
      </x:c>
      <x:c r="B262" s="108" t="str">
        <x:v>Jason Myers</x:v>
      </x:c>
      <x:c r="C262" s="108" t="str">
        <x:v>SEA</x:v>
      </x:c>
      <x:c r="D262" s="108" t="n">
        <x:v>8</x:v>
      </x:c>
      <x:c r="E262" s="109" t="n">
        <x:v>8</x:v>
      </x:c>
      <x:c r="F262" s="109" t="n">
        <x:v>8</x:v>
      </x:c>
      <x:c r="G262" s="109" t="n">
        <x:v>17</x:v>
      </x:c>
      <x:c r="H262" s="109" t="n">
        <x:v>14</x:v>
      </x:c>
      <x:c r="I262" s="109" t="n">
        <x:v>5</x:v>
      </x:c>
      <x:c r="J262" s="109" t="n">
        <x:v>10</x:v>
      </x:c>
      <x:c r="K262" s="109" t="n">
        <x:v>10</x:v>
      </x:c>
      <x:c r="L262" s="109"/>
      <x:c r="M262" s="109" t="n">
        <x:v>9</x:v>
      </x:c>
      <x:c r="N262" s="109" t="n">
        <x:v>15</x:v>
      </x:c>
      <x:c r="O262" s="109" t="n">
        <x:v>15</x:v>
      </x:c>
      <x:c r="P262" s="109" t="n">
        <x:v>13</x:v>
      </x:c>
      <x:c r="Q262" s="109" t="n">
        <x:v>19</x:v>
      </x:c>
      <x:c r="R262" s="109" t="n">
        <x:v>14</x:v>
      </x:c>
      <x:c r="S262" s="109" t="n">
        <x:v>24</x:v>
      </x:c>
      <x:c r="T262" s="109" t="n">
        <x:v>2</x:v>
      </x:c>
      <x:c r="U262" s="109" t="n">
        <x:v>10</x:v>
      </x:c>
      <x:c r="V262" s="109" t="n">
        <x:v>7</x:v>
      </x:c>
      <x:c r="W262" s="109" t="n">
        <x:f>AVERAGE(E262:V262)</x:f>
        <x:v>11.764705882352942</x:v>
      </x:c>
      <x:c r="X262" s="109" t="n">
        <x:f>MEDIAN(E262:V262)</x:f>
        <x:v>10</x:v>
      </x:c>
      <x:c r="Y262" s="109" t="n">
        <x:f>PERCENTILE.INC(E262:V262,0.25)</x:f>
        <x:v>8</x:v>
      </x:c>
      <x:c r="Z262" s="109" t="n">
        <x:f>STDEV.P(E262:V262)</x:f>
        <x:v>5.263966428516963</x:v>
      </x:c>
      <x:c r="AA262" s="173" t="n">
        <x:f>IF(W262=0,"",Z262/ABS(W262))</x:f>
        <x:v>0.44743714642394183</x:v>
      </x:c>
      <x:c r="AB262" s="173" t="n">
        <x:f>IF(W262=0,0,(COUNTIF(E262:V262,"&lt;"&amp;0.5*W262)-COUNTBLANK(E262:V262))/COUNT(E262:V262))</x:f>
        <x:v>0.11764705882352941</x:v>
      </x:c>
      <x:c r="AC262" s="109" t="n">
        <x:f>SUM(E262:V262)</x:f>
        <x:v>200</x:v>
      </x:c>
    </x:row>
    <x:row r="263">
      <x:c r="A263" s="108" t="str">
        <x:v>K</x:v>
      </x:c>
      <x:c r="B263" s="108" t="str">
        <x:v>Will Reichard</x:v>
      </x:c>
      <x:c r="C263" s="108" t="str">
        <x:v>MIN</x:v>
      </x:c>
      <x:c r="D263" s="108" t="n">
        <x:v>6</x:v>
      </x:c>
      <x:c r="E263" s="109" t="n">
        <x:v>9</x:v>
      </x:c>
      <x:c r="F263" s="109" t="n">
        <x:v>8</x:v>
      </x:c>
      <x:c r="G263" s="109" t="n">
        <x:v>14</x:v>
      </x:c>
      <x:c r="H263" s="109" t="n">
        <x:v>8</x:v>
      </x:c>
      <x:c r="I263" s="109" t="n">
        <x:v>3</x:v>
      </x:c>
      <x:c r="J263" s="109"/>
      <x:c r="K263" s="109" t="n">
        <x:v>18</x:v>
      </x:c>
      <x:c r="L263" s="109" t="n">
        <x:v>6</x:v>
      </x:c>
      <x:c r="M263" s="109" t="n">
        <x:v>11</x:v>
      </x:c>
      <x:c r="N263" s="109" t="n">
        <x:v>9</x:v>
      </x:c>
      <x:c r="O263" s="109" t="n">
        <x:v>5</x:v>
      </x:c>
      <x:c r="P263" s="109" t="n">
        <x:v>10</x:v>
      </x:c>
      <x:c r="Q263" s="109" t="n">
        <x:v>0</x:v>
      </x:c>
      <x:c r="R263" s="109" t="n">
        <x:v>8</x:v>
      </x:c>
      <x:c r="S263" s="109" t="n">
        <x:v>12</x:v>
      </x:c>
      <x:c r="T263" s="109" t="n">
        <x:v>11</x:v>
      </x:c>
      <x:c r="U263" s="109" t="n">
        <x:v>16</x:v>
      </x:c>
      <x:c r="V263" s="109" t="n">
        <x:v>11</x:v>
      </x:c>
      <x:c r="W263" s="109" t="n">
        <x:f>AVERAGE(E263:V263)</x:f>
        <x:v>9.352941176470589</x:v>
      </x:c>
      <x:c r="X263" s="109" t="n">
        <x:f>MEDIAN(E263:V263)</x:f>
        <x:v>9</x:v>
      </x:c>
      <x:c r="Y263" s="109" t="n">
        <x:f>PERCENTILE.INC(E263:V263,0.25)</x:f>
        <x:v>8</x:v>
      </x:c>
      <x:c r="Z263" s="109" t="n">
        <x:f>STDEV.P(E263:V263)</x:f>
        <x:v>4.337811544608616</x:v>
      </x:c>
      <x:c r="AA263" s="173" t="n">
        <x:f>IF(W263=0,"",Z263/ABS(W263))</x:f>
        <x:v>0.46379117143614135</x:v>
      </x:c>
      <x:c r="AB263" s="173" t="n">
        <x:f>IF(W263=0,0,(COUNTIF(E263:V263,"&lt;"&amp;0.5*W263)-COUNTBLANK(E263:V263))/COUNT(E263:V263))</x:f>
        <x:v>0.11764705882352941</x:v>
      </x:c>
      <x:c r="AC263" s="109" t="n">
        <x:f>SUM(E263:V263)</x:f>
        <x:v>159</x:v>
      </x:c>
    </x:row>
    <x:row r="264">
      <x:c r="A264" s="108" t="str">
        <x:v>K</x:v>
      </x:c>
      <x:c r="B264" s="108" t="str">
        <x:v>Ka'imi Fairbairn</x:v>
      </x:c>
      <x:c r="C264" s="108" t="str">
        <x:v>HOU</x:v>
      </x:c>
      <x:c r="D264" s="108" t="n">
        <x:v>6</x:v>
      </x:c>
      <x:c r="E264" s="109" t="n">
        <x:v>14</x:v>
      </x:c>
      <x:c r="F264" s="109" t="n">
        <x:v>9</x:v>
      </x:c>
      <x:c r="G264" s="109" t="n">
        <x:v>4</x:v>
      </x:c>
      <x:c r="H264" s="109" t="n">
        <x:v>10</x:v>
      </x:c>
      <x:c r="I264" s="109" t="n">
        <x:v>18</x:v>
      </x:c>
      <x:c r="J264" s="109"/>
      <x:c r="K264" s="109" t="n">
        <x:v>8</x:v>
      </x:c>
      <x:c r="L264" s="109" t="n">
        <x:v>14</x:v>
      </x:c>
      <x:c r="M264" s="109" t="n">
        <x:v>18</x:v>
      </x:c>
      <x:c r="N264" s="109" t="n">
        <x:v>0</x:v>
      </x:c>
      <x:c r="O264" s="109" t="n">
        <x:v>0</x:v>
      </x:c>
      <x:c r="P264" s="109" t="n">
        <x:v>12</x:v>
      </x:c>
      <x:c r="Q264" s="109" t="n">
        <x:v>9</x:v>
      </x:c>
      <x:c r="R264" s="109" t="n">
        <x:v>8</x:v>
      </x:c>
      <x:c r="S264" s="109" t="n">
        <x:v>18</x:v>
      </x:c>
      <x:c r="T264" s="109" t="n">
        <x:v>16</x:v>
      </x:c>
      <x:c r="U264" s="109" t="n">
        <x:v>10</x:v>
      </x:c>
      <x:c r="V264" s="109" t="n">
        <x:v>26</x:v>
      </x:c>
      <x:c r="W264" s="109" t="n">
        <x:f>AVERAGE(E264:V264)</x:f>
        <x:v>11.411764705882353</x:v>
      </x:c>
      <x:c r="X264" s="109" t="n">
        <x:f>MEDIAN(E264:V264)</x:f>
        <x:v>10</x:v>
      </x:c>
      <x:c r="Y264" s="109" t="n">
        <x:f>PERCENTILE.INC(E264:V264,0.25)</x:f>
        <x:v>8</x:v>
      </x:c>
      <x:c r="Z264" s="109" t="n">
        <x:f>STDEV.P(E264:V264)</x:f>
        <x:v>6.562449538444976</x:v>
      </x:c>
      <x:c r="AA264" s="173" t="n">
        <x:f>IF(W264=0,"",Z264/ABS(W264))</x:f>
        <x:v>0.5750600111008484</x:v>
      </x:c>
      <x:c r="AB264" s="173" t="n">
        <x:f>IF(W264=0,0,(COUNTIF(E264:V264,"&lt;"&amp;0.5*W264)-COUNTBLANK(E264:V264))/COUNT(E264:V264))</x:f>
        <x:v>0.17647058823529413</x:v>
      </x:c>
      <x:c r="AC264" s="109" t="n">
        <x:f>SUM(E264:V264)</x:f>
        <x:v>194</x:v>
      </x:c>
    </x:row>
    <x:row r="265">
      <x:c r="A265" s="108" t="str">
        <x:v>K</x:v>
      </x:c>
      <x:c r="B265" s="108" t="str">
        <x:v>Cameron Dicker</x:v>
      </x:c>
      <x:c r="C265" s="108" t="str">
        <x:v>LAC</x:v>
      </x:c>
      <x:c r="D265" s="108" t="n">
        <x:v>12</x:v>
      </x:c>
      <x:c r="E265" s="109" t="n">
        <x:v>9</x:v>
      </x:c>
      <x:c r="F265" s="109" t="n">
        <x:v>8</x:v>
      </x:c>
      <x:c r="G265" s="109" t="n">
        <x:v>12</x:v>
      </x:c>
      <x:c r="H265" s="109" t="n">
        <x:v>5</x:v>
      </x:c>
      <x:c r="I265" s="109" t="n">
        <x:v>6</x:v>
      </x:c>
      <x:c r="J265" s="109" t="n">
        <x:v>17</x:v>
      </x:c>
      <x:c r="K265" s="109" t="n">
        <x:v>7</x:v>
      </x:c>
      <x:c r="L265" s="109" t="n">
        <x:v>15</x:v>
      </x:c>
      <x:c r="M265" s="109" t="n">
        <x:v>11</x:v>
      </x:c>
      <x:c r="N265" s="109" t="n">
        <x:v>14</x:v>
      </x:c>
      <x:c r="O265" s="109" t="n">
        <x:v>8</x:v>
      </x:c>
      <x:c r="P265" s="109"/>
      <x:c r="Q265" s="109" t="n">
        <x:v>9</x:v>
      </x:c>
      <x:c r="R265" s="109" t="n">
        <x:v>20</x:v>
      </x:c>
      <x:c r="S265" s="109" t="n">
        <x:v>12</x:v>
      </x:c>
      <x:c r="T265" s="109" t="n">
        <x:v>10</x:v>
      </x:c>
      <x:c r="U265" s="109" t="n">
        <x:v>1</x:v>
      </x:c>
      <x:c r="V265" s="109" t="n">
        <x:v>3</x:v>
      </x:c>
      <x:c r="W265" s="109" t="n">
        <x:f>AVERAGE(E265:V265)</x:f>
        <x:v>9.823529411764707</x:v>
      </x:c>
      <x:c r="X265" s="109" t="n">
        <x:f>MEDIAN(E265:V265)</x:f>
        <x:v>9</x:v>
      </x:c>
      <x:c r="Y265" s="109" t="n">
        <x:f>PERCENTILE.INC(E265:V265,0.25)</x:f>
        <x:v>7</x:v>
      </x:c>
      <x:c r="Z265" s="109" t="n">
        <x:f>STDEV.P(E265:V265)</x:f>
        <x:v>4.780294036214128</x:v>
      </x:c>
      <x:c r="AA265" s="173" t="n">
        <x:f>IF(W265=0,"",Z265/ABS(W265))</x:f>
        <x:v>0.48661675817748606</x:v>
      </x:c>
      <x:c r="AB265" s="173" t="n">
        <x:f>IF(W265=0,0,(COUNTIF(E265:V265,"&lt;"&amp;0.5*W265)-COUNTBLANK(E265:V265))/COUNT(E265:V265))</x:f>
        <x:v>0.11764705882352941</x:v>
      </x:c>
      <x:c r="AC265" s="109" t="n">
        <x:f>SUM(E265:V265)</x:f>
        <x:v>167</x:v>
      </x:c>
    </x:row>
    <x:row r="266">
      <x:c r="A266" s="108" t="str">
        <x:v>K</x:v>
      </x:c>
      <x:c r="B266" s="108" t="str">
        <x:v>Jake Bates</x:v>
      </x:c>
      <x:c r="C266" s="108" t="str">
        <x:v>DET</x:v>
      </x:c>
      <x:c r="D266" s="108" t="n">
        <x:v>8</x:v>
      </x:c>
      <x:c r="E266" s="109" t="n">
        <x:v>7</x:v>
      </x:c>
      <x:c r="F266" s="109" t="n">
        <x:v>10</x:v>
      </x:c>
      <x:c r="G266" s="109" t="n">
        <x:v>9</x:v>
      </x:c>
      <x:c r="H266" s="109" t="n">
        <x:v>13</x:v>
      </x:c>
      <x:c r="I266" s="109" t="n">
        <x:v>5</x:v>
      </x:c>
      <x:c r="J266" s="109" t="n">
        <x:v>5</x:v>
      </x:c>
      <x:c r="K266" s="109" t="n">
        <x:v>8</x:v>
      </x:c>
      <x:c r="L266" s="109"/>
      <x:c r="M266" s="109" t="n">
        <x:v>7</x:v>
      </x:c>
      <x:c r="N266" s="109" t="n">
        <x:v>11</x:v>
      </x:c>
      <x:c r="O266" s="109" t="n">
        <x:v>3</x:v>
      </x:c>
      <x:c r="P266" s="109" t="n">
        <x:v>12</x:v>
      </x:c>
      <x:c r="Q266" s="109" t="n">
        <x:v>6</x:v>
      </x:c>
      <x:c r="R266" s="109" t="n">
        <x:v>16</x:v>
      </x:c>
      <x:c r="S266" s="109" t="n">
        <x:v>11</x:v>
      </x:c>
      <x:c r="T266" s="109" t="n">
        <x:v>6</x:v>
      </x:c>
      <x:c r="U266" s="109" t="n">
        <x:v>5</x:v>
      </x:c>
      <x:c r="V266" s="109" t="n">
        <x:v>14</x:v>
      </x:c>
      <x:c r="W266" s="109" t="n">
        <x:f>AVERAGE(E266:V266)</x:f>
        <x:v>8.705882352941176</x:v>
      </x:c>
      <x:c r="X266" s="109" t="n">
        <x:f>MEDIAN(E266:V266)</x:f>
        <x:v>8</x:v>
      </x:c>
      <x:c r="Y266" s="109" t="n">
        <x:f>PERCENTILE.INC(E266:V266,0.25)</x:f>
        <x:v>6</x:v>
      </x:c>
      <x:c r="Z266" s="109" t="n">
        <x:f>STDEV.P(E266:V266)</x:f>
        <x:v>3.5771284224731232</x:v>
      </x:c>
      <x:c r="AA266" s="173" t="n">
        <x:f>IF(W266=0,"",Z266/ABS(W266))</x:f>
        <x:v>0.4108863728516426</x:v>
      </x:c>
      <x:c r="AB266" s="173" t="n">
        <x:f>IF(W266=0,0,(COUNTIF(E266:V266,"&lt;"&amp;0.5*W266)-COUNTBLANK(E266:V266))/COUNT(E266:V266))</x:f>
        <x:v>0.058823529411764705</x:v>
      </x:c>
      <x:c r="AC266" s="109" t="n">
        <x:f>SUM(E266:V266)</x:f>
        <x:v>148</x:v>
      </x:c>
    </x:row>
    <x:row r="267">
      <x:c r="A267" s="108" t="str">
        <x:v>K</x:v>
      </x:c>
      <x:c r="B267" s="108" t="str">
        <x:v>Tyler Loop</x:v>
      </x:c>
      <x:c r="C267" s="108" t="str">
        <x:v>BAL</x:v>
      </x:c>
      <x:c r="D267" s="108" t="n">
        <x:v>7</x:v>
      </x:c>
      <x:c r="E267" s="109" t="n">
        <x:v>11</x:v>
      </x:c>
      <x:c r="F267" s="109" t="n">
        <x:v>12</x:v>
      </x:c>
      <x:c r="G267" s="109" t="n">
        <x:v>7</x:v>
      </x:c>
      <x:c r="H267" s="109" t="n">
        <x:v>9</x:v>
      </x:c>
      <x:c r="I267" s="109" t="n">
        <x:v>4</x:v>
      </x:c>
      <x:c r="J267" s="109" t="n">
        <x:v>3</x:v>
      </x:c>
      <x:c r="K267" s="109"/>
      <x:c r="L267" s="109" t="n">
        <x:v>13</x:v>
      </x:c>
      <x:c r="M267" s="109" t="n">
        <x:v>4</x:v>
      </x:c>
      <x:c r="N267" s="109" t="n">
        <x:v>14</x:v>
      </x:c>
      <x:c r="O267" s="109" t="n">
        <x:v>12</x:v>
      </x:c>
      <x:c r="P267" s="109" t="n">
        <x:v>11</x:v>
      </x:c>
      <x:c r="Q267" s="109" t="n">
        <x:v>2</x:v>
      </x:c>
      <x:c r="R267" s="109" t="n">
        <x:v>8</x:v>
      </x:c>
      <x:c r="S267" s="109" t="n">
        <x:v>6</x:v>
      </x:c>
      <x:c r="T267" s="109" t="n">
        <x:v>6</x:v>
      </x:c>
      <x:c r="U267" s="109" t="n">
        <x:v>11</x:v>
      </x:c>
      <x:c r="V267" s="109" t="n">
        <x:v>7</x:v>
      </x:c>
      <x:c r="W267" s="109" t="n">
        <x:f>AVERAGE(E267:V267)</x:f>
        <x:v>8.235294117647058</x:v>
      </x:c>
      <x:c r="X267" s="109" t="n">
        <x:f>MEDIAN(E267:V267)</x:f>
        <x:v>8</x:v>
      </x:c>
      <x:c r="Y267" s="109" t="n">
        <x:f>PERCENTILE.INC(E267:V267,0.25)</x:f>
        <x:v>6</x:v>
      </x:c>
      <x:c r="Z267" s="109" t="n">
        <x:f>STDEV.P(E267:V267)</x:f>
        <x:v>3.6223068984330955</x:v>
      </x:c>
      <x:c r="AA267" s="173" t="n">
        <x:f>IF(W267=0,"",Z267/ABS(W267))</x:f>
        <x:v>0.43985155195259024</x:v>
      </x:c>
      <x:c r="AB267" s="173" t="n">
        <x:f>IF(W267=0,0,(COUNTIF(E267:V267,"&lt;"&amp;0.5*W267)-COUNTBLANK(E267:V267))/COUNT(E267:V267))</x:f>
        <x:v>0.23529411764705882</x:v>
      </x:c>
      <x:c r="AC267" s="109" t="n">
        <x:f>SUM(E267:V267)</x:f>
        <x:v>140</x:v>
      </x:c>
    </x:row>
    <x:row r="268">
      <x:c r="A268" s="108" t="str">
        <x:v>K</x:v>
      </x:c>
      <x:c r="B268" s="108" t="str">
        <x:v>Andy Borregales</x:v>
      </x:c>
      <x:c r="C268" s="108" t="str">
        <x:v>NE</x:v>
      </x:c>
      <x:c r="D268" s="108" t="n">
        <x:v>14</x:v>
      </x:c>
      <x:c r="E268" s="109" t="n">
        <x:v>8</x:v>
      </x:c>
      <x:c r="F268" s="109" t="n">
        <x:v>5</x:v>
      </x:c>
      <x:c r="G268" s="109" t="n">
        <x:v>2</x:v>
      </x:c>
      <x:c r="H268" s="109" t="n">
        <x:v>6</x:v>
      </x:c>
      <x:c r="I268" s="109" t="n">
        <x:v>13</x:v>
      </x:c>
      <x:c r="J268" s="109" t="n">
        <x:v>5</x:v>
      </x:c>
      <x:c r="K268" s="109" t="n">
        <x:v>7</x:v>
      </x:c>
      <x:c r="L268" s="109" t="n">
        <x:v>13</x:v>
      </x:c>
      <x:c r="M268" s="109" t="n">
        <x:v>6</x:v>
      </x:c>
      <x:c r="N268" s="109" t="n">
        <x:v>4</x:v>
      </x:c>
      <x:c r="O268" s="109" t="n">
        <x:v>10</x:v>
      </x:c>
      <x:c r="P268" s="109" t="n">
        <x:v>18</x:v>
      </x:c>
      <x:c r="Q268" s="109" t="n">
        <x:v>15</x:v>
      </x:c>
      <x:c r="R268" s="109"/>
      <x:c r="S268" s="109" t="n">
        <x:v>7</x:v>
      </x:c>
      <x:c r="T268" s="109" t="n">
        <x:v>10</x:v>
      </x:c>
      <x:c r="U268" s="109" t="n">
        <x:v>6</x:v>
      </x:c>
      <x:c r="V268" s="109" t="n">
        <x:v>9</x:v>
      </x:c>
      <x:c r="W268" s="109" t="n">
        <x:f>AVERAGE(E268:V268)</x:f>
        <x:v>8.470588235294118</x:v>
      </x:c>
      <x:c r="X268" s="109" t="n">
        <x:f>MEDIAN(E268:V268)</x:f>
        <x:v>7</x:v>
      </x:c>
      <x:c r="Y268" s="109" t="n">
        <x:f>PERCENTILE.INC(E268:V268,0.25)</x:f>
        <x:v>6</x:v>
      </x:c>
      <x:c r="Z268" s="109" t="n">
        <x:f>STDEV.P(E268:V268)</x:f>
        <x:v>4.117647058823529</x:v>
      </x:c>
      <x:c r="AA268" s="173" t="n">
        <x:f>IF(W268=0,"",Z268/ABS(W268))</x:f>
        <x:v>0.48611111111111105</x:v>
      </x:c>
      <x:c r="AB268" s="173" t="n">
        <x:f>IF(W268=0,0,(COUNTIF(E268:V268,"&lt;"&amp;0.5*W268)-COUNTBLANK(E268:V268))/COUNT(E268:V268))</x:f>
        <x:v>0.11764705882352941</x:v>
      </x:c>
      <x:c r="AC268" s="109" t="n">
        <x:f>SUM(E268:V268)</x:f>
        <x:v>144</x:v>
      </x:c>
    </x:row>
    <x:row r="269">
      <x:c r="A269" s="108" t="str">
        <x:v>K</x:v>
      </x:c>
      <x:c r="B269" s="108" t="str">
        <x:v>Cam Little</x:v>
      </x:c>
      <x:c r="C269" s="108" t="str">
        <x:v>JAX</x:v>
      </x:c>
      <x:c r="D269" s="108" t="n">
        <x:v>8</x:v>
      </x:c>
      <x:c r="E269" s="109" t="n">
        <x:v>15</x:v>
      </x:c>
      <x:c r="F269" s="109" t="n">
        <x:v>10</x:v>
      </x:c>
      <x:c r="G269" s="109" t="n">
        <x:v>5</x:v>
      </x:c>
      <x:c r="H269" s="109" t="n">
        <x:v>9</x:v>
      </x:c>
      <x:c r="I269" s="109" t="n">
        <x:v>9</x:v>
      </x:c>
      <x:c r="J269" s="109" t="n">
        <x:v>-2</x:v>
      </x:c>
      <x:c r="K269" s="109" t="n">
        <x:v>1</x:v>
      </x:c>
      <x:c r="L269" s="109"/>
      <x:c r="M269" s="109" t="n">
        <x:v>15</x:v>
      </x:c>
      <x:c r="N269" s="109" t="n">
        <x:v>13</x:v>
      </x:c>
      <x:c r="O269" s="109" t="n">
        <x:v>5</x:v>
      </x:c>
      <x:c r="P269" s="109" t="n">
        <x:v>13</x:v>
      </x:c>
      <x:c r="Q269" s="109" t="n">
        <x:v>6</x:v>
      </x:c>
      <x:c r="R269" s="109" t="n">
        <x:v>11</x:v>
      </x:c>
      <x:c r="S269" s="109" t="n">
        <x:v>12</x:v>
      </x:c>
      <x:c r="T269" s="109" t="n">
        <x:v>11</x:v>
      </x:c>
      <x:c r="U269" s="109" t="n">
        <x:v>14</x:v>
      </x:c>
      <x:c r="V269" s="109" t="n">
        <x:v>15</x:v>
      </x:c>
      <x:c r="W269" s="109" t="n">
        <x:f>AVERAGE(E269:V269)</x:f>
        <x:v>9.529411764705882</x:v>
      </x:c>
      <x:c r="X269" s="109" t="n">
        <x:f>MEDIAN(E269:V269)</x:f>
        <x:v>11</x:v>
      </x:c>
      <x:c r="Y269" s="109" t="n">
        <x:f>PERCENTILE.INC(E269:V269,0.25)</x:f>
        <x:v>6</x:v>
      </x:c>
      <x:c r="Z269" s="109" t="n">
        <x:f>STDEV.P(E269:V269)</x:f>
        <x:v>4.876325123779459</x:v>
      </x:c>
      <x:c r="AA269" s="173" t="n">
        <x:f>IF(W269=0,"",Z269/ABS(W269))</x:f>
        <x:v>0.5117131302731531</x:v>
      </x:c>
      <x:c r="AB269" s="173" t="n">
        <x:f>IF(W269=0,0,(COUNTIF(E269:V269,"&lt;"&amp;0.5*W269)-COUNTBLANK(E269:V269))/COUNT(E269:V269))</x:f>
        <x:v>0.11764705882352941</x:v>
      </x:c>
      <x:c r="AC269" s="109" t="n">
        <x:f>SUM(E269:V269)</x:f>
        <x:v>162</x:v>
      </x:c>
    </x:row>
    <x:row r="270">
      <x:c r="A270" s="108" t="str">
        <x:v>K</x:v>
      </x:c>
      <x:c r="B270" s="108" t="str">
        <x:v>Brandon Aubrey</x:v>
      </x:c>
      <x:c r="C270" s="108" t="str">
        <x:v>DAL</x:v>
      </x:c>
      <x:c r="D270" s="108" t="n">
        <x:v>10</x:v>
      </x:c>
      <x:c r="E270" s="109" t="n">
        <x:v>11</x:v>
      </x:c>
      <x:c r="F270" s="109" t="n">
        <x:v>22</x:v>
      </x:c>
      <x:c r="G270" s="109" t="n">
        <x:v>8</x:v>
      </x:c>
      <x:c r="H270" s="109" t="n">
        <x:v>8</x:v>
      </x:c>
      <x:c r="I270" s="109" t="n">
        <x:v>5</x:v>
      </x:c>
      <x:c r="J270" s="109" t="n">
        <x:v>9</x:v>
      </x:c>
      <x:c r="K270" s="109" t="n">
        <x:v>17</x:v>
      </x:c>
      <x:c r="L270" s="109" t="n">
        <x:v>6</x:v>
      </x:c>
      <x:c r="M270" s="109" t="n">
        <x:v>5</x:v>
      </x:c>
      <x:c r="N270" s="109"/>
      <x:c r="O270" s="109" t="n">
        <x:v>9</x:v>
      </x:c>
      <x:c r="P270" s="109" t="n">
        <x:v>7</x:v>
      </x:c>
      <x:c r="Q270" s="109" t="n">
        <x:v>12</x:v>
      </x:c>
      <x:c r="R270" s="109" t="n">
        <x:v>23</x:v>
      </x:c>
      <x:c r="S270" s="109" t="n">
        <x:v>16.6</x:v>
      </x:c>
      <x:c r="T270" s="109" t="n">
        <x:v>5</x:v>
      </x:c>
      <x:c r="U270" s="109" t="n">
        <x:v>17</x:v>
      </x:c>
      <x:c r="V270" s="109" t="n">
        <x:v>5</x:v>
      </x:c>
      <x:c r="W270" s="109" t="n">
        <x:f>AVERAGE(E270:V270)</x:f>
        <x:v>10.91764705882353</x:v>
      </x:c>
      <x:c r="X270" s="109" t="n">
        <x:f>MEDIAN(E270:V270)</x:f>
        <x:v>9</x:v>
      </x:c>
      <x:c r="Y270" s="109" t="n">
        <x:f>PERCENTILE.INC(E270:V270,0.25)</x:f>
        <x:v>6</x:v>
      </x:c>
      <x:c r="Z270" s="109" t="n">
        <x:f>STDEV.P(E270:V270)</x:f>
        <x:v>5.842263390372891</x:v>
      </x:c>
      <x:c r="AA270" s="173" t="n">
        <x:f>IF(W270=0,"",Z270/ABS(W270))</x:f>
        <x:v>0.5351211079544135</x:v>
      </x:c>
      <x:c r="AB270" s="173" t="n">
        <x:f>IF(W270=0,0,(COUNTIF(E270:V270,"&lt;"&amp;0.5*W270)-COUNTBLANK(E270:V270))/COUNT(E270:V270))</x:f>
        <x:v>0.23529411764705882</x:v>
      </x:c>
      <x:c r="AC270" s="109" t="n">
        <x:f>SUM(E270:V270)</x:f>
        <x:v>185.6</x:v>
      </x:c>
    </x:row>
    <x:row r="271">
      <x:c r="A271" s="108" t="str">
        <x:v>K</x:v>
      </x:c>
      <x:c r="B271" s="108" t="str">
        <x:v>Cairo Santos</x:v>
      </x:c>
      <x:c r="C271" s="108" t="str">
        <x:v>CHI</x:v>
      </x:c>
      <x:c r="D271" s="108" t="n">
        <x:v>5</x:v>
      </x:c>
      <x:c r="E271" s="109" t="n">
        <x:v>7</x:v>
      </x:c>
      <x:c r="F271" s="109" t="n">
        <x:v>3</x:v>
      </x:c>
      <x:c r="G271" s="109" t="n">
        <x:v>7</x:v>
      </x:c>
      <x:c r="H271" s="109" t="n">
        <x:v>19</x:v>
      </x:c>
      <x:c r="I271" s="109"/>
      <x:c r="J271" s="109" t="n">
        <x:v>0</x:v>
      </x:c>
      <x:c r="K271" s="109" t="n">
        <x:v>0</x:v>
      </x:c>
      <x:c r="L271" s="109" t="n">
        <x:v>11</x:v>
      </x:c>
      <x:c r="M271" s="109" t="n">
        <x:v>11</x:v>
      </x:c>
      <x:c r="N271" s="109" t="n">
        <x:v>6</x:v>
      </x:c>
      <x:c r="O271" s="109" t="n">
        <x:v>16</x:v>
      </x:c>
      <x:c r="P271" s="109" t="n">
        <x:v>8</x:v>
      </x:c>
      <x:c r="Q271" s="109" t="n">
        <x:v>6</x:v>
      </x:c>
      <x:c r="R271" s="109" t="n">
        <x:v>8</x:v>
      </x:c>
      <x:c r="S271" s="109" t="n">
        <x:v>7</x:v>
      </x:c>
      <x:c r="T271" s="109" t="n">
        <x:v>14</x:v>
      </x:c>
      <x:c r="U271" s="109" t="n">
        <x:v>8</x:v>
      </x:c>
      <x:c r="V271" s="109" t="n">
        <x:v>0</x:v>
      </x:c>
      <x:c r="W271" s="109" t="n">
        <x:f>AVERAGE(E271:V271)</x:f>
        <x:v>7.705882352941177</x:v>
      </x:c>
      <x:c r="X271" s="109" t="n">
        <x:f>MEDIAN(E271:V271)</x:f>
        <x:v>7</x:v>
      </x:c>
      <x:c r="Y271" s="109" t="n">
        <x:f>PERCENTILE.INC(E271:V271,0.25)</x:f>
        <x:v>6</x:v>
      </x:c>
      <x:c r="Z271" s="109" t="n">
        <x:f>STDEV.P(E271:V271)</x:f>
        <x:v>5.232980321478641</x:v>
      </x:c>
      <x:c r="AA271" s="173" t="n">
        <x:f>IF(W271=0,"",Z271/ABS(W271))</x:f>
        <x:v>0.6790890493521899</x:v>
      </x:c>
      <x:c r="AB271" s="173" t="n">
        <x:f>IF(W271=0,0,(COUNTIF(E271:V271,"&lt;"&amp;0.5*W271)-COUNTBLANK(E271:V271))/COUNT(E271:V271))</x:f>
        <x:v>0.23529411764705882</x:v>
      </x:c>
      <x:c r="AC271" s="109" t="n">
        <x:f>SUM(E271:V271)</x:f>
        <x:v>131</x:v>
      </x:c>
    </x:row>
    <x:row r="272">
      <x:c r="A272" s="108" t="str">
        <x:v>K</x:v>
      </x:c>
      <x:c r="B272" s="108" t="str">
        <x:v>Nick Folk</x:v>
      </x:c>
      <x:c r="C272" s="108" t="str">
        <x:v>NYJ</x:v>
      </x:c>
      <x:c r="D272" s="108" t="n">
        <x:v>9</x:v>
      </x:c>
      <x:c r="E272" s="109" t="n">
        <x:v>10</x:v>
      </x:c>
      <x:c r="F272" s="109" t="n">
        <x:v>6</x:v>
      </x:c>
      <x:c r="G272" s="109" t="n">
        <x:v>10</x:v>
      </x:c>
      <x:c r="H272" s="109" t="n">
        <x:v>11</x:v>
      </x:c>
      <x:c r="I272" s="109" t="n">
        <x:v>7</x:v>
      </x:c>
      <x:c r="J272" s="109" t="n">
        <x:v>12</x:v>
      </x:c>
      <x:c r="K272" s="109" t="n">
        <x:v>7</x:v>
      </x:c>
      <x:c r="L272" s="109" t="n">
        <x:v>12</x:v>
      </x:c>
      <x:c r="M272" s="109"/>
      <x:c r="N272" s="109" t="n">
        <x:v>9</x:v>
      </x:c>
      <x:c r="O272" s="109" t="n">
        <x:v>2</x:v>
      </x:c>
      <x:c r="P272" s="109" t="n">
        <x:v>5</x:v>
      </x:c>
      <x:c r="Q272" s="109" t="n">
        <x:v>11</x:v>
      </x:c>
      <x:c r="R272" s="109" t="n">
        <x:v>4</x:v>
      </x:c>
      <x:c r="S272" s="109" t="n">
        <x:v>11</x:v>
      </x:c>
      <x:c r="T272" s="109" t="n">
        <x:v>6</x:v>
      </x:c>
      <x:c r="U272" s="109" t="n">
        <x:v>4</x:v>
      </x:c>
      <x:c r="V272" s="109" t="n">
        <x:v>0</x:v>
      </x:c>
      <x:c r="W272" s="109" t="n">
        <x:f>AVERAGE(E272:V272)</x:f>
        <x:v>7.470588235294118</x:v>
      </x:c>
      <x:c r="X272" s="109" t="n">
        <x:f>MEDIAN(E272:V272)</x:f>
        <x:v>7</x:v>
      </x:c>
      <x:c r="Y272" s="109" t="n">
        <x:f>PERCENTILE.INC(E272:V272,0.25)</x:f>
        <x:v>5</x:v>
      </x:c>
      <x:c r="Z272" s="109" t="n">
        <x:f>STDEV.P(E272:V272)</x:f>
        <x:v>3.54994029873285</x:v>
      </x:c>
      <x:c r="AA272" s="173" t="n">
        <x:f>IF(W272=0,"",Z272/ABS(W272))</x:f>
        <x:v>0.4751888588854996</x:v>
      </x:c>
      <x:c r="AB272" s="173" t="n">
        <x:f>IF(W272=0,0,(COUNTIF(E272:V272,"&lt;"&amp;0.5*W272)-COUNTBLANK(E272:V272))/COUNT(E272:V272))</x:f>
        <x:v>0.11764705882352941</x:v>
      </x:c>
      <x:c r="AC272" s="109" t="n">
        <x:f>SUM(E272:V272)</x:f>
        <x:v>127</x:v>
      </x:c>
    </x:row>
    <x:row r="273">
      <x:c r="A273" s="108" t="str">
        <x:v>K</x:v>
      </x:c>
      <x:c r="B273" s="108" t="str">
        <x:v>Riley Patterson</x:v>
      </x:c>
      <x:c r="C273" s="108" t="str">
        <x:v>MIA</x:v>
      </x:c>
      <x:c r="D273" s="108" t="n">
        <x:v>12</x:v>
      </x:c>
      <x:c r="E273" s="109" t="n">
        <x:v>0</x:v>
      </x:c>
      <x:c r="F273" s="109" t="n">
        <x:v>11</x:v>
      </x:c>
      <x:c r="G273" s="109" t="n">
        <x:v>3</x:v>
      </x:c>
      <x:c r="H273" s="109" t="n">
        <x:v>10</x:v>
      </x:c>
      <x:c r="I273" s="109" t="n">
        <x:v>7</x:v>
      </x:c>
      <x:c r="J273" s="109" t="n">
        <x:v>10</x:v>
      </x:c>
      <x:c r="K273" s="109" t="n">
        <x:v>6</x:v>
      </x:c>
      <x:c r="L273" s="109" t="n">
        <x:v>10</x:v>
      </x:c>
      <x:c r="M273" s="109" t="n">
        <x:v>7</x:v>
      </x:c>
      <x:c r="N273" s="109" t="n">
        <x:v>5</x:v>
      </x:c>
      <x:c r="O273" s="109" t="n">
        <x:v>11</x:v>
      </x:c>
      <x:c r="P273" s="109"/>
      <x:c r="Q273" s="109" t="n">
        <x:v>14</x:v>
      </x:c>
      <x:c r="R273" s="109" t="n">
        <x:v>13</x:v>
      </x:c>
      <x:c r="S273" s="109" t="n">
        <x:v>5</x:v>
      </x:c>
      <x:c r="T273" s="109" t="n">
        <x:v>3</x:v>
      </x:c>
      <x:c r="U273" s="109" t="n">
        <x:v>8</x:v>
      </x:c>
      <x:c r="V273" s="109" t="n">
        <x:v>6</x:v>
      </x:c>
      <x:c r="W273" s="109" t="n">
        <x:f>AVERAGE(E273:V273)</x:f>
        <x:v>7.588235294117647</x:v>
      </x:c>
      <x:c r="X273" s="109" t="n">
        <x:f>MEDIAN(E273:V273)</x:f>
        <x:v>7</x:v>
      </x:c>
      <x:c r="Y273" s="109" t="n">
        <x:f>PERCENTILE.INC(E273:V273,0.25)</x:f>
        <x:v>5</x:v>
      </x:c>
      <x:c r="Z273" s="109" t="n">
        <x:f>STDEV.P(E273:V273)</x:f>
        <x:v>3.6791754755557387</x:v>
      </x:c>
      <x:c r="AA273" s="173" t="n">
        <x:f>IF(W273=0,"",Z273/ABS(W273))</x:f>
        <x:v>0.4848525820499811</x:v>
      </x:c>
      <x:c r="AB273" s="173" t="n">
        <x:f>IF(W273=0,0,(COUNTIF(E273:V273,"&lt;"&amp;0.5*W273)-COUNTBLANK(E273:V273))/COUNT(E273:V273))</x:f>
        <x:v>0.17647058823529413</x:v>
      </x:c>
      <x:c r="AC273" s="109" t="n">
        <x:f>SUM(E273:V273)</x:f>
        <x:v>129</x:v>
      </x:c>
    </x:row>
    <x:row r="274">
      <x:c r="A274" s="108" t="str">
        <x:v>K</x:v>
      </x:c>
      <x:c r="B274" s="108" t="str">
        <x:v>Andre Szmyt</x:v>
      </x:c>
      <x:c r="C274" s="108" t="str">
        <x:v>CLE</x:v>
      </x:c>
      <x:c r="D274" s="108" t="n">
        <x:v>9</x:v>
      </x:c>
      <x:c r="E274" s="109" t="n">
        <x:v>2</x:v>
      </x:c>
      <x:c r="F274" s="109" t="n">
        <x:v>5</x:v>
      </x:c>
      <x:c r="G274" s="109" t="n">
        <x:v>9</x:v>
      </x:c>
      <x:c r="H274" s="109" t="n">
        <x:v>4</x:v>
      </x:c>
      <x:c r="I274" s="109" t="n">
        <x:v>5</x:v>
      </x:c>
      <x:c r="J274" s="109" t="n">
        <x:v>11</x:v>
      </x:c>
      <x:c r="K274" s="109" t="n">
        <x:v>7</x:v>
      </x:c>
      <x:c r="L274" s="109" t="n">
        <x:v>1</x:v>
      </x:c>
      <x:c r="M274" s="109"/>
      <x:c r="N274" s="109" t="n">
        <x:v>9</x:v>
      </x:c>
      <x:c r="O274" s="109" t="n">
        <x:v>11</x:v>
      </x:c>
      <x:c r="P274" s="109" t="n">
        <x:v>8</x:v>
      </x:c>
      <x:c r="Q274" s="109" t="n">
        <x:v>0</x:v>
      </x:c>
      <x:c r="R274" s="109" t="n">
        <x:v>5</x:v>
      </x:c>
      <x:c r="S274" s="109" t="n">
        <x:v>5</x:v>
      </x:c>
      <x:c r="T274" s="109" t="n">
        <x:v>9</x:v>
      </x:c>
      <x:c r="U274" s="109" t="n">
        <x:v>9</x:v>
      </x:c>
      <x:c r="V274" s="109" t="n">
        <x:v>9</x:v>
      </x:c>
      <x:c r="W274" s="109" t="n">
        <x:f>AVERAGE(E274:V274)</x:f>
        <x:v>6.411764705882353</x:v>
      </x:c>
      <x:c r="X274" s="109" t="n">
        <x:f>MEDIAN(E274:V274)</x:f>
        <x:v>7</x:v>
      </x:c>
      <x:c r="Y274" s="109" t="n">
        <x:f>PERCENTILE.INC(E274:V274,0.25)</x:f>
        <x:v>5</x:v>
      </x:c>
      <x:c r="Z274" s="109" t="n">
        <x:f>STDEV.P(E274:V274)</x:f>
        <x:v>3.2730418219396604</x:v>
      </x:c>
      <x:c r="AA274" s="173" t="n">
        <x:f>IF(W274=0,"",Z274/ABS(W274))</x:f>
        <x:v>0.5104744125960938</x:v>
      </x:c>
      <x:c r="AB274" s="173" t="n">
        <x:f>IF(W274=0,0,(COUNTIF(E274:V274,"&lt;"&amp;0.5*W274)-COUNTBLANK(E274:V274))/COUNT(E274:V274))</x:f>
        <x:v>0.17647058823529413</x:v>
      </x:c>
      <x:c r="AC274" s="109" t="n">
        <x:f>SUM(E274:V274)</x:f>
        <x:v>109</x:v>
      </x:c>
    </x:row>
    <x:row r="275">
      <x:c r="A275" s="108" t="str">
        <x:v>K</x:v>
      </x:c>
      <x:c r="B275" s="108" t="str">
        <x:v>Chris Boswell</x:v>
      </x:c>
      <x:c r="C275" s="108" t="str">
        <x:v>PIT</x:v>
      </x:c>
      <x:c r="D275" s="108" t="n">
        <x:v>5</x:v>
      </x:c>
      <x:c r="E275" s="109" t="n">
        <x:v>14</x:v>
      </x:c>
      <x:c r="F275" s="109" t="n">
        <x:v>12</x:v>
      </x:c>
      <x:c r="G275" s="109" t="n">
        <x:v>3</x:v>
      </x:c>
      <x:c r="H275" s="109" t="n">
        <x:v>5</x:v>
      </x:c>
      <x:c r="I275" s="109"/>
      <x:c r="J275" s="109" t="n">
        <x:v>15</x:v>
      </x:c>
      <x:c r="K275" s="109" t="n">
        <x:v>8</x:v>
      </x:c>
      <x:c r="L275" s="109" t="n">
        <x:v>20</x:v>
      </x:c>
      <x:c r="M275" s="109" t="n">
        <x:v>10</x:v>
      </x:c>
      <x:c r="N275" s="109" t="n">
        <x:v>6</x:v>
      </x:c>
      <x:c r="O275" s="109" t="n">
        <x:v>10</x:v>
      </x:c>
      <x:c r="P275" s="109" t="n">
        <x:v>4</x:v>
      </x:c>
      <x:c r="Q275" s="109" t="n">
        <x:v>1</x:v>
      </x:c>
      <x:c r="R275" s="109" t="n">
        <x:v>9</x:v>
      </x:c>
      <x:c r="S275" s="109" t="n">
        <x:v>4</x:v>
      </x:c>
      <x:c r="T275" s="109" t="n">
        <x:v>10</x:v>
      </x:c>
      <x:c r="U275" s="109" t="n">
        <x:v>8</x:v>
      </x:c>
      <x:c r="V275" s="109" t="n">
        <x:v>8</x:v>
      </x:c>
      <x:c r="W275" s="109" t="n">
        <x:f>AVERAGE(E275:V275)</x:f>
        <x:v>8.647058823529411</x:v>
      </x:c>
      <x:c r="X275" s="109" t="n">
        <x:f>MEDIAN(E275:V275)</x:f>
        <x:v>8</x:v>
      </x:c>
      <x:c r="Y275" s="109" t="n">
        <x:f>PERCENTILE.INC(E275:V275,0.25)</x:f>
        <x:v>5</x:v>
      </x:c>
      <x:c r="Z275" s="109" t="n">
        <x:f>STDEV.P(E275:V275)</x:f>
        <x:v>4.664524141552708</x:v>
      </x:c>
      <x:c r="AA275" s="173" t="n">
        <x:f>IF(W275=0,"",Z275/ABS(W275))</x:f>
        <x:v>0.5394347646693609</x:v>
      </x:c>
      <x:c r="AB275" s="173" t="n">
        <x:f>IF(W275=0,0,(COUNTIF(E275:V275,"&lt;"&amp;0.5*W275)-COUNTBLANK(E275:V275))/COUNT(E275:V275))</x:f>
        <x:v>0.23529411764705882</x:v>
      </x:c>
      <x:c r="AC275" s="109" t="n">
        <x:f>SUM(E275:V275)</x:f>
        <x:v>147</x:v>
      </x:c>
    </x:row>
    <x:row r="276">
      <x:c r="A276" s="108" t="str">
        <x:v>K</x:v>
      </x:c>
      <x:c r="B276" s="108" t="str">
        <x:v>Chase McLaughlin</x:v>
      </x:c>
      <x:c r="C276" s="108" t="str">
        <x:v>TB</x:v>
      </x:c>
      <x:c r="D276" s="108" t="n">
        <x:v>9</x:v>
      </x:c>
      <x:c r="E276" s="109" t="n">
        <x:v>4</x:v>
      </x:c>
      <x:c r="F276" s="109" t="n">
        <x:v>1</x:v>
      </x:c>
      <x:c r="G276" s="109" t="n">
        <x:v>21</x:v>
      </x:c>
      <x:c r="H276" s="109" t="n">
        <x:v>16</x:v>
      </x:c>
      <x:c r="I276" s="109" t="n">
        <x:v>12</x:v>
      </x:c>
      <x:c r="J276" s="109" t="n">
        <x:v>7</x:v>
      </x:c>
      <x:c r="K276" s="109" t="n">
        <x:v>5</x:v>
      </x:c>
      <x:c r="L276" s="109" t="n">
        <x:v>17</x:v>
      </x:c>
      <x:c r="M276" s="109"/>
      <x:c r="N276" s="109" t="n">
        <x:v>5</x:v>
      </x:c>
      <x:c r="O276" s="109" t="n">
        <x:v>8</x:v>
      </x:c>
      <x:c r="P276" s="109" t="n">
        <x:v>1</x:v>
      </x:c>
      <x:c r="Q276" s="109" t="n">
        <x:v>10</x:v>
      </x:c>
      <x:c r="R276" s="109" t="n">
        <x:v>9</x:v>
      </x:c>
      <x:c r="S276" s="109" t="n">
        <x:v>11</x:v>
      </x:c>
      <x:c r="T276" s="109" t="n">
        <x:v>10</x:v>
      </x:c>
      <x:c r="U276" s="109" t="n">
        <x:v>5</x:v>
      </x:c>
      <x:c r="V276" s="109" t="n">
        <x:v>10</x:v>
      </x:c>
      <x:c r="W276" s="109" t="n">
        <x:f>AVERAGE(E276:V276)</x:f>
        <x:v>8.941176470588236</x:v>
      </x:c>
      <x:c r="X276" s="109" t="n">
        <x:f>MEDIAN(E276:V276)</x:f>
        <x:v>9</x:v>
      </x:c>
      <x:c r="Y276" s="109" t="n">
        <x:f>PERCENTILE.INC(E276:V276,0.25)</x:f>
        <x:v>5</x:v>
      </x:c>
      <x:c r="Z276" s="109" t="n">
        <x:f>STDEV.P(E276:V276)</x:f>
        <x:v>5.307825390932038</x:v>
      </x:c>
      <x:c r="AA276" s="173" t="n">
        <x:f>IF(W276=0,"",Z276/ABS(W276))</x:f>
        <x:v>0.5936383660910832</x:v>
      </x:c>
      <x:c r="AB276" s="173" t="n">
        <x:f>IF(W276=0,0,(COUNTIF(E276:V276,"&lt;"&amp;0.5*W276)-COUNTBLANK(E276:V276))/COUNT(E276:V276))</x:f>
        <x:v>0.17647058823529413</x:v>
      </x:c>
      <x:c r="AC276" s="109" t="n">
        <x:f>SUM(E276:V276)</x:f>
        <x:v>152</x:v>
      </x:c>
    </x:row>
    <x:row r="277">
      <x:c r="A277" s="108" t="str">
        <x:v>K</x:v>
      </x:c>
      <x:c r="B277" s="108" t="str">
        <x:v>Evan McPherson</x:v>
      </x:c>
      <x:c r="C277" s="108" t="str">
        <x:v>CIN</x:v>
      </x:c>
      <x:c r="D277" s="108" t="n">
        <x:v>10</x:v>
      </x:c>
      <x:c r="E277" s="109" t="n">
        <x:v>5</x:v>
      </x:c>
      <x:c r="F277" s="109" t="n">
        <x:v>7</x:v>
      </x:c>
      <x:c r="G277" s="109" t="n">
        <x:v>5</x:v>
      </x:c>
      <x:c r="H277" s="109" t="n">
        <x:v>3</x:v>
      </x:c>
      <x:c r="I277" s="109" t="n">
        <x:v>8</x:v>
      </x:c>
      <x:c r="J277" s="109" t="n">
        <x:v>5</x:v>
      </x:c>
      <x:c r="K277" s="109" t="n">
        <x:v>17</x:v>
      </x:c>
      <x:c r="L277" s="109" t="n">
        <x:v>8</x:v>
      </x:c>
      <x:c r="M277" s="109" t="n">
        <x:v>11</x:v>
      </x:c>
      <x:c r="N277" s="109"/>
      <x:c r="O277" s="109" t="n">
        <x:v>8</x:v>
      </x:c>
      <x:c r="P277" s="109" t="n">
        <x:v>12</x:v>
      </x:c>
      <x:c r="Q277" s="109" t="n">
        <x:v>24</x:v>
      </x:c>
      <x:c r="R277" s="109" t="n">
        <x:v>4</x:v>
      </x:c>
      <x:c r="S277" s="109" t="n">
        <x:v>0</x:v>
      </x:c>
      <x:c r="T277" s="109" t="n">
        <x:v>10</x:v>
      </x:c>
      <x:c r="U277" s="109" t="n">
        <x:v>7</x:v>
      </x:c>
      <x:c r="V277" s="109" t="n">
        <x:v>-4</x:v>
      </x:c>
      <x:c r="W277" s="109" t="n">
        <x:f>AVERAGE(E277:V277)</x:f>
        <x:v>7.647058823529412</x:v>
      </x:c>
      <x:c r="X277" s="109" t="n">
        <x:f>MEDIAN(E277:V277)</x:f>
        <x:v>7</x:v>
      </x:c>
      <x:c r="Y277" s="109" t="n">
        <x:f>PERCENTILE.INC(E277:V277,0.25)</x:f>
        <x:v>5</x:v>
      </x:c>
      <x:c r="Z277" s="109" t="n">
        <x:f>STDEV.P(E277:V277)</x:f>
        <x:v>6.1447364033885155</x:v>
      </x:c>
      <x:c r="AA277" s="173" t="n">
        <x:f>IF(W277=0,"",Z277/ABS(W277))</x:f>
        <x:v>0.8035424527508058</x:v>
      </x:c>
      <x:c r="AB277" s="173" t="n">
        <x:f>IF(W277=0,0,(COUNTIF(E277:V277,"&lt;"&amp;0.5*W277)-COUNTBLANK(E277:V277))/COUNT(E277:V277))</x:f>
        <x:v>0.17647058823529413</x:v>
      </x:c>
      <x:c r="AC277" s="109" t="n">
        <x:f>SUM(E277:V277)</x:f>
        <x:v>130</x:v>
      </x:c>
    </x:row>
    <x:row r="278">
      <x:c r="A278" s="108" t="str">
        <x:v>K</x:v>
      </x:c>
      <x:c r="B278" s="108" t="str">
        <x:v>Harrison Butker</x:v>
      </x:c>
      <x:c r="C278" s="108" t="str">
        <x:v>KC</x:v>
      </x:c>
      <x:c r="D278" s="108" t="n">
        <x:v>10</x:v>
      </x:c>
      <x:c r="E278" s="109" t="n">
        <x:v>9</x:v>
      </x:c>
      <x:c r="F278" s="109" t="n">
        <x:v>7</x:v>
      </x:c>
      <x:c r="G278" s="109" t="n">
        <x:v>11</x:v>
      </x:c>
      <x:c r="H278" s="109" t="n">
        <x:v>13</x:v>
      </x:c>
      <x:c r="I278" s="109" t="n">
        <x:v>4</x:v>
      </x:c>
      <x:c r="J278" s="109" t="n">
        <x:v>4</x:v>
      </x:c>
      <x:c r="K278" s="109" t="n">
        <x:v>7</x:v>
      </x:c>
      <x:c r="L278" s="109" t="n">
        <x:v>4</x:v>
      </x:c>
      <x:c r="M278" s="109" t="n">
        <x:v>8</x:v>
      </x:c>
      <x:c r="N278" s="109"/>
      <x:c r="O278" s="109" t="n">
        <x:v>5</x:v>
      </x:c>
      <x:c r="P278" s="109" t="n">
        <x:v>16</x:v>
      </x:c>
      <x:c r="Q278" s="109" t="n">
        <x:v>4</x:v>
      </x:c>
      <x:c r="R278" s="109" t="n">
        <x:v>4</x:v>
      </x:c>
      <x:c r="S278" s="109" t="n">
        <x:v>8</x:v>
      </x:c>
      <x:c r="T278" s="109" t="n">
        <x:v>12</x:v>
      </x:c>
      <x:c r="U278" s="109" t="n">
        <x:v>10</x:v>
      </x:c>
      <x:c r="V278" s="109" t="n">
        <x:v>15</x:v>
      </x:c>
      <x:c r="W278" s="109" t="n">
        <x:f>AVERAGE(E278:V278)</x:f>
        <x:v>8.294117647058824</x:v>
      </x:c>
      <x:c r="X278" s="109" t="n">
        <x:f>MEDIAN(E278:V278)</x:f>
        <x:v>8</x:v>
      </x:c>
      <x:c r="Y278" s="109" t="n">
        <x:f>PERCENTILE.INC(E278:V278,0.25)</x:f>
        <x:v>4</x:v>
      </x:c>
      <x:c r="Z278" s="109" t="n">
        <x:f>STDEV.P(E278:V278)</x:f>
        <x:v>3.892144515217239</x:v>
      </x:c>
      <x:c r="AA278" s="173" t="n">
        <x:f>IF(W278=0,"",Z278/ABS(W278))</x:f>
        <x:v>0.4692656507708728</x:v>
      </x:c>
      <x:c r="AB278" s="173" t="n">
        <x:f>IF(W278=0,0,(COUNTIF(E278:V278,"&lt;"&amp;0.5*W278)-COUNTBLANK(E278:V278))/COUNT(E278:V278))</x:f>
        <x:v>0.29411764705882354</x:v>
      </x:c>
      <x:c r="AC278" s="109" t="n">
        <x:f>SUM(E278:V278)</x:f>
        <x:v>141</x:v>
      </x:c>
    </x:row>
    <x:row r="279">
      <x:c r="A279" s="108" t="str">
        <x:v>K</x:v>
      </x:c>
      <x:c r="B279" s="108" t="str">
        <x:v>Wil Lutz</x:v>
      </x:c>
      <x:c r="C279" s="108" t="str">
        <x:v>DEN</x:v>
      </x:c>
      <x:c r="D279" s="108" t="n">
        <x:v>12</x:v>
      </x:c>
      <x:c r="E279" s="109" t="n">
        <x:v>8</x:v>
      </x:c>
      <x:c r="F279" s="109" t="n">
        <x:v>4</x:v>
      </x:c>
      <x:c r="G279" s="109" t="n">
        <x:v>9</x:v>
      </x:c>
      <x:c r="H279" s="109" t="n">
        <x:v>4</x:v>
      </x:c>
      <x:c r="I279" s="109" t="n">
        <x:v>9</x:v>
      </x:c>
      <x:c r="J279" s="109" t="n">
        <x:v>9</x:v>
      </x:c>
      <x:c r="K279" s="109" t="n">
        <x:v>5</x:v>
      </x:c>
      <x:c r="L279" s="109" t="n">
        <x:v>9</x:v>
      </x:c>
      <x:c r="M279" s="109" t="n">
        <x:v>4</x:v>
      </x:c>
      <x:c r="N279" s="109" t="n">
        <x:v>4</x:v>
      </x:c>
      <x:c r="O279" s="109" t="n">
        <x:v>18</x:v>
      </x:c>
      <x:c r="P279" s="109"/>
      <x:c r="Q279" s="109" t="n">
        <x:v>9</x:v>
      </x:c>
      <x:c r="R279" s="109" t="n">
        <x:v>6</x:v>
      </x:c>
      <x:c r="S279" s="109" t="n">
        <x:v>4</x:v>
      </x:c>
      <x:c r="T279" s="109" t="n">
        <x:v>10</x:v>
      </x:c>
      <x:c r="U279" s="109" t="n">
        <x:v>8</x:v>
      </x:c>
      <x:c r="V279" s="109" t="n">
        <x:v>14</x:v>
      </x:c>
      <x:c r="W279" s="109" t="n">
        <x:f>AVERAGE(E279:V279)</x:f>
        <x:v>7.882352941176471</x:v>
      </x:c>
      <x:c r="X279" s="109" t="n">
        <x:f>MEDIAN(E279:V279)</x:f>
        <x:v>8</x:v>
      </x:c>
      <x:c r="Y279" s="109" t="n">
        <x:f>PERCENTILE.INC(E279:V279,0.25)</x:f>
        <x:v>4</x:v>
      </x:c>
      <x:c r="Z279" s="109" t="n">
        <x:f>STDEV.P(E279:V279)</x:f>
        <x:v>3.7398073706476076</x:v>
      </x:c>
      <x:c r="AA279" s="173" t="n">
        <x:f>IF(W279=0,"",Z279/ABS(W279))</x:f>
        <x:v>0.4744531738881293</x:v>
      </x:c>
      <x:c r="AB279" s="173" t="n">
        <x:f>IF(W279=0,0,(COUNTIF(E279:V279,"&lt;"&amp;0.5*W279)-COUNTBLANK(E279:V279))/COUNT(E279:V279))</x:f>
        <x:v>0</x:v>
      </x:c>
      <x:c r="AC279" s="109" t="n">
        <x:f>SUM(E279:V279)</x:f>
        <x:v>134</x:v>
      </x:c>
    </x:row>
    <x:row r="280">
      <x:c r="A280" s="108" t="str">
        <x:v>K</x:v>
      </x:c>
      <x:c r="B280" s="108" t="str">
        <x:v>Chad Ryland</x:v>
      </x:c>
      <x:c r="C280" s="108" t="str">
        <x:v>ARI</x:v>
      </x:c>
      <x:c r="D280" s="108" t="n">
        <x:v>8</x:v>
      </x:c>
      <x:c r="E280" s="109" t="n">
        <x:v>11</x:v>
      </x:c>
      <x:c r="F280" s="109" t="n">
        <x:v>10</x:v>
      </x:c>
      <x:c r="G280" s="109" t="n">
        <x:v>7</x:v>
      </x:c>
      <x:c r="H280" s="109" t="n">
        <x:v>10</x:v>
      </x:c>
      <x:c r="I280" s="109" t="n">
        <x:v>3</x:v>
      </x:c>
      <x:c r="J280" s="109" t="n">
        <x:v>11</x:v>
      </x:c>
      <x:c r="K280" s="109" t="n">
        <x:v>12</x:v>
      </x:c>
      <x:c r="L280" s="109"/>
      <x:c r="M280" s="109" t="n">
        <x:v>10</x:v>
      </x:c>
      <x:c r="N280" s="109" t="n">
        <x:v>2</x:v>
      </x:c>
      <x:c r="O280" s="109" t="n">
        <x:v>4</x:v>
      </x:c>
      <x:c r="P280" s="109" t="n">
        <x:v>5</x:v>
      </x:c>
      <x:c r="Q280" s="109" t="n">
        <x:v>7</x:v>
      </x:c>
      <x:c r="R280" s="109" t="n">
        <x:v>5</x:v>
      </x:c>
      <x:c r="S280" s="109" t="n">
        <x:v>2</x:v>
      </x:c>
      <x:c r="T280" s="109" t="n">
        <x:v>17</x:v>
      </x:c>
      <x:c r="U280" s="109" t="n">
        <x:v>2</x:v>
      </x:c>
      <x:c r="V280" s="109" t="n">
        <x:v>11</x:v>
      </x:c>
      <x:c r="W280" s="109" t="n">
        <x:f>AVERAGE(E280:V280)</x:f>
        <x:v>7.588235294117647</x:v>
      </x:c>
      <x:c r="X280" s="109" t="n">
        <x:f>MEDIAN(E280:V280)</x:f>
        <x:v>7</x:v>
      </x:c>
      <x:c r="Y280" s="109" t="n">
        <x:f>PERCENTILE.INC(E280:V280,0.25)</x:f>
        <x:v>4</x:v>
      </x:c>
      <x:c r="Z280" s="109" t="n">
        <x:f>STDEV.P(E280:V280)</x:f>
        <x:v>4.215640674627981</x:v>
      </x:c>
      <x:c r="AA280" s="173" t="n">
        <x:f>IF(W280=0,"",Z280/ABS(W280))</x:f>
        <x:v>0.5555495462688037</x:v>
      </x:c>
      <x:c r="AB280" s="173" t="n">
        <x:f>IF(W280=0,0,(COUNTIF(E280:V280,"&lt;"&amp;0.5*W280)-COUNTBLANK(E280:V280))/COUNT(E280:V280))</x:f>
        <x:v>0.23529411764705882</x:v>
      </x:c>
      <x:c r="AC280" s="109" t="n">
        <x:f>SUM(E280:V280)</x:f>
        <x:v>129</x:v>
      </x:c>
    </x:row>
    <x:row r="281">
      <x:c r="A281" s="108" t="str">
        <x:v>K</x:v>
      </x:c>
      <x:c r="B281" s="108" t="str">
        <x:v>Jake Elliott</x:v>
      </x:c>
      <x:c r="C281" s="108" t="str">
        <x:v>PHI</x:v>
      </x:c>
      <x:c r="D281" s="108" t="n">
        <x:v>9</x:v>
      </x:c>
      <x:c r="E281" s="109" t="n">
        <x:v>8</x:v>
      </x:c>
      <x:c r="F281" s="109" t="n">
        <x:v>12</x:v>
      </x:c>
      <x:c r="G281" s="109" t="n">
        <x:v>3</x:v>
      </x:c>
      <x:c r="H281" s="109" t="n">
        <x:v>7</x:v>
      </x:c>
      <x:c r="I281" s="109" t="n">
        <x:v>5</x:v>
      </x:c>
      <x:c r="J281" s="109" t="n">
        <x:v>6</x:v>
      </x:c>
      <x:c r="K281" s="109" t="n">
        <x:v>4</x:v>
      </x:c>
      <x:c r="L281" s="109" t="n">
        <x:v>9</x:v>
      </x:c>
      <x:c r="M281" s="109"/>
      <x:c r="N281" s="109" t="n">
        <x:v>4</x:v>
      </x:c>
      <x:c r="O281" s="109" t="n">
        <x:v>11</x:v>
      </x:c>
      <x:c r="P281" s="109" t="n">
        <x:v>3</x:v>
      </x:c>
      <x:c r="Q281" s="109" t="n">
        <x:v>2</x:v>
      </x:c>
      <x:c r="R281" s="109" t="n">
        <x:v>17</x:v>
      </x:c>
      <x:c r="S281" s="109" t="n">
        <x:v>7</x:v>
      </x:c>
      <x:c r="T281" s="109" t="n">
        <x:v>3</x:v>
      </x:c>
      <x:c r="U281" s="109" t="n">
        <x:v>8</x:v>
      </x:c>
      <x:c r="V281" s="109" t="n">
        <x:v>5</x:v>
      </x:c>
      <x:c r="W281" s="109" t="n">
        <x:f>AVERAGE(E281:V281)</x:f>
        <x:v>6.705882352941177</x:v>
      </x:c>
      <x:c r="X281" s="109" t="n">
        <x:f>MEDIAN(E281:V281)</x:f>
        <x:v>6</x:v>
      </x:c>
      <x:c r="Y281" s="109" t="n">
        <x:f>PERCENTILE.INC(E281:V281,0.25)</x:f>
        <x:v>4</x:v>
      </x:c>
      <x:c r="Z281" s="109" t="n">
        <x:f>STDEV.P(E281:V281)</x:f>
        <x:v>3.8003824247560223</x:v>
      </x:c>
      <x:c r="AA281" s="173" t="n">
        <x:f>IF(W281=0,"",Z281/ABS(W281))</x:f>
        <x:v>0.5667236949197577</x:v>
      </x:c>
      <x:c r="AB281" s="173" t="n">
        <x:f>IF(W281=0,0,(COUNTIF(E281:V281,"&lt;"&amp;0.5*W281)-COUNTBLANK(E281:V281))/COUNT(E281:V281))</x:f>
        <x:v>0.23529411764705882</x:v>
      </x:c>
      <x:c r="AC281" s="109" t="n">
        <x:f>SUM(E281:V281)</x:f>
        <x:v>114</x:v>
      </x:c>
    </x:row>
    <x:row r="282">
      <x:c r="A282" s="108" t="str">
        <x:v>K</x:v>
      </x:c>
      <x:c r="B282" s="108" t="str">
        <x:v>Blake Grupe</x:v>
      </x:c>
      <x:c r="C282" s="108" t="str">
        <x:v>IND/NO</x:v>
      </x:c>
      <x:c r="D282" s="108" t="n">
        <x:v>11</x:v>
      </x:c>
      <x:c r="E282" s="109" t="n">
        <x:v>6</x:v>
      </x:c>
      <x:c r="F282" s="109" t="n">
        <x:v>3</x:v>
      </x:c>
      <x:c r="G282" s="109" t="n">
        <x:v>7</x:v>
      </x:c>
      <x:c r="H282" s="109" t="n">
        <x:v>9</x:v>
      </x:c>
      <x:c r="I282" s="109" t="n">
        <x:v>16</x:v>
      </x:c>
      <x:c r="J282" s="109" t="n">
        <x:v>16</x:v>
      </x:c>
      <x:c r="K282" s="109" t="n">
        <x:v>2</x:v>
      </x:c>
      <x:c r="L282" s="109" t="n">
        <x:v>4</x:v>
      </x:c>
      <x:c r="M282" s="109" t="n">
        <x:v>4</x:v>
      </x:c>
      <x:c r="N282" s="109" t="n">
        <x:v>5</x:v>
      </x:c>
      <x:c r="O282" s="109"/>
      <x:c r="P282" s="109" t="n">
        <x:v>3</x:v>
      </x:c>
      <x:c r="Q282" s="109" t="n">
        <x:v>0</x:v>
      </x:c>
      <x:c r="R282" s="109" t="n">
        <x:v>7</x:v>
      </x:c>
      <x:c r="S282" s="109" t="n">
        <x:v>15</x:v>
      </x:c>
      <x:c r="T282" s="109" t="n">
        <x:v>11</x:v>
      </x:c>
      <x:c r="U282" s="109" t="n">
        <x:v>5</x:v>
      </x:c>
      <x:c r="V282" s="109" t="n">
        <x:v>14</x:v>
      </x:c>
      <x:c r="W282" s="109" t="n">
        <x:f>AVERAGE(E282:V282)</x:f>
        <x:v>7.470588235294118</x:v>
      </x:c>
      <x:c r="X282" s="109" t="n">
        <x:f>MEDIAN(E282:V282)</x:f>
        <x:v>6</x:v>
      </x:c>
      <x:c r="Y282" s="109" t="n">
        <x:f>PERCENTILE.INC(E282:V282,0.25)</x:f>
        <x:v>4</x:v>
      </x:c>
      <x:c r="Z282" s="109" t="n">
        <x:f>STDEV.P(E282:V282)</x:f>
        <x:v>4.995499704838152</x:v>
      </x:c>
      <x:c r="AA282" s="173" t="n">
        <x:f>IF(W282=0,"",Z282/ABS(W282))</x:f>
        <x:v>0.668688936868099</x:v>
      </x:c>
      <x:c r="AB282" s="173" t="n">
        <x:f>IF(W282=0,0,(COUNTIF(E282:V282,"&lt;"&amp;0.5*W282)-COUNTBLANK(E282:V282))/COUNT(E282:V282))</x:f>
        <x:v>0.23529411764705882</x:v>
      </x:c>
      <x:c r="AC282" s="109" t="n">
        <x:f>SUM(E282:V282)</x:f>
        <x:v>127</x:v>
      </x:c>
    </x:row>
    <x:row r="283">
      <x:c r="A283" s="108" t="str">
        <x:v>K</x:v>
      </x:c>
      <x:c r="B283" s="108" t="str">
        <x:v>Matt Prater</x:v>
      </x:c>
      <x:c r="C283" s="108" t="str">
        <x:v>BUF</x:v>
      </x:c>
      <x:c r="D283" s="108" t="n">
        <x:v>7</x:v>
      </x:c>
      <x:c r="E283" s="109" t="n">
        <x:v>12</x:v>
      </x:c>
      <x:c r="F283" s="109" t="n">
        <x:v>14</x:v>
      </x:c>
      <x:c r="G283" s="109" t="n">
        <x:v>7</x:v>
      </x:c>
      <x:c r="H283" s="109" t="n">
        <x:v>7</x:v>
      </x:c>
      <x:c r="I283" s="109" t="n">
        <x:v>9</x:v>
      </x:c>
      <x:c r="J283" s="109" t="n">
        <x:v>2</x:v>
      </x:c>
      <x:c r="K283" s="109"/>
      <x:c r="L283" s="109" t="n">
        <x:v>10</x:v>
      </x:c>
      <x:c r="M283" s="109" t="n">
        <x:v>4</x:v>
      </x:c>
      <x:c r="N283" s="109" t="n">
        <x:v>1</x:v>
      </x:c>
      <x:c r="O283" s="109" t="n">
        <x:v>8</x:v>
      </x:c>
      <x:c r="P283" s="109" t="n">
        <x:v>6</x:v>
      </x:c>
      <x:c r="Q283" s="109" t="n">
        <x:v>6</x:v>
      </x:c>
      <x:c r="R283" s="109" t="n">
        <x:v>7</x:v>
      </x:c>
      <x:c r="S283" s="109" t="n">
        <x:v>5</x:v>
      </x:c>
      <x:c r="T283" s="109" t="n">
        <x:v>0</x:v>
      </x:c>
      <x:c r="U283" s="109" t="n">
        <x:v>0</x:v>
      </x:c>
      <x:c r="V283" s="109" t="n">
        <x:v>3</x:v>
      </x:c>
      <x:c r="W283" s="109" t="n">
        <x:f>AVERAGE(E283:V283)</x:f>
        <x:v>5.9411764705882355</x:v>
      </x:c>
      <x:c r="X283" s="109" t="n">
        <x:f>MEDIAN(E283:V283)</x:f>
        <x:v>6</x:v>
      </x:c>
      <x:c r="Y283" s="109" t="n">
        <x:f>PERCENTILE.INC(E283:V283,0.25)</x:f>
        <x:v>3</x:v>
      </x:c>
      <x:c r="Z283" s="109" t="n">
        <x:f>STDEV.P(E283:V283)</x:f>
        <x:v>3.9027982153878518</x:v>
      </x:c>
      <x:c r="AA283" s="173" t="n">
        <x:f>IF(W283=0,"",Z283/ABS(W283))</x:f>
        <x:v>0.6569066303128067</x:v>
      </x:c>
      <x:c r="AB283" s="173" t="n">
        <x:f>IF(W283=0,0,(COUNTIF(E283:V283,"&lt;"&amp;0.5*W283)-COUNTBLANK(E283:V283))/COUNT(E283:V283))</x:f>
        <x:v>0.23529411764705882</x:v>
      </x:c>
      <x:c r="AC283" s="109" t="n">
        <x:f>SUM(E283:V283)</x:f>
        <x:v>101</x:v>
      </x:c>
    </x:row>
    <x:row r="284">
      <x:c r="A284" s="108" t="str">
        <x:v>K</x:v>
      </x:c>
      <x:c r="B284" s="108" t="str">
        <x:v>Joey Slye</x:v>
      </x:c>
      <x:c r="C284" s="108" t="str">
        <x:v>TEN</x:v>
      </x:c>
      <x:c r="D284" s="108" t="n">
        <x:v>10</x:v>
      </x:c>
      <x:c r="E284" s="109" t="n">
        <x:v>15</x:v>
      </x:c>
      <x:c r="F284" s="109" t="n">
        <x:v>17</x:v>
      </x:c>
      <x:c r="G284" s="109" t="n">
        <x:v>11</x:v>
      </x:c>
      <x:c r="H284" s="109" t="n">
        <x:v>0</x:v>
      </x:c>
      <x:c r="I284" s="109" t="n">
        <x:v>11</x:v>
      </x:c>
      <x:c r="J284" s="109" t="n">
        <x:v>0</x:v>
      </x:c>
      <x:c r="K284" s="109" t="n">
        <x:v>10</x:v>
      </x:c>
      <x:c r="L284" s="109" t="n">
        <x:v>2</x:v>
      </x:c>
      <x:c r="M284" s="109" t="n">
        <x:v>9</x:v>
      </x:c>
      <x:c r="N284" s="109"/>
      <x:c r="O284" s="109" t="n">
        <x:v>10</x:v>
      </x:c>
      <x:c r="P284" s="109" t="n">
        <x:v>6</x:v>
      </x:c>
      <x:c r="Q284" s="109" t="n">
        <x:v>3</x:v>
      </x:c>
      <x:c r="R284" s="109" t="n">
        <x:v>8</x:v>
      </x:c>
      <x:c r="S284" s="109" t="n">
        <x:v>6</x:v>
      </x:c>
      <x:c r="T284" s="109" t="n">
        <x:v>6</x:v>
      </x:c>
      <x:c r="U284" s="109" t="n">
        <x:v>18</x:v>
      </x:c>
      <x:c r="V284" s="109" t="n">
        <x:v>1</x:v>
      </x:c>
      <x:c r="W284" s="109" t="n">
        <x:f>AVERAGE(E284:V284)</x:f>
        <x:v>7.823529411764706</x:v>
      </x:c>
      <x:c r="X284" s="109" t="n">
        <x:f>MEDIAN(E284:V284)</x:f>
        <x:v>8</x:v>
      </x:c>
      <x:c r="Y284" s="109" t="n">
        <x:f>PERCENTILE.INC(E284:V284,0.25)</x:f>
        <x:v>3</x:v>
      </x:c>
      <x:c r="Z284" s="109" t="n">
        <x:f>STDEV.P(E284:V284)</x:f>
        <x:v>5.458240333958608</x:v>
      </x:c>
      <x:c r="AA284" s="173" t="n">
        <x:f>IF(W284=0,"",Z284/ABS(W284))</x:f>
        <x:v>0.697669817122529</x:v>
      </x:c>
      <x:c r="AB284" s="173" t="n">
        <x:f>IF(W284=0,0,(COUNTIF(E284:V284,"&lt;"&amp;0.5*W284)-COUNTBLANK(E284:V284))/COUNT(E284:V284))</x:f>
        <x:v>0.29411764705882354</x:v>
      </x:c>
      <x:c r="AC284" s="109" t="n">
        <x:f>SUM(E284:V284)</x:f>
        <x:v>133</x:v>
      </x:c>
    </x:row>
    <x:row r="285">
      <x:c r="A285" s="108" t="str">
        <x:v>K</x:v>
      </x:c>
      <x:c r="B285" s="108" t="str">
        <x:v>Brandon McManus</x:v>
      </x:c>
      <x:c r="C285" s="108" t="str">
        <x:v>GB</x:v>
      </x:c>
      <x:c r="D285" s="108" t="n">
        <x:v>5</x:v>
      </x:c>
      <x:c r="E285" s="109" t="n">
        <x:v>9</x:v>
      </x:c>
      <x:c r="F285" s="109" t="n">
        <x:v>11</x:v>
      </x:c>
      <x:c r="G285" s="109" t="n">
        <x:v>4</x:v>
      </x:c>
      <x:c r="H285" s="109" t="n">
        <x:v>10</x:v>
      </x:c>
      <x:c r="I285" s="109"/>
      <x:c r="J285" s="109" t="n">
        <x:v>0</x:v>
      </x:c>
      <x:c r="K285" s="109" t="n">
        <x:v>0</x:v>
      </x:c>
      <x:c r="L285" s="109" t="n">
        <x:v>9</x:v>
      </x:c>
      <x:c r="M285" s="109" t="n">
        <x:v>8</x:v>
      </x:c>
      <x:c r="N285" s="109" t="n">
        <x:v>1</x:v>
      </x:c>
      <x:c r="O285" s="109" t="n">
        <x:v>0</x:v>
      </x:c>
      <x:c r="P285" s="109" t="n">
        <x:v>12</x:v>
      </x:c>
      <x:c r="Q285" s="109" t="n">
        <x:v>8</x:v>
      </x:c>
      <x:c r="R285" s="109" t="n">
        <x:v>4</x:v>
      </x:c>
      <x:c r="S285" s="109" t="n">
        <x:v>16</x:v>
      </x:c>
      <x:c r="T285" s="109" t="n">
        <x:v>10</x:v>
      </x:c>
      <x:c r="U285" s="109" t="n">
        <x:v>6</x:v>
      </x:c>
      <x:c r="V285" s="109" t="n">
        <x:v>3</x:v>
      </x:c>
      <x:c r="W285" s="109" t="n">
        <x:f>AVERAGE(E285:V285)</x:f>
        <x:v>6.529411764705882</x:v>
      </x:c>
      <x:c r="X285" s="109" t="n">
        <x:f>MEDIAN(E285:V285)</x:f>
        <x:v>8</x:v>
      </x:c>
      <x:c r="Y285" s="109" t="n">
        <x:f>PERCENTILE.INC(E285:V285,0.25)</x:f>
        <x:v>3</x:v>
      </x:c>
      <x:c r="Z285" s="109" t="n">
        <x:f>STDEV.P(E285:V285)</x:f>
        <x:v>4.628780134801413</x:v>
      </x:c>
      <x:c r="AA285" s="173" t="n">
        <x:f>IF(W285=0,"",Z285/ABS(W285))</x:f>
        <x:v>0.7089122728975137</x:v>
      </x:c>
      <x:c r="AB285" s="173" t="n">
        <x:f>IF(W285=0,0,(COUNTIF(E285:V285,"&lt;"&amp;0.5*W285)-COUNTBLANK(E285:V285))/COUNT(E285:V285))</x:f>
        <x:v>0.29411764705882354</x:v>
      </x:c>
      <x:c r="AC285" s="109" t="n">
        <x:f>SUM(E285:V285)</x:f>
        <x:v>111</x:v>
      </x:c>
    </x:row>
    <x:row r="286">
      <x:c r="A286" s="108" t="str">
        <x:v>K</x:v>
      </x:c>
      <x:c r="B286" s="108" t="str">
        <x:v>Daniel Carlson</x:v>
      </x:c>
      <x:c r="C286" s="108" t="str">
        <x:v>LV</x:v>
      </x:c>
      <x:c r="D286" s="108" t="n">
        <x:v>8</x:v>
      </x:c>
      <x:c r="E286" s="109" t="n">
        <x:v>11</x:v>
      </x:c>
      <x:c r="F286" s="109" t="n">
        <x:v>12</x:v>
      </x:c>
      <x:c r="G286" s="109" t="n">
        <x:v>4</x:v>
      </x:c>
      <x:c r="H286" s="109" t="n">
        <x:v>6</x:v>
      </x:c>
      <x:c r="I286" s="109" t="n">
        <x:v>6</x:v>
      </x:c>
      <x:c r="J286" s="109" t="n">
        <x:v>10</x:v>
      </x:c>
      <x:c r="K286" s="109" t="n">
        <x:v>0</x:v>
      </x:c>
      <x:c r="L286" s="109"/>
      <x:c r="M286" s="109" t="n">
        <x:v>3</x:v>
      </x:c>
      <x:c r="N286" s="109" t="n">
        <x:v>1</x:v>
      </x:c>
      <x:c r="O286" s="109" t="n">
        <x:v>11</x:v>
      </x:c>
      <x:c r="P286" s="109" t="n">
        <x:v>5</x:v>
      </x:c>
      <x:c r="Q286" s="109" t="n">
        <x:v>2</x:v>
      </x:c>
      <x:c r="R286" s="109" t="n">
        <x:v>6</x:v>
      </x:c>
      <x:c r="S286" s="109" t="n">
        <x:v>0</x:v>
      </x:c>
      <x:c r="T286" s="109" t="n">
        <x:v>3</x:v>
      </x:c>
      <x:c r="U286" s="109" t="n">
        <x:v>5</x:v>
      </x:c>
      <x:c r="V286" s="109" t="n">
        <x:v>16</x:v>
      </x:c>
      <x:c r="W286" s="109" t="n">
        <x:f>AVERAGE(E286:V286)</x:f>
        <x:v>5.9411764705882355</x:v>
      </x:c>
      <x:c r="X286" s="109" t="n">
        <x:f>MEDIAN(E286:V286)</x:f>
        <x:v>5</x:v>
      </x:c>
      <x:c r="Y286" s="109" t="n">
        <x:f>PERCENTILE.INC(E286:V286,0.25)</x:f>
        <x:v>3</x:v>
      </x:c>
      <x:c r="Z286" s="109" t="n">
        <x:f>STDEV.P(E286:V286)</x:f>
        <x:v>4.465166991611376</x:v>
      </x:c>
      <x:c r="AA286" s="173" t="n">
        <x:f>IF(W286=0,"",Z286/ABS(W286))</x:f>
        <x:v>0.751562760964291</x:v>
      </x:c>
      <x:c r="AB286" s="173" t="n">
        <x:f>IF(W286=0,0,(COUNTIF(E286:V286,"&lt;"&amp;0.5*W286)-COUNTBLANK(E286:V286))/COUNT(E286:V286))</x:f>
        <x:v>0.23529411764705882</x:v>
      </x:c>
      <x:c r="AC286" s="109" t="n">
        <x:f>SUM(E286:V286)</x:f>
        <x:v>101</x:v>
      </x:c>
    </x:row>
    <x:row r="287">
      <x:c r="A287" s="108" t="str">
        <x:v>K</x:v>
      </x:c>
      <x:c r="B287" s="108" t="str">
        <x:v>Ryan Fitzgerald</x:v>
      </x:c>
      <x:c r="C287" s="108" t="str">
        <x:v>CAR</x:v>
      </x:c>
      <x:c r="D287" s="108" t="n">
        <x:v>14</x:v>
      </x:c>
      <x:c r="E287" s="109" t="n">
        <x:v>5</x:v>
      </x:c>
      <x:c r="F287" s="109" t="n">
        <x:v>4</x:v>
      </x:c>
      <x:c r="G287" s="109" t="n">
        <x:v>15</x:v>
      </x:c>
      <x:c r="H287" s="109" t="n">
        <x:v>-1</x:v>
      </x:c>
      <x:c r="I287" s="109" t="n">
        <x:v>10</x:v>
      </x:c>
      <x:c r="J287" s="109" t="n">
        <x:v>14</x:v>
      </x:c>
      <x:c r="K287" s="109" t="n">
        <x:v>7</x:v>
      </x:c>
      <x:c r="L287" s="109" t="n">
        <x:v>1</x:v>
      </x:c>
      <x:c r="M287" s="109" t="n">
        <x:v>3</x:v>
      </x:c>
      <x:c r="N287" s="109" t="n">
        <x:v>1</x:v>
      </x:c>
      <x:c r="O287" s="109" t="n">
        <x:v>10</x:v>
      </x:c>
      <x:c r="P287" s="109" t="n">
        <x:v>3</x:v>
      </x:c>
      <x:c r="Q287" s="109" t="n">
        <x:v>7</x:v>
      </x:c>
      <x:c r="R287" s="109"/>
      <x:c r="S287" s="109" t="n">
        <x:v>6</x:v>
      </x:c>
      <x:c r="T287" s="109" t="n">
        <x:v>13</x:v>
      </x:c>
      <x:c r="U287" s="109" t="n">
        <x:v>4</x:v>
      </x:c>
      <x:c r="V287" s="109" t="n">
        <x:v>2</x:v>
      </x:c>
      <x:c r="W287" s="109" t="n">
        <x:f>AVERAGE(E287:V287)</x:f>
        <x:v>6.117647058823529</x:v>
      </x:c>
      <x:c r="X287" s="109" t="n">
        <x:f>MEDIAN(E287:V287)</x:f>
        <x:v>5</x:v>
      </x:c>
      <x:c r="Y287" s="109" t="n">
        <x:f>PERCENTILE.INC(E287:V287,0.25)</x:f>
        <x:v>3</x:v>
      </x:c>
      <x:c r="Z287" s="109" t="n">
        <x:f>STDEV.P(E287:V287)</x:f>
        <x:v>4.663782268921129</x:v>
      </x:c>
      <x:c r="AA287" s="173" t="n">
        <x:f>IF(W287=0,"",Z287/ABS(W287))</x:f>
        <x:v>0.7623490247274923</x:v>
      </x:c>
      <x:c r="AB287" s="173" t="n">
        <x:f>IF(W287=0,0,(COUNTIF(E287:V287,"&lt;"&amp;0.5*W287)-COUNTBLANK(E287:V287))/COUNT(E287:V287))</x:f>
        <x:v>0.35294117647058826</x:v>
      </x:c>
      <x:c r="AC287" s="109" t="n">
        <x:f>SUM(E287:V287)</x:f>
        <x:v>104</x:v>
      </x:c>
    </x:row>
    <x:row r="288">
      <x:c r="A288" s="108" t="str">
        <x:v>K</x:v>
      </x:c>
      <x:c r="B288" s="108" t="str">
        <x:v>Eddy Pineiro</x:v>
      </x:c>
      <x:c r="C288" s="108" t="str">
        <x:v>SF</x:v>
      </x:c>
      <x:c r="D288" s="108" t="n">
        <x:v>14</x:v>
      </x:c>
      <x:c r="E288" s="109" t="n">
        <x:v>0</x:v>
      </x:c>
      <x:c r="F288" s="109" t="n">
        <x:v>8</x:v>
      </x:c>
      <x:c r="G288" s="109" t="n">
        <x:v>12</x:v>
      </x:c>
      <x:c r="H288" s="109" t="n">
        <x:v>7</x:v>
      </x:c>
      <x:c r="I288" s="109" t="n">
        <x:v>17</x:v>
      </x:c>
      <x:c r="J288" s="109" t="n">
        <x:v>18</x:v>
      </x:c>
      <x:c r="K288" s="109" t="n">
        <x:v>11</x:v>
      </x:c>
      <x:c r="L288" s="109" t="n">
        <x:v>1</x:v>
      </x:c>
      <x:c r="M288" s="109" t="n">
        <x:v>12</x:v>
      </x:c>
      <x:c r="N288" s="109" t="n">
        <x:v>0</x:v>
      </x:c>
      <x:c r="O288" s="109" t="n">
        <x:v>10</x:v>
      </x:c>
      <x:c r="P288" s="109" t="n">
        <x:v>0</x:v>
      </x:c>
      <x:c r="Q288" s="109" t="n">
        <x:v>0</x:v>
      </x:c>
      <x:c r="R288" s="109"/>
      <x:c r="S288" s="109" t="n">
        <x:v>14</x:v>
      </x:c>
      <x:c r="T288" s="109" t="n">
        <x:v>12</x:v>
      </x:c>
      <x:c r="U288" s="109" t="n">
        <x:v>6</x:v>
      </x:c>
      <x:c r="V288" s="109" t="n">
        <x:v>4</x:v>
      </x:c>
      <x:c r="W288" s="109" t="n">
        <x:f>AVERAGE(E288:V288)</x:f>
        <x:v>7.764705882352941</x:v>
      </x:c>
      <x:c r="X288" s="109" t="n">
        <x:f>MEDIAN(E288:V288)</x:f>
        <x:v>8</x:v>
      </x:c>
      <x:c r="Y288" s="109" t="n">
        <x:f>PERCENTILE.INC(E288:V288,0.25)</x:f>
        <x:v>1</x:v>
      </x:c>
      <x:c r="Z288" s="109" t="n">
        <x:f>STDEV.P(E288:V288)</x:f>
        <x:v>5.956009439457477</x:v>
      </x:c>
      <x:c r="AA288" s="173" t="n">
        <x:f>IF(W288=0,"",Z288/ABS(W288))</x:f>
        <x:v>0.7670618217483115</x:v>
      </x:c>
      <x:c r="AB288" s="173" t="n">
        <x:f>IF(W288=0,0,(COUNTIF(E288:V288,"&lt;"&amp;0.5*W288)-COUNTBLANK(E288:V288))/COUNT(E288:V288))</x:f>
        <x:v>0.29411764705882354</x:v>
      </x:c>
      <x:c r="AC288" s="109" t="n">
        <x:f>SUM(E288:V288)</x:f>
        <x:v>132</x:v>
      </x:c>
    </x:row>
    <x:row r="289">
      <x:c r="A289" s="108" t="str">
        <x:v>K</x:v>
      </x:c>
      <x:c r="B289" s="108" t="str">
        <x:v>Zane Gonzalez</x:v>
      </x:c>
      <x:c r="C289" s="108" t="str">
        <x:v>ATL</x:v>
      </x:c>
      <x:c r="D289" s="108" t="n">
        <x:v>5</x:v>
      </x:c>
      <x:c r="E289" s="109" t="n">
        <x:v>0</x:v>
      </x:c>
      <x:c r="F289" s="109" t="n">
        <x:v>0</x:v>
      </x:c>
      <x:c r="G289" s="109" t="n">
        <x:v>0</x:v>
      </x:c>
      <x:c r="H289" s="109" t="n">
        <x:v>0</x:v>
      </x:c>
      <x:c r="I289" s="109"/>
      <x:c r="J289" s="109" t="n">
        <x:v>0</x:v>
      </x:c>
      <x:c r="K289" s="109" t="n">
        <x:v>0</x:v>
      </x:c>
      <x:c r="L289" s="109" t="n">
        <x:v>0</x:v>
      </x:c>
      <x:c r="M289" s="109" t="n">
        <x:v>0</x:v>
      </x:c>
      <x:c r="N289" s="109" t="n">
        <x:v>6</x:v>
      </x:c>
      <x:c r="O289" s="109" t="n">
        <x:v>12</x:v>
      </x:c>
      <x:c r="P289" s="109" t="n">
        <x:v>15</x:v>
      </x:c>
      <x:c r="Q289" s="109" t="n">
        <x:v>8</x:v>
      </x:c>
      <x:c r="R289" s="109" t="n">
        <x:v>10</x:v>
      </x:c>
      <x:c r="S289" s="109" t="n">
        <x:v>6</x:v>
      </x:c>
      <x:c r="T289" s="109" t="n">
        <x:v>8</x:v>
      </x:c>
      <x:c r="U289" s="109" t="n">
        <x:v>12</x:v>
      </x:c>
      <x:c r="V289" s="109" t="n">
        <x:v>16</x:v>
      </x:c>
      <x:c r="W289" s="109" t="n">
        <x:f>AVERAGE(E289:V289)</x:f>
        <x:v>5.470588235294118</x:v>
      </x:c>
      <x:c r="X289" s="109" t="n">
        <x:f>MEDIAN(E289:V289)</x:f>
        <x:v>6</x:v>
      </x:c>
      <x:c r="Y289" s="109" t="n">
        <x:f>PERCENTILE.INC(E289:V289,0.25)</x:f>
        <x:v>0</x:v>
      </x:c>
      <x:c r="Z289" s="109" t="n">
        <x:f>STDEV.P(E289:V289)</x:f>
        <x:v>5.740646070002754</x:v>
      </x:c>
      <x:c r="AA289" s="173" t="n">
        <x:f>IF(W289=0,"",Z289/ABS(W289))</x:f>
        <x:v>1.0493654106456647</x:v>
      </x:c>
      <x:c r="AB289" s="173" t="n">
        <x:f>IF(W289=0,0,(COUNTIF(E289:V289,"&lt;"&amp;0.5*W289)-COUNTBLANK(E289:V289))/COUNT(E289:V289))</x:f>
        <x:v>0.47058823529411764</x:v>
      </x:c>
      <x:c r="AC289" s="109" t="n">
        <x:f>SUM(E289:V289)</x:f>
        <x:v>93</x:v>
      </x:c>
    </x:row>
    <x:row r="290">
      <x:c r="A290" s="108" t="str">
        <x:v>K</x:v>
      </x:c>
      <x:c r="B290" s="108" t="str">
        <x:v>Matt Gay</x:v>
      </x:c>
      <x:c r="C290" s="108" t="str">
        <x:v>SF/WSH</x:v>
      </x:c>
      <x:c r="D290" s="108" t="n">
        <x:v>12</x:v>
      </x:c>
      <x:c r="E290" s="109" t="n">
        <x:v>3</x:v>
      </x:c>
      <x:c r="F290" s="109" t="n">
        <x:v>6</x:v>
      </x:c>
      <x:c r="G290" s="109" t="n">
        <x:v>13</x:v>
      </x:c>
      <x:c r="H290" s="109" t="n">
        <x:v>18</x:v>
      </x:c>
      <x:c r="I290" s="109" t="n">
        <x:v>9</x:v>
      </x:c>
      <x:c r="J290" s="109" t="n">
        <x:v>8</x:v>
      </x:c>
      <x:c r="K290" s="109" t="n">
        <x:v>2</x:v>
      </x:c>
      <x:c r="L290" s="109" t="n">
        <x:v>0</x:v>
      </x:c>
      <x:c r="M290" s="109" t="n">
        <x:v>2</x:v>
      </x:c>
      <x:c r="N290" s="109" t="n">
        <x:v>5</x:v>
      </x:c>
      <x:c r="O290" s="109" t="n">
        <x:v>7</x:v>
      </x:c>
      <x:c r="P290" s="109"/>
      <x:c r="Q290" s="109" t="n">
        <x:v>8</x:v>
      </x:c>
      <x:c r="R290" s="109" t="n">
        <x:v>0</x:v>
      </x:c>
      <x:c r="S290" s="109" t="n">
        <x:v>0</x:v>
      </x:c>
      <x:c r="T290" s="109" t="n">
        <x:v>0</x:v>
      </x:c>
      <x:c r="U290" s="109" t="n">
        <x:v>0</x:v>
      </x:c>
      <x:c r="V290" s="109" t="n">
        <x:v>0</x:v>
      </x:c>
      <x:c r="W290" s="109" t="n">
        <x:f>AVERAGE(E290:V290)</x:f>
        <x:v>4.764705882352941</x:v>
      </x:c>
      <x:c r="X290" s="109" t="n">
        <x:f>MEDIAN(E290:V290)</x:f>
        <x:v>3</x:v>
      </x:c>
      <x:c r="Y290" s="109" t="n">
        <x:f>PERCENTILE.INC(E290:V290,0.25)</x:f>
        <x:v>0</x:v>
      </x:c>
      <x:c r="Z290" s="109" t="n">
        <x:f>STDEV.P(E290:V290)</x:f>
        <x:v>5.10512328323462</x:v>
      </x:c>
      <x:c r="AA290" s="173" t="n">
        <x:f>IF(W290=0,"",Z290/ABS(W290))</x:f>
        <x:v>1.0714456273455375</x:v>
      </x:c>
      <x:c r="AB290" s="173" t="n">
        <x:f>IF(W290=0,0,(COUNTIF(E290:V290,"&lt;"&amp;0.5*W290)-COUNTBLANK(E290:V290))/COUNT(E290:V290))</x:f>
        <x:v>0.47058823529411764</x:v>
      </x:c>
      <x:c r="AC290" s="109" t="n">
        <x:f>SUM(E290:V290)</x:f>
        <x:v>81</x:v>
      </x:c>
    </x:row>
    <x:row r="291">
      <x:c r="A291" s="108" t="str">
        <x:v>K</x:v>
      </x:c>
      <x:c r="B291" s="108" t="str">
        <x:v>Harrison Mevis</x:v>
      </x:c>
      <x:c r="C291" s="108" t="str">
        <x:v>LAR</x:v>
      </x:c>
      <x:c r="D291" s="108" t="n">
        <x:v>8</x:v>
      </x:c>
      <x:c r="E291" s="109" t="n">
        <x:v>0</x:v>
      </x:c>
      <x:c r="F291" s="109" t="n">
        <x:v>0</x:v>
      </x:c>
      <x:c r="G291" s="109" t="n">
        <x:v>0</x:v>
      </x:c>
      <x:c r="H291" s="109" t="n">
        <x:v>0</x:v>
      </x:c>
      <x:c r="I291" s="109" t="n">
        <x:v>0</x:v>
      </x:c>
      <x:c r="J291" s="109" t="n">
        <x:v>0</x:v>
      </x:c>
      <x:c r="K291" s="109" t="n">
        <x:v>0</x:v>
      </x:c>
      <x:c r="L291" s="109"/>
      <x:c r="M291" s="109" t="n">
        <x:v>0</x:v>
      </x:c>
      <x:c r="N291" s="109" t="n">
        <x:v>6</x:v>
      </x:c>
      <x:c r="O291" s="109" t="n">
        <x:v>3</x:v>
      </x:c>
      <x:c r="P291" s="109" t="n">
        <x:v>13</x:v>
      </x:c>
      <x:c r="Q291" s="109" t="n">
        <x:v>4</x:v>
      </x:c>
      <x:c r="R291" s="109" t="n">
        <x:v>9</x:v>
      </x:c>
      <x:c r="S291" s="109" t="n">
        <x:v>12</x:v>
      </x:c>
      <x:c r="T291" s="109" t="n">
        <x:v>14</x:v>
      </x:c>
      <x:c r="U291" s="109" t="n">
        <x:v>6</x:v>
      </x:c>
      <x:c r="V291" s="109" t="n">
        <x:v>15</x:v>
      </x:c>
      <x:c r="W291" s="109" t="n">
        <x:f>AVERAGE(E291:V291)</x:f>
        <x:v>4.823529411764706</x:v>
      </x:c>
      <x:c r="X291" s="109" t="n">
        <x:f>MEDIAN(E291:V291)</x:f>
        <x:v>3</x:v>
      </x:c>
      <x:c r="Y291" s="109" t="n">
        <x:f>PERCENTILE.INC(E291:V291,0.25)</x:f>
        <x:v>0</x:v>
      </x:c>
      <x:c r="Z291" s="109" t="n">
        <x:f>STDEV.P(E291:V291)</x:f>
        <x:v>5.511862011822341</x:v>
      </x:c>
      <x:c r="AA291" s="173" t="n">
        <x:f>IF(W291=0,"",Z291/ABS(W291))</x:f>
        <x:v>1.1427031000119487</x:v>
      </x:c>
      <x:c r="AB291" s="173" t="n">
        <x:f>IF(W291=0,0,(COUNTIF(E291:V291,"&lt;"&amp;0.5*W291)-COUNTBLANK(E291:V291))/COUNT(E291:V291))</x:f>
        <x:v>0.47058823529411764</x:v>
      </x:c>
      <x:c r="AC291" s="109" t="n">
        <x:f>SUM(E291:V291)</x:f>
        <x:v>82</x:v>
      </x:c>
    </x:row>
    <x:row r="292">
      <x:c r="A292" s="108" t="str">
        <x:v>K</x:v>
      </x:c>
      <x:c r="B292" s="108" t="str">
        <x:v>Jake Moody</x:v>
      </x:c>
      <x:c r="C292" s="108" t="str">
        <x:v>WSH/CHI/SF</x:v>
      </x:c>
      <x:c r="D292" s="108" t="n">
        <x:v>5</x:v>
      </x:c>
      <x:c r="E292" s="109" t="n">
        <x:v>3</x:v>
      </x:c>
      <x:c r="F292" s="109" t="n">
        <x:v>0</x:v>
      </x:c>
      <x:c r="G292" s="109" t="n">
        <x:v>0</x:v>
      </x:c>
      <x:c r="H292" s="109" t="n">
        <x:v>0</x:v>
      </x:c>
      <x:c r="I292" s="109"/>
      <x:c r="J292" s="109" t="n">
        <x:v>16</x:v>
      </x:c>
      <x:c r="K292" s="109" t="n">
        <x:v>14</x:v>
      </x:c>
      <x:c r="L292" s="109" t="n">
        <x:v>0</x:v>
      </x:c>
      <x:c r="M292" s="109" t="n">
        <x:v>0</x:v>
      </x:c>
      <x:c r="N292" s="109" t="n">
        <x:v>0</x:v>
      </x:c>
      <x:c r="O292" s="109" t="n">
        <x:v>0</x:v>
      </x:c>
      <x:c r="P292" s="109" t="n">
        <x:v>0</x:v>
      </x:c>
      <x:c r="Q292" s="109" t="n">
        <x:v>8</x:v>
      </x:c>
      <x:c r="R292" s="109" t="n">
        <x:v>0</x:v>
      </x:c>
      <x:c r="S292" s="109" t="n">
        <x:v>11</x:v>
      </x:c>
      <x:c r="T292" s="109" t="n">
        <x:v>4</x:v>
      </x:c>
      <x:c r="U292" s="109" t="n">
        <x:v>13</x:v>
      </x:c>
      <x:c r="V292" s="109" t="n">
        <x:v>7</x:v>
      </x:c>
      <x:c r="W292" s="109" t="n">
        <x:f>AVERAGE(E292:V292)</x:f>
        <x:v>4.470588235294118</x:v>
      </x:c>
      <x:c r="X292" s="109" t="n">
        <x:f>MEDIAN(E292:V292)</x:f>
        <x:v>0</x:v>
      </x:c>
      <x:c r="Y292" s="109" t="n">
        <x:f>PERCENTILE.INC(E292:V292,0.25)</x:f>
        <x:v>0</x:v>
      </x:c>
      <x:c r="Z292" s="109" t="n">
        <x:f>STDEV.P(E292:V292)</x:f>
        <x:v>5.637246376805147</x:v>
      </x:c>
      <x:c r="AA292" s="173" t="n">
        <x:f>IF(W292=0,"",Z292/ABS(W292))</x:f>
        <x:v>1.2609630053379934</x:v>
      </x:c>
      <x:c r="AB292" s="173" t="n">
        <x:f>IF(W292=0,0,(COUNTIF(E292:V292,"&lt;"&amp;0.5*W292)-COUNTBLANK(E292:V292))/COUNT(E292:V292))</x:f>
        <x:v>0.5294117647058824</x:v>
      </x:c>
      <x:c r="AC292" s="109" t="n">
        <x:f>SUM(E292:V292)</x:f>
        <x:v>76</x:v>
      </x:c>
    </x:row>
    <x:row r="293">
      <x:c r="A293" s="108" t="str">
        <x:v>K</x:v>
      </x:c>
      <x:c r="B293" s="108" t="str">
        <x:v>Michael Badgley</x:v>
      </x:c>
      <x:c r="C293" s="108" t="str">
        <x:v>BUF/IND</x:v>
      </x:c>
      <x:c r="D293" s="108" t="n">
        <x:v>11</x:v>
      </x:c>
      <x:c r="E293" s="109" t="n">
        <x:v>0</x:v>
      </x:c>
      <x:c r="F293" s="109" t="n">
        <x:v>0</x:v>
      </x:c>
      <x:c r="G293" s="109" t="n">
        <x:v>0</x:v>
      </x:c>
      <x:c r="H293" s="109" t="n">
        <x:v>0</x:v>
      </x:c>
      <x:c r="I293" s="109" t="n">
        <x:v>0</x:v>
      </x:c>
      <x:c r="J293" s="109" t="n">
        <x:v>8</x:v>
      </x:c>
      <x:c r="K293" s="109" t="n">
        <x:v>4</x:v>
      </x:c>
      <x:c r="L293" s="109" t="n">
        <x:v>9</x:v>
      </x:c>
      <x:c r="M293" s="109" t="n">
        <x:v>12</x:v>
      </x:c>
      <x:c r="N293" s="109" t="n">
        <x:v>6</x:v>
      </x:c>
      <x:c r="O293" s="109"/>
      <x:c r="P293" s="109" t="n">
        <x:v>8</x:v>
      </x:c>
      <x:c r="Q293" s="109" t="n">
        <x:v>3</x:v>
      </x:c>
      <x:c r="R293" s="109" t="n">
        <x:v>0</x:v>
      </x:c>
      <x:c r="S293" s="109" t="n">
        <x:v>0</x:v>
      </x:c>
      <x:c r="T293" s="109" t="n">
        <x:v>4</x:v>
      </x:c>
      <x:c r="U293" s="109" t="n">
        <x:v>-2</x:v>
      </x:c>
      <x:c r="V293" s="109" t="n">
        <x:v>0</x:v>
      </x:c>
      <x:c r="W293" s="109" t="n">
        <x:f>AVERAGE(E293:V293)</x:f>
        <x:v>3.0588235294117645</x:v>
      </x:c>
      <x:c r="X293" s="109" t="n">
        <x:f>MEDIAN(E293:V293)</x:f>
        <x:v>0</x:v>
      </x:c>
      <x:c r="Y293" s="109" t="n">
        <x:f>PERCENTILE.INC(E293:V293,0.25)</x:f>
        <x:v>0</x:v>
      </x:c>
      <x:c r="Z293" s="109" t="n">
        <x:f>STDEV.P(E293:V293)</x:f>
        <x:v>4.021568149444049</x:v>
      </x:c>
      <x:c r="AA293" s="173" t="n">
        <x:f>IF(W293=0,"",Z293/ABS(W293))</x:f>
        <x:v>1.314743433472093</x:v>
      </x:c>
      <x:c r="AB293" s="173" t="n">
        <x:f>IF(W293=0,0,(COUNTIF(E293:V293,"&lt;"&amp;0.5*W293)-COUNTBLANK(E293:V293))/COUNT(E293:V293))</x:f>
        <x:v>0.5294117647058824</x:v>
      </x:c>
      <x:c r="AC293" s="109" t="n">
        <x:f>SUM(E293:V293)</x:f>
        <x:v>52</x:v>
      </x:c>
    </x:row>
    <x:row r="294">
      <x:c r="A294" s="108" t="str">
        <x:v>K</x:v>
      </x:c>
      <x:c r="B294" s="108" t="str">
        <x:v>Joshua Karty</x:v>
      </x:c>
      <x:c r="C294" s="108" t="str">
        <x:v>ARI/LAR</x:v>
      </x:c>
      <x:c r="D294" s="108" t="n">
        <x:v>8</x:v>
      </x:c>
      <x:c r="E294" s="109" t="n">
        <x:v>2</x:v>
      </x:c>
      <x:c r="F294" s="109" t="n">
        <x:v>7</x:v>
      </x:c>
      <x:c r="G294" s="109" t="n">
        <x:v>16</x:v>
      </x:c>
      <x:c r="H294" s="109" t="n">
        <x:v>10</x:v>
      </x:c>
      <x:c r="I294" s="109" t="n">
        <x:v>4</x:v>
      </x:c>
      <x:c r="J294" s="109" t="n">
        <x:v>4</x:v>
      </x:c>
      <x:c r="K294" s="109" t="n">
        <x:v>5</x:v>
      </x:c>
      <x:c r="L294" s="109"/>
      <x:c r="M294" s="109" t="n">
        <x:v>1</x:v>
      </x:c>
      <x:c r="N294" s="109" t="n">
        <x:v>0</x:v>
      </x:c>
      <x:c r="O294" s="109" t="n">
        <x:v>0</x:v>
      </x:c>
      <x:c r="P294" s="109" t="n">
        <x:v>0</x:v>
      </x:c>
      <x:c r="Q294" s="109" t="n">
        <x:v>0</x:v>
      </x:c>
      <x:c r="R294" s="109" t="n">
        <x:v>0</x:v>
      </x:c>
      <x:c r="S294" s="109" t="n">
        <x:v>0</x:v>
      </x:c>
      <x:c r="T294" s="109" t="n">
        <x:v>0</x:v>
      </x:c>
      <x:c r="U294" s="109" t="n">
        <x:v>0</x:v>
      </x:c>
      <x:c r="V294" s="109" t="n">
        <x:v>0</x:v>
      </x:c>
      <x:c r="W294" s="109" t="n">
        <x:f>AVERAGE(E294:V294)</x:f>
        <x:v>2.8823529411764706</x:v>
      </x:c>
      <x:c r="X294" s="109" t="n">
        <x:f>MEDIAN(E294:V294)</x:f>
        <x:v>0</x:v>
      </x:c>
      <x:c r="Y294" s="109" t="n">
        <x:f>PERCENTILE.INC(E294:V294,0.25)</x:f>
        <x:v>0</x:v>
      </x:c>
      <x:c r="Z294" s="109" t="n">
        <x:f>STDEV.P(E294:V294)</x:f>
        <x:v>4.3775141070915415</x:v>
      </x:c>
      <x:c r="AA294" s="173" t="n">
        <x:f>IF(W294=0,"",Z294/ABS(W294))</x:f>
        <x:v>1.5187293840929839</x:v>
      </x:c>
      <x:c r="AB294" s="173" t="n">
        <x:f>IF(W294=0,0,(COUNTIF(E294:V294,"&lt;"&amp;0.5*W294)-COUNTBLANK(E294:V294))/COUNT(E294:V294))</x:f>
        <x:v>0.5882352941176471</x:v>
      </x:c>
      <x:c r="AC294" s="109" t="n">
        <x:f>SUM(E294:V294)</x:f>
        <x:v>49</x:v>
      </x:c>
    </x:row>
    <x:row r="295">
      <x:c r="A295" s="108" t="str">
        <x:v>K</x:v>
      </x:c>
      <x:c r="B295" s="108" t="str">
        <x:v>Charlie Smyth</x:v>
      </x:c>
      <x:c r="C295" s="108" t="str">
        <x:v>NO</x:v>
      </x:c>
      <x:c r="D295" s="108" t="n">
        <x:v>11</x:v>
      </x:c>
      <x:c r="E295" s="109" t="n">
        <x:v>0</x:v>
      </x:c>
      <x:c r="F295" s="109" t="n">
        <x:v>0</x:v>
      </x:c>
      <x:c r="G295" s="109" t="n">
        <x:v>0</x:v>
      </x:c>
      <x:c r="H295" s="109" t="n">
        <x:v>0</x:v>
      </x:c>
      <x:c r="I295" s="109" t="n">
        <x:v>0</x:v>
      </x:c>
      <x:c r="J295" s="109" t="n">
        <x:v>0</x:v>
      </x:c>
      <x:c r="K295" s="109" t="n">
        <x:v>0</x:v>
      </x:c>
      <x:c r="L295" s="109" t="n">
        <x:v>0</x:v>
      </x:c>
      <x:c r="M295" s="109" t="n">
        <x:v>0</x:v>
      </x:c>
      <x:c r="N295" s="109" t="n">
        <x:v>0</x:v>
      </x:c>
      <x:c r="O295" s="109"/>
      <x:c r="P295" s="109" t="n">
        <x:v>0</x:v>
      </x:c>
      <x:c r="Q295" s="109" t="n">
        <x:v>5</x:v>
      </x:c>
      <x:c r="R295" s="109" t="n">
        <x:v>6</x:v>
      </x:c>
      <x:c r="S295" s="109" t="n">
        <x:v>10</x:v>
      </x:c>
      <x:c r="T295" s="109" t="n">
        <x:v>20</x:v>
      </x:c>
      <x:c r="U295" s="109" t="n">
        <x:v>14</x:v>
      </x:c>
      <x:c r="V295" s="109" t="n">
        <x:v>5</x:v>
      </x:c>
      <x:c r="W295" s="109" t="n">
        <x:f>AVERAGE(E295:V295)</x:f>
        <x:v>3.5294117647058822</x:v>
      </x:c>
      <x:c r="X295" s="109" t="n">
        <x:f>MEDIAN(E295:V295)</x:f>
        <x:v>0</x:v>
      </x:c>
      <x:c r="Y295" s="109" t="n">
        <x:f>PERCENTILE.INC(E295:V295,0.25)</x:f>
        <x:v>0</x:v>
      </x:c>
      <x:c r="Z295" s="109" t="n">
        <x:f>STDEV.P(E295:V295)</x:f>
        <x:v>5.791653701245933</x:v>
      </x:c>
      <x:c r="AA295" s="173" t="n">
        <x:f>IF(W295=0,"",Z295/ABS(W295))</x:f>
        <x:v>1.6409685486863477</x:v>
      </x:c>
      <x:c r="AB295" s="173" t="n">
        <x:f>IF(W295=0,0,(COUNTIF(E295:V295,"&lt;"&amp;0.5*W295)-COUNTBLANK(E295:V295))/COUNT(E295:V295))</x:f>
        <x:v>0.6470588235294118</x:v>
      </x:c>
      <x:c r="AC295" s="109" t="n">
        <x:f>SUM(E295:V295)</x:f>
        <x:v>60</x:v>
      </x:c>
    </x:row>
    <x:row r="296">
      <x:c r="A296" s="108" t="str">
        <x:v>K</x:v>
      </x:c>
      <x:c r="B296" s="108" t="str">
        <x:v>Graham Gano</x:v>
      </x:c>
      <x:c r="C296" s="108" t="str">
        <x:v>NYG</x:v>
      </x:c>
      <x:c r="D296" s="108" t="n">
        <x:v>14</x:v>
      </x:c>
      <x:c r="E296" s="109" t="n">
        <x:v>8</x:v>
      </x:c>
      <x:c r="F296" s="109" t="n">
        <x:v>13</x:v>
      </x:c>
      <x:c r="G296" s="109" t="n">
        <x:v>3</x:v>
      </x:c>
      <x:c r="H296" s="109" t="n">
        <x:v>0</x:v>
      </x:c>
      <x:c r="I296" s="109" t="n">
        <x:v>0</x:v>
      </x:c>
      <x:c r="J296" s="109" t="n">
        <x:v>0</x:v>
      </x:c>
      <x:c r="K296" s="109" t="n">
        <x:v>0</x:v>
      </x:c>
      <x:c r="L296" s="109" t="n">
        <x:v>9</x:v>
      </x:c>
      <x:c r="M296" s="109" t="n">
        <x:v>6</x:v>
      </x:c>
      <x:c r="N296" s="109" t="n">
        <x:v>0</x:v>
      </x:c>
      <x:c r="O296" s="109" t="n">
        <x:v>0</x:v>
      </x:c>
      <x:c r="P296" s="109" t="n">
        <x:v>0</x:v>
      </x:c>
      <x:c r="Q296" s="109" t="n">
        <x:v>0</x:v>
      </x:c>
      <x:c r="R296" s="109"/>
      <x:c r="S296" s="109" t="n">
        <x:v>0</x:v>
      </x:c>
      <x:c r="T296" s="109" t="n">
        <x:v>0</x:v>
      </x:c>
      <x:c r="U296" s="109" t="n">
        <x:v>0</x:v>
      </x:c>
      <x:c r="V296" s="109" t="n">
        <x:v>0</x:v>
      </x:c>
      <x:c r="W296" s="109" t="n">
        <x:f>AVERAGE(E296:V296)</x:f>
        <x:v>2.2941176470588234</x:v>
      </x:c>
      <x:c r="X296" s="109" t="n">
        <x:f>MEDIAN(E296:V296)</x:f>
        <x:v>0</x:v>
      </x:c>
      <x:c r="Y296" s="109" t="n">
        <x:f>PERCENTILE.INC(E296:V296,0.25)</x:f>
        <x:v>0</x:v>
      </x:c>
      <x:c r="Z296" s="109" t="n">
        <x:f>STDEV.P(E296:V296)</x:f>
        <x:v>3.9817924707695176</x:v>
      </x:c>
      <x:c r="AA296" s="173" t="n">
        <x:f>IF(W296=0,"",Z296/ABS(W296))</x:f>
        <x:v>1.7356531282841487</x:v>
      </x:c>
      <x:c r="AB296" s="173" t="n">
        <x:f>IF(W296=0,0,(COUNTIF(E296:V296,"&lt;"&amp;0.5*W296)-COUNTBLANK(E296:V296))/COUNT(E296:V296))</x:f>
        <x:v>0.7058823529411765</x:v>
      </x:c>
      <x:c r="AC296" s="109" t="n">
        <x:f>SUM(E296:V296)</x:f>
        <x:v>39</x:v>
      </x:c>
    </x:row>
    <x:row r="297">
      <x:c r="A297" s="108" t="str">
        <x:v>K</x:v>
      </x:c>
      <x:c r="B297" s="108" t="str">
        <x:v>Parker Romo</x:v>
      </x:c>
      <x:c r="C297" s="108" t="str">
        <x:v>ATL</x:v>
      </x:c>
      <x:c r="D297" s="108" t="n">
        <x:v>5</x:v>
      </x:c>
      <x:c r="E297" s="109" t="n">
        <x:v>0</x:v>
      </x:c>
      <x:c r="F297" s="109" t="n">
        <x:v>18</x:v>
      </x:c>
      <x:c r="G297" s="109" t="n">
        <x:v>0</x:v>
      </x:c>
      <x:c r="H297" s="109" t="n">
        <x:v>10</x:v>
      </x:c>
      <x:c r="I297" s="109"/>
      <x:c r="J297" s="109" t="n">
        <x:v>5</x:v>
      </x:c>
      <x:c r="K297" s="109" t="n">
        <x:v>4</x:v>
      </x:c>
      <x:c r="L297" s="109" t="n">
        <x:v>5</x:v>
      </x:c>
      <x:c r="M297" s="109" t="n">
        <x:v>3</x:v>
      </x:c>
      <x:c r="N297" s="109" t="n">
        <x:v>0</x:v>
      </x:c>
      <x:c r="O297" s="109" t="n">
        <x:v>0</x:v>
      </x:c>
      <x:c r="P297" s="109" t="n">
        <x:v>0</x:v>
      </x:c>
      <x:c r="Q297" s="109" t="n">
        <x:v>0</x:v>
      </x:c>
      <x:c r="R297" s="109" t="n">
        <x:v>0</x:v>
      </x:c>
      <x:c r="S297" s="109" t="n">
        <x:v>0</x:v>
      </x:c>
      <x:c r="T297" s="109" t="n">
        <x:v>0</x:v>
      </x:c>
      <x:c r="U297" s="109" t="n">
        <x:v>0</x:v>
      </x:c>
      <x:c r="V297" s="109" t="n">
        <x:v>0</x:v>
      </x:c>
      <x:c r="W297" s="109" t="n">
        <x:f>AVERAGE(E297:V297)</x:f>
        <x:v>2.6470588235294117</x:v>
      </x:c>
      <x:c r="X297" s="109" t="n">
        <x:f>MEDIAN(E297:V297)</x:f>
        <x:v>0</x:v>
      </x:c>
      <x:c r="Y297" s="109" t="n">
        <x:f>PERCENTILE.INC(E297:V297,0.25)</x:f>
        <x:v>0</x:v>
      </x:c>
      <x:c r="Z297" s="109" t="n">
        <x:f>STDEV.P(E297:V297)</x:f>
        <x:v>4.727157788909279</x:v>
      </x:c>
      <x:c r="AA297" s="173" t="n">
        <x:f>IF(W297=0,"",Z297/ABS(W297))</x:f>
        <x:v>1.7858151646990612</x:v>
      </x:c>
      <x:c r="AB297" s="173" t="n">
        <x:f>IF(W297=0,0,(COUNTIF(E297:V297,"&lt;"&amp;0.5*W297)-COUNTBLANK(E297:V297))/COUNT(E297:V297))</x:f>
        <x:v>0.6470588235294118</x:v>
      </x:c>
      <x:c r="AC297" s="109" t="n">
        <x:f>SUM(E297:V297)</x:f>
        <x:v>45</x:v>
      </x:c>
    </x:row>
    <x:row r="298">
      <x:c r="A298" s="108" t="str">
        <x:v>K</x:v>
      </x:c>
      <x:c r="B298" s="108" t="str">
        <x:v>Spencer Shrader</x:v>
      </x:c>
      <x:c r="C298" s="108" t="str">
        <x:v>IND</x:v>
      </x:c>
      <x:c r="D298" s="108" t="n">
        <x:v>11</x:v>
      </x:c>
      <x:c r="E298" s="109" t="n">
        <x:v>16</x:v>
      </x:c>
      <x:c r="F298" s="109" t="n">
        <x:v>18</x:v>
      </x:c>
      <x:c r="G298" s="109" t="n">
        <x:v>11</x:v>
      </x:c>
      <x:c r="H298" s="109" t="n">
        <x:v>10</x:v>
      </x:c>
      <x:c r="I298" s="109" t="n">
        <x:v>2</x:v>
      </x:c>
      <x:c r="J298" s="109" t="n">
        <x:v>0</x:v>
      </x:c>
      <x:c r="K298" s="109" t="n">
        <x:v>0</x:v>
      </x:c>
      <x:c r="L298" s="109" t="n">
        <x:v>0</x:v>
      </x:c>
      <x:c r="M298" s="109" t="n">
        <x:v>0</x:v>
      </x:c>
      <x:c r="N298" s="109" t="n">
        <x:v>0</x:v>
      </x:c>
      <x:c r="O298" s="109"/>
      <x:c r="P298" s="109" t="n">
        <x:v>0</x:v>
      </x:c>
      <x:c r="Q298" s="109" t="n">
        <x:v>0</x:v>
      </x:c>
      <x:c r="R298" s="109" t="n">
        <x:v>0</x:v>
      </x:c>
      <x:c r="S298" s="109" t="n">
        <x:v>0</x:v>
      </x:c>
      <x:c r="T298" s="109" t="n">
        <x:v>0</x:v>
      </x:c>
      <x:c r="U298" s="109" t="n">
        <x:v>0</x:v>
      </x:c>
      <x:c r="V298" s="109" t="n">
        <x:v>0</x:v>
      </x:c>
      <x:c r="W298" s="109" t="n">
        <x:f>AVERAGE(E298:V298)</x:f>
        <x:v>3.3529411764705883</x:v>
      </x:c>
      <x:c r="X298" s="109" t="n">
        <x:f>MEDIAN(E298:V298)</x:f>
        <x:v>0</x:v>
      </x:c>
      <x:c r="Y298" s="109" t="n">
        <x:f>PERCENTILE.INC(E298:V298,0.25)</x:f>
        <x:v>0</x:v>
      </x:c>
      <x:c r="Z298" s="109" t="n">
        <x:f>STDEV.P(E298:V298)</x:f>
        <x:v>6.009220136057476</x:v>
      </x:c>
      <x:c r="AA298" s="173" t="n">
        <x:f>IF(W298=0,"",Z298/ABS(W298))</x:f>
        <x:v>1.7922235493504755</x:v>
      </x:c>
      <x:c r="AB298" s="173" t="n">
        <x:f>IF(W298=0,0,(COUNTIF(E298:V298,"&lt;"&amp;0.5*W298)-COUNTBLANK(E298:V298))/COUNT(E298:V298))</x:f>
        <x:v>0.7058823529411765</x:v>
      </x:c>
      <x:c r="AC298" s="109" t="n">
        <x:f>SUM(E298:V298)</x:f>
        <x:v>57</x:v>
      </x:c>
    </x:row>
    <x:row r="299">
      <x:c r="A299" s="108" t="str">
        <x:v>K</x:v>
      </x:c>
      <x:c r="B299" s="108" t="str">
        <x:v>Younghoe Koo</x:v>
      </x:c>
      <x:c r="C299" s="108" t="str">
        <x:v>NYG/ATL</x:v>
      </x:c>
      <x:c r="D299" s="108" t="n">
        <x:v>14</x:v>
      </x:c>
      <x:c r="E299" s="109" t="n">
        <x:v>9</x:v>
      </x:c>
      <x:c r="F299" s="109" t="n">
        <x:v>0</x:v>
      </x:c>
      <x:c r="G299" s="109" t="n">
        <x:v>0</x:v>
      </x:c>
      <x:c r="H299" s="109" t="n">
        <x:v>0</x:v>
      </x:c>
      <x:c r="I299" s="109" t="n">
        <x:v>0</x:v>
      </x:c>
      <x:c r="J299" s="109" t="n">
        <x:v>0</x:v>
      </x:c>
      <x:c r="K299" s="109" t="n">
        <x:v>0</x:v>
      </x:c>
      <x:c r="L299" s="109" t="n">
        <x:v>0</x:v>
      </x:c>
      <x:c r="M299" s="109" t="n">
        <x:v>0</x:v>
      </x:c>
      <x:c r="N299" s="109" t="n">
        <x:v>8</x:v>
      </x:c>
      <x:c r="O299" s="109" t="n">
        <x:v>0</x:v>
      </x:c>
      <x:c r="P299" s="109" t="n">
        <x:v>10</x:v>
      </x:c>
      <x:c r="Q299" s="109" t="n">
        <x:v>1</x:v>
      </x:c>
      <x:c r="R299" s="109"/>
      <x:c r="S299" s="109" t="n">
        <x:v>3</x:v>
      </x:c>
      <x:c r="T299" s="109" t="n">
        <x:v>0</x:v>
      </x:c>
      <x:c r="U299" s="109" t="n">
        <x:v>0</x:v>
      </x:c>
      <x:c r="V299" s="109" t="n">
        <x:v>0</x:v>
      </x:c>
      <x:c r="W299" s="109" t="n">
        <x:f>AVERAGE(E299:V299)</x:f>
        <x:v>1.8235294117647058</x:v>
      </x:c>
      <x:c r="X299" s="109" t="n">
        <x:f>MEDIAN(E299:V299)</x:f>
        <x:v>0</x:v>
      </x:c>
      <x:c r="Y299" s="109" t="n">
        <x:f>PERCENTILE.INC(E299:V299,0.25)</x:f>
        <x:v>0</x:v>
      </x:c>
      <x:c r="Z299" s="109" t="n">
        <x:f>STDEV.P(E299:V299)</x:f>
        <x:v>3.416831936813554</x:v>
      </x:c>
      <x:c r="AA299" s="173" t="n">
        <x:f>IF(W299=0,"",Z299/ABS(W299))</x:f>
        <x:v>1.8737465459945297</x:v>
      </x:c>
      <x:c r="AB299" s="173" t="n">
        <x:f>IF(W299=0,0,(COUNTIF(E299:V299,"&lt;"&amp;0.5*W299)-COUNTBLANK(E299:V299))/COUNT(E299:V299))</x:f>
        <x:v>0.7058823529411765</x:v>
      </x:c>
      <x:c r="AC299" s="109" t="n">
        <x:f>SUM(E299:V299)</x:f>
        <x:v>31</x:v>
      </x:c>
    </x:row>
    <x:row r="300">
      <x:c r="A300" s="108" t="str">
        <x:v>K</x:v>
      </x:c>
      <x:c r="B300" s="108" t="str">
        <x:v>Ben Sauls</x:v>
      </x:c>
      <x:c r="C300" s="108" t="str">
        <x:v>NYG</x:v>
      </x:c>
      <x:c r="D300" s="108" t="n">
        <x:v>14</x:v>
      </x:c>
      <x:c r="E300" s="109" t="n">
        <x:v>0</x:v>
      </x:c>
      <x:c r="F300" s="109" t="n">
        <x:v>0</x:v>
      </x:c>
      <x:c r="G300" s="109" t="n">
        <x:v>0</x:v>
      </x:c>
      <x:c r="H300" s="109" t="n">
        <x:v>0</x:v>
      </x:c>
      <x:c r="I300" s="109" t="n">
        <x:v>0</x:v>
      </x:c>
      <x:c r="J300" s="109" t="n">
        <x:v>0</x:v>
      </x:c>
      <x:c r="K300" s="109" t="n">
        <x:v>0</x:v>
      </x:c>
      <x:c r="L300" s="109" t="n">
        <x:v>0</x:v>
      </x:c>
      <x:c r="M300" s="109" t="n">
        <x:v>0</x:v>
      </x:c>
      <x:c r="N300" s="109" t="n">
        <x:v>0</x:v>
      </x:c>
      <x:c r="O300" s="109" t="n">
        <x:v>0</x:v>
      </x:c>
      <x:c r="P300" s="109" t="n">
        <x:v>0</x:v>
      </x:c>
      <x:c r="Q300" s="109" t="n">
        <x:v>0</x:v>
      </x:c>
      <x:c r="R300" s="109"/>
      <x:c r="S300" s="109" t="n">
        <x:v>0</x:v>
      </x:c>
      <x:c r="T300" s="109" t="n">
        <x:v>7</x:v>
      </x:c>
      <x:c r="U300" s="109" t="n">
        <x:v>10</x:v>
      </x:c>
      <x:c r="V300" s="109" t="n">
        <x:v>15</x:v>
      </x:c>
      <x:c r="W300" s="109" t="n">
        <x:f>AVERAGE(E300:V300)</x:f>
        <x:v>1.8823529411764706</x:v>
      </x:c>
      <x:c r="X300" s="109" t="n">
        <x:f>MEDIAN(E300:V300)</x:f>
        <x:v>0</x:v>
      </x:c>
      <x:c r="Y300" s="109" t="n">
        <x:f>PERCENTILE.INC(E300:V300,0.25)</x:f>
        <x:v>0</x:v>
      </x:c>
      <x:c r="Z300" s="109" t="n">
        <x:f>STDEV.P(E300:V300)</x:f>
        <x:v>4.296131679178874</x:v>
      </x:c>
      <x:c r="AA300" s="173" t="n">
        <x:f>IF(W300=0,"",Z300/ABS(W300))</x:f>
        <x:v>2.2823199545637767</x:v>
      </x:c>
      <x:c r="AB300" s="173" t="n">
        <x:f>IF(W300=0,0,(COUNTIF(E300:V300,"&lt;"&amp;0.5*W300)-COUNTBLANK(E300:V300))/COUNT(E300:V300))</x:f>
        <x:v>0.8235294117647058</x:v>
      </x:c>
      <x:c r="AC300" s="109" t="n">
        <x:f>SUM(E300:V300)</x:f>
        <x:v>32</x:v>
      </x:c>
    </x:row>
    <x:row r="301">
      <x:c r="A301" s="108" t="str">
        <x:v>K</x:v>
      </x:c>
      <x:c r="B301" s="108" t="str">
        <x:v>Matthew Wright</x:v>
      </x:c>
      <x:c r="C301" s="108" t="str">
        <x:v>HOU/WSH/TEN</x:v>
      </x:c>
      <x:c r="D301" s="108" t="n">
        <x:v>6</x:v>
      </x:c>
      <x:c r="E301" s="109" t="n">
        <x:v>0</x:v>
      </x:c>
      <x:c r="F301" s="109" t="n">
        <x:v>0</x:v>
      </x:c>
      <x:c r="G301" s="109" t="n">
        <x:v>0</x:v>
      </x:c>
      <x:c r="H301" s="109" t="n">
        <x:v>0</x:v>
      </x:c>
      <x:c r="I301" s="109" t="n">
        <x:v>0</x:v>
      </x:c>
      <x:c r="J301" s="109"/>
      <x:c r="K301" s="109" t="n">
        <x:v>0</x:v>
      </x:c>
      <x:c r="L301" s="109" t="n">
        <x:v>1</x:v>
      </x:c>
      <x:c r="M301" s="109" t="n">
        <x:v>0</x:v>
      </x:c>
      <x:c r="N301" s="109" t="n">
        <x:v>4</x:v>
      </x:c>
      <x:c r="O301" s="109" t="n">
        <x:v>12</x:v>
      </x:c>
      <x:c r="P301" s="109" t="n">
        <x:v>0</x:v>
      </x:c>
      <x:c r="Q301" s="109" t="n">
        <x:v>0</x:v>
      </x:c>
      <x:c r="R301" s="109" t="n">
        <x:v>0</x:v>
      </x:c>
      <x:c r="S301" s="109" t="n">
        <x:v>0</x:v>
      </x:c>
      <x:c r="T301" s="109" t="n">
        <x:v>0</x:v>
      </x:c>
      <x:c r="U301" s="109" t="n">
        <x:v>0</x:v>
      </x:c>
      <x:c r="V301" s="109" t="n">
        <x:v>0</x:v>
      </x:c>
      <x:c r="W301" s="109" t="n">
        <x:f>AVERAGE(E301:V301)</x:f>
        <x:v>1</x:v>
      </x:c>
      <x:c r="X301" s="109" t="n">
        <x:f>MEDIAN(E301:V301)</x:f>
        <x:v>0</x:v>
      </x:c>
      <x:c r="Y301" s="109" t="n">
        <x:f>PERCENTILE.INC(E301:V301,0.25)</x:f>
        <x:v>0</x:v>
      </x:c>
      <x:c r="Z301" s="109" t="n">
        <x:f>STDEV.P(E301:V301)</x:f>
        <x:v>2.9104275004359956</x:v>
      </x:c>
      <x:c r="AA301" s="173" t="n">
        <x:f>IF(W301=0,"",Z301/ABS(W301))</x:f>
        <x:v>2.9104275004359956</x:v>
      </x:c>
      <x:c r="AB301" s="173" t="n">
        <x:f>IF(W301=0,0,(COUNTIF(E301:V301,"&lt;"&amp;0.5*W301)-COUNTBLANK(E301:V301))/COUNT(E301:V301))</x:f>
        <x:v>0.8235294117647058</x:v>
      </x:c>
      <x:c r="AC301" s="109" t="n">
        <x:f>SUM(E301:V301)</x:f>
        <x:v>17</x:v>
      </x:c>
    </x:row>
    <x:row r="302">
      <x:c r="A302" s="108" t="str">
        <x:v>K</x:v>
      </x:c>
      <x:c r="B302" s="108" t="str">
        <x:v>Lucas Havrisik</x:v>
      </x:c>
      <x:c r="C302" s="108" t="str">
        <x:v>GB</x:v>
      </x:c>
      <x:c r="D302" s="108" t="n">
        <x:v>5</x:v>
      </x:c>
      <x:c r="E302" s="109" t="n">
        <x:v>0</x:v>
      </x:c>
      <x:c r="F302" s="109" t="n">
        <x:v>0</x:v>
      </x:c>
      <x:c r="G302" s="109" t="n">
        <x:v>0</x:v>
      </x:c>
      <x:c r="H302" s="109" t="n">
        <x:v>0</x:v>
      </x:c>
      <x:c r="I302" s="109"/>
      <x:c r="J302" s="109" t="n">
        <x:v>10</x:v>
      </x:c>
      <x:c r="K302" s="109" t="n">
        <x:v>11</x:v>
      </x:c>
      <x:c r="L302" s="109" t="n">
        <x:v>0</x:v>
      </x:c>
      <x:c r="M302" s="109" t="n">
        <x:v>0</x:v>
      </x:c>
      <x:c r="N302" s="109" t="n">
        <x:v>0</x:v>
      </x:c>
      <x:c r="O302" s="109" t="n">
        <x:v>-3</x:v>
      </x:c>
      <x:c r="P302" s="109" t="n">
        <x:v>0</x:v>
      </x:c>
      <x:c r="Q302" s="109" t="n">
        <x:v>0</x:v>
      </x:c>
      <x:c r="R302" s="109" t="n">
        <x:v>0</x:v>
      </x:c>
      <x:c r="S302" s="109" t="n">
        <x:v>0</x:v>
      </x:c>
      <x:c r="T302" s="109" t="n">
        <x:v>0</x:v>
      </x:c>
      <x:c r="U302" s="109" t="n">
        <x:v>0</x:v>
      </x:c>
      <x:c r="V302" s="109" t="n">
        <x:v>0</x:v>
      </x:c>
      <x:c r="W302" s="109" t="n">
        <x:f>AVERAGE(E302:V302)</x:f>
        <x:v>1.0588235294117647</x:v>
      </x:c>
      <x:c r="X302" s="109" t="n">
        <x:f>MEDIAN(E302:V302)</x:f>
        <x:v>0</x:v>
      </x:c>
      <x:c r="Y302" s="109" t="n">
        <x:f>PERCENTILE.INC(E302:V302,0.25)</x:f>
        <x:v>0</x:v>
      </x:c>
      <x:c r="Z302" s="109" t="n">
        <x:f>STDEV.P(E302:V302)</x:f>
        <x:v>3.5225423344893807</x:v>
      </x:c>
      <x:c r="AA302" s="173" t="n">
        <x:f>IF(W302=0,"",Z302/ABS(W302))</x:f>
        <x:v>3.3268455381288593</x:v>
      </x:c>
      <x:c r="AB302" s="173" t="n">
        <x:f>IF(W302=0,0,(COUNTIF(E302:V302,"&lt;"&amp;0.5*W302)-COUNTBLANK(E302:V302))/COUNT(E302:V302))</x:f>
        <x:v>0.8823529411764706</x:v>
      </x:c>
      <x:c r="AC302" s="109" t="n">
        <x:f>SUM(E302:V302)</x:f>
        <x:v>18</x:v>
      </x:c>
    </x:row>
    <x:row r="303">
      <x:c r="A303" s="108" t="str">
        <x:v>K</x:v>
      </x:c>
      <x:c r="B303" s="108" t="str">
        <x:v>Jude McAtamney</x:v>
      </x:c>
      <x:c r="C303" s="108" t="str">
        <x:v>NYG</x:v>
      </x:c>
      <x:c r="D303" s="108" t="n">
        <x:v>14</x:v>
      </x:c>
      <x:c r="E303" s="109" t="n">
        <x:v>0</x:v>
      </x:c>
      <x:c r="F303" s="109" t="n">
        <x:v>0</x:v>
      </x:c>
      <x:c r="G303" s="109" t="n">
        <x:v>0</x:v>
      </x:c>
      <x:c r="H303" s="109" t="n">
        <x:v>7</x:v>
      </x:c>
      <x:c r="I303" s="109" t="n">
        <x:v>2</x:v>
      </x:c>
      <x:c r="J303" s="109" t="n">
        <x:v>2</x:v>
      </x:c>
      <x:c r="K303" s="109" t="n">
        <x:v>-2</x:v>
      </x:c>
      <x:c r="L303" s="109" t="n">
        <x:v>0</x:v>
      </x:c>
      <x:c r="M303" s="109" t="n">
        <x:v>0</x:v>
      </x:c>
      <x:c r="N303" s="109" t="n">
        <x:v>0</x:v>
      </x:c>
      <x:c r="O303" s="109" t="n">
        <x:v>0</x:v>
      </x:c>
      <x:c r="P303" s="109" t="n">
        <x:v>0</x:v>
      </x:c>
      <x:c r="Q303" s="109" t="n">
        <x:v>0</x:v>
      </x:c>
      <x:c r="R303" s="109"/>
      <x:c r="S303" s="109" t="n">
        <x:v>0</x:v>
      </x:c>
      <x:c r="T303" s="109" t="n">
        <x:v>0</x:v>
      </x:c>
      <x:c r="U303" s="109" t="n">
        <x:v>0</x:v>
      </x:c>
      <x:c r="V303" s="109" t="n">
        <x:v>0</x:v>
      </x:c>
      <x:c r="W303" s="109" t="n">
        <x:f>AVERAGE(E303:V303)</x:f>
        <x:v>0.5294117647058824</x:v>
      </x:c>
      <x:c r="X303" s="109" t="n">
        <x:f>MEDIAN(E303:V303)</x:f>
        <x:v>0</x:v>
      </x:c>
      <x:c r="Y303" s="109" t="n">
        <x:f>PERCENTILE.INC(E303:V303,0.25)</x:f>
        <x:v>0</x:v>
      </x:c>
      <x:c r="Z303" s="109" t="n">
        <x:f>STDEV.P(E303:V303)</x:f>
        <x:v>1.818779392204742</x:v>
      </x:c>
      <x:c r="AA303" s="173" t="n">
        <x:f>IF(W303=0,"",Z303/ABS(W303))</x:f>
        <x:v>3.4354721852756236</x:v>
      </x:c>
      <x:c r="AB303" s="173" t="n">
        <x:f>IF(W303=0,0,(COUNTIF(E303:V303,"&lt;"&amp;0.5*W303)-COUNTBLANK(E303:V303))/COUNT(E303:V303))</x:f>
        <x:v>0.8235294117647058</x:v>
      </x:c>
      <x:c r="AC303" s="109" t="n">
        <x:f>SUM(E303:V303)</x:f>
        <x:v>9</x:v>
      </x:c>
    </x:row>
    <x:row r="304">
      <x:c r="A304" s="108" t="str">
        <x:v>K</x:v>
      </x:c>
      <x:c r="B304" s="108" t="str">
        <x:v>Anders Carlson</x:v>
      </x:c>
      <x:c r="C304" s="108" t="str">
        <x:v>FA</x:v>
      </x:c>
      <x:c r="D304" s="108" t="n">
        <x:v>0</x:v>
      </x:c>
      <x:c r="E304" s="109" t="n">
        <x:v>0</x:v>
      </x:c>
      <x:c r="F304" s="109" t="n">
        <x:v>0</x:v>
      </x:c>
      <x:c r="G304" s="109" t="n">
        <x:v>0</x:v>
      </x:c>
      <x:c r="H304" s="109" t="n">
        <x:v>0</x:v>
      </x:c>
      <x:c r="I304" s="109" t="n">
        <x:v>0</x:v>
      </x:c>
      <x:c r="J304" s="109" t="n">
        <x:v>0</x:v>
      </x:c>
      <x:c r="K304" s="109" t="n">
        <x:v>0</x:v>
      </x:c>
      <x:c r="L304" s="109" t="n">
        <x:v>0</x:v>
      </x:c>
      <x:c r="M304" s="109" t="n">
        <x:v>0</x:v>
      </x:c>
      <x:c r="N304" s="109" t="n">
        <x:v>0</x:v>
      </x:c>
      <x:c r="O304" s="109" t="n">
        <x:v>0</x:v>
      </x:c>
      <x:c r="P304" s="109" t="n">
        <x:v>0</x:v>
      </x:c>
      <x:c r="Q304" s="109" t="n">
        <x:v>0</x:v>
      </x:c>
      <x:c r="R304" s="109" t="n">
        <x:v>0</x:v>
      </x:c>
      <x:c r="S304" s="109" t="n">
        <x:v>0</x:v>
      </x:c>
      <x:c r="T304" s="109" t="n">
        <x:v>0</x:v>
      </x:c>
      <x:c r="U304" s="109" t="n">
        <x:v>0</x:v>
      </x:c>
      <x:c r="V304" s="109" t="n">
        <x:v>0</x:v>
      </x:c>
      <x:c r="W304" s="109" t="n">
        <x:f>AVERAGE(E304:V304)</x:f>
        <x:v>0</x:v>
      </x:c>
      <x:c r="X304" s="109" t="n">
        <x:f>MEDIAN(E304:V304)</x:f>
        <x:v>0</x:v>
      </x:c>
      <x:c r="Y304" s="109" t="n">
        <x:f>PERCENTILE.INC(E304:V304,0.25)</x:f>
        <x:v>0</x:v>
      </x:c>
      <x:c r="Z304" s="109" t="n">
        <x:f>STDEV.P(E304:V304)</x:f>
        <x:v>0</x:v>
      </x:c>
      <x:c r="AA304" s="173" t="str">
        <x:f>IF(W304=0,"",Z304/ABS(W304))</x:f>
      </x:c>
      <x:c r="AB304" s="173" t="n">
        <x:f>IF(W304=0,0,(COUNTIF(E304:V304,"&lt;"&amp;0.5*W304)-COUNTBLANK(E304:V304))/COUNT(E304:V304))</x:f>
        <x:v>0</x:v>
      </x:c>
      <x:c r="AC304" s="109" t="n">
        <x:f>SUM(E304:V304)</x:f>
        <x:v>0</x:v>
      </x:c>
    </x:row>
    <x:row r="305">
      <x:c r="A305" s="108" t="str">
        <x:v>K</x:v>
      </x:c>
      <x:c r="B305" s="108" t="str">
        <x:v>Austin Seibert</x:v>
      </x:c>
      <x:c r="C305" s="108" t="str">
        <x:v>FA</x:v>
      </x:c>
      <x:c r="D305" s="108" t="n">
        <x:v>0</x:v>
      </x:c>
      <x:c r="E305" s="109" t="n">
        <x:v>0</x:v>
      </x:c>
      <x:c r="F305" s="109" t="n">
        <x:v>0</x:v>
      </x:c>
      <x:c r="G305" s="109" t="n">
        <x:v>0</x:v>
      </x:c>
      <x:c r="H305" s="109" t="n">
        <x:v>0</x:v>
      </x:c>
      <x:c r="I305" s="109" t="n">
        <x:v>0</x:v>
      </x:c>
      <x:c r="J305" s="109" t="n">
        <x:v>0</x:v>
      </x:c>
      <x:c r="K305" s="109" t="n">
        <x:v>0</x:v>
      </x:c>
      <x:c r="L305" s="109" t="n">
        <x:v>0</x:v>
      </x:c>
      <x:c r="M305" s="109" t="n">
        <x:v>0</x:v>
      </x:c>
      <x:c r="N305" s="109" t="n">
        <x:v>0</x:v>
      </x:c>
      <x:c r="O305" s="109" t="n">
        <x:v>0</x:v>
      </x:c>
      <x:c r="P305" s="109" t="n">
        <x:v>0</x:v>
      </x:c>
      <x:c r="Q305" s="109" t="n">
        <x:v>0</x:v>
      </x:c>
      <x:c r="R305" s="109" t="n">
        <x:v>0</x:v>
      </x:c>
      <x:c r="S305" s="109" t="n">
        <x:v>0</x:v>
      </x:c>
      <x:c r="T305" s="109" t="n">
        <x:v>0</x:v>
      </x:c>
      <x:c r="U305" s="109" t="n">
        <x:v>0</x:v>
      </x:c>
      <x:c r="V305" s="109" t="n">
        <x:v>0</x:v>
      </x:c>
      <x:c r="W305" s="109" t="n">
        <x:f>AVERAGE(E305:V305)</x:f>
        <x:v>0</x:v>
      </x:c>
      <x:c r="X305" s="109" t="n">
        <x:f>MEDIAN(E305:V305)</x:f>
        <x:v>0</x:v>
      </x:c>
      <x:c r="Y305" s="109" t="n">
        <x:f>PERCENTILE.INC(E305:V305,0.25)</x:f>
        <x:v>0</x:v>
      </x:c>
      <x:c r="Z305" s="109" t="n">
        <x:f>STDEV.P(E305:V305)</x:f>
        <x:v>0</x:v>
      </x:c>
      <x:c r="AA305" s="173" t="str">
        <x:f>IF(W305=0,"",Z305/ABS(W305))</x:f>
      </x:c>
      <x:c r="AB305" s="173" t="n">
        <x:f>IF(W305=0,0,(COUNTIF(E305:V305,"&lt;"&amp;0.5*W305)-COUNTBLANK(E305:V305))/COUNT(E305:V305))</x:f>
        <x:v>0</x:v>
      </x:c>
      <x:c r="AC305" s="109" t="n">
        <x:f>SUM(E305:V305)</x:f>
        <x:v>0</x:v>
      </x:c>
    </x:row>
    <x:row r="306">
      <x:c r="A306" s="108" t="str">
        <x:v>K</x:v>
      </x:c>
      <x:c r="B306" s="108" t="str">
        <x:v>Brayden Narveson</x:v>
      </x:c>
      <x:c r="C306" s="108" t="str">
        <x:v>FA</x:v>
      </x:c>
      <x:c r="D306" s="108" t="n">
        <x:v>0</x:v>
      </x:c>
      <x:c r="E306" s="109" t="n">
        <x:v>0</x:v>
      </x:c>
      <x:c r="F306" s="109" t="n">
        <x:v>0</x:v>
      </x:c>
      <x:c r="G306" s="109" t="n">
        <x:v>0</x:v>
      </x:c>
      <x:c r="H306" s="109" t="n">
        <x:v>0</x:v>
      </x:c>
      <x:c r="I306" s="109" t="n">
        <x:v>0</x:v>
      </x:c>
      <x:c r="J306" s="109" t="n">
        <x:v>0</x:v>
      </x:c>
      <x:c r="K306" s="109" t="n">
        <x:v>0</x:v>
      </x:c>
      <x:c r="L306" s="109" t="n">
        <x:v>0</x:v>
      </x:c>
      <x:c r="M306" s="109" t="n">
        <x:v>0</x:v>
      </x:c>
      <x:c r="N306" s="109" t="n">
        <x:v>0</x:v>
      </x:c>
      <x:c r="O306" s="109" t="n">
        <x:v>0</x:v>
      </x:c>
      <x:c r="P306" s="109" t="n">
        <x:v>0</x:v>
      </x:c>
      <x:c r="Q306" s="109" t="n">
        <x:v>0</x:v>
      </x:c>
      <x:c r="R306" s="109" t="n">
        <x:v>0</x:v>
      </x:c>
      <x:c r="S306" s="109" t="n">
        <x:v>0</x:v>
      </x:c>
      <x:c r="T306" s="109" t="n">
        <x:v>0</x:v>
      </x:c>
      <x:c r="U306" s="109" t="n">
        <x:v>0</x:v>
      </x:c>
      <x:c r="V306" s="109" t="n">
        <x:v>0</x:v>
      </x:c>
      <x:c r="W306" s="109" t="n">
        <x:f>AVERAGE(E306:V306)</x:f>
        <x:v>0</x:v>
      </x:c>
      <x:c r="X306" s="109" t="n">
        <x:f>MEDIAN(E306:V306)</x:f>
        <x:v>0</x:v>
      </x:c>
      <x:c r="Y306" s="109" t="n">
        <x:f>PERCENTILE.INC(E306:V306,0.25)</x:f>
        <x:v>0</x:v>
      </x:c>
      <x:c r="Z306" s="109" t="n">
        <x:f>STDEV.P(E306:V306)</x:f>
        <x:v>0</x:v>
      </x:c>
      <x:c r="AA306" s="173" t="str">
        <x:f>IF(W306=0,"",Z306/ABS(W306))</x:f>
      </x:c>
      <x:c r="AB306" s="173" t="n">
        <x:f>IF(W306=0,0,(COUNTIF(E306:V306,"&lt;"&amp;0.5*W306)-COUNTBLANK(E306:V306))/COUNT(E306:V306))</x:f>
        <x:v>0</x:v>
      </x:c>
      <x:c r="AC306" s="109" t="n">
        <x:f>SUM(E306:V306)</x:f>
        <x:v>0</x:v>
      </x:c>
    </x:row>
    <x:row r="307">
      <x:c r="A307" s="108" t="str">
        <x:v>K</x:v>
      </x:c>
      <x:c r="B307" s="108" t="str">
        <x:v>Brett Maher</x:v>
      </x:c>
      <x:c r="C307" s="108" t="str">
        <x:v>FA</x:v>
      </x:c>
      <x:c r="D307" s="108" t="n">
        <x:v>0</x:v>
      </x:c>
      <x:c r="E307" s="109" t="n">
        <x:v>0</x:v>
      </x:c>
      <x:c r="F307" s="109" t="n">
        <x:v>0</x:v>
      </x:c>
      <x:c r="G307" s="109" t="n">
        <x:v>0</x:v>
      </x:c>
      <x:c r="H307" s="109" t="n">
        <x:v>0</x:v>
      </x:c>
      <x:c r="I307" s="109" t="n">
        <x:v>0</x:v>
      </x:c>
      <x:c r="J307" s="109" t="n">
        <x:v>0</x:v>
      </x:c>
      <x:c r="K307" s="109" t="n">
        <x:v>0</x:v>
      </x:c>
      <x:c r="L307" s="109" t="n">
        <x:v>0</x:v>
      </x:c>
      <x:c r="M307" s="109" t="n">
        <x:v>0</x:v>
      </x:c>
      <x:c r="N307" s="109" t="n">
        <x:v>0</x:v>
      </x:c>
      <x:c r="O307" s="109" t="n">
        <x:v>0</x:v>
      </x:c>
      <x:c r="P307" s="109" t="n">
        <x:v>0</x:v>
      </x:c>
      <x:c r="Q307" s="109" t="n">
        <x:v>0</x:v>
      </x:c>
      <x:c r="R307" s="109" t="n">
        <x:v>0</x:v>
      </x:c>
      <x:c r="S307" s="109" t="n">
        <x:v>0</x:v>
      </x:c>
      <x:c r="T307" s="109" t="n">
        <x:v>0</x:v>
      </x:c>
      <x:c r="U307" s="109" t="n">
        <x:v>0</x:v>
      </x:c>
      <x:c r="V307" s="109" t="n">
        <x:v>0</x:v>
      </x:c>
      <x:c r="W307" s="109" t="n">
        <x:f>AVERAGE(E307:V307)</x:f>
        <x:v>0</x:v>
      </x:c>
      <x:c r="X307" s="109" t="n">
        <x:f>MEDIAN(E307:V307)</x:f>
        <x:v>0</x:v>
      </x:c>
      <x:c r="Y307" s="109" t="n">
        <x:f>PERCENTILE.INC(E307:V307,0.25)</x:f>
        <x:v>0</x:v>
      </x:c>
      <x:c r="Z307" s="109" t="n">
        <x:f>STDEV.P(E307:V307)</x:f>
        <x:v>0</x:v>
      </x:c>
      <x:c r="AA307" s="173" t="str">
        <x:f>IF(W307=0,"",Z307/ABS(W307))</x:f>
      </x:c>
      <x:c r="AB307" s="173" t="n">
        <x:f>IF(W307=0,0,(COUNTIF(E307:V307,"&lt;"&amp;0.5*W307)-COUNTBLANK(E307:V307))/COUNT(E307:V307))</x:f>
        <x:v>0</x:v>
      </x:c>
      <x:c r="AC307" s="109" t="n">
        <x:f>SUM(E307:V307)</x:f>
        <x:v>0</x:v>
      </x:c>
    </x:row>
    <x:row r="308">
      <x:c r="A308" s="108" t="str">
        <x:v>K</x:v>
      </x:c>
      <x:c r="B308" s="108" t="str">
        <x:v>Cade York</x:v>
      </x:c>
      <x:c r="C308" s="108" t="str">
        <x:v>FA</x:v>
      </x:c>
      <x:c r="D308" s="108" t="n">
        <x:v>0</x:v>
      </x:c>
      <x:c r="E308" s="109" t="n">
        <x:v>0</x:v>
      </x:c>
      <x:c r="F308" s="109" t="n">
        <x:v>0</x:v>
      </x:c>
      <x:c r="G308" s="109" t="n">
        <x:v>0</x:v>
      </x:c>
      <x:c r="H308" s="109" t="n">
        <x:v>0</x:v>
      </x:c>
      <x:c r="I308" s="109" t="n">
        <x:v>0</x:v>
      </x:c>
      <x:c r="J308" s="109" t="n">
        <x:v>0</x:v>
      </x:c>
      <x:c r="K308" s="109" t="n">
        <x:v>0</x:v>
      </x:c>
      <x:c r="L308" s="109" t="n">
        <x:v>0</x:v>
      </x:c>
      <x:c r="M308" s="109" t="n">
        <x:v>0</x:v>
      </x:c>
      <x:c r="N308" s="109" t="n">
        <x:v>0</x:v>
      </x:c>
      <x:c r="O308" s="109" t="n">
        <x:v>0</x:v>
      </x:c>
      <x:c r="P308" s="109" t="n">
        <x:v>0</x:v>
      </x:c>
      <x:c r="Q308" s="109" t="n">
        <x:v>0</x:v>
      </x:c>
      <x:c r="R308" s="109" t="n">
        <x:v>0</x:v>
      </x:c>
      <x:c r="S308" s="109" t="n">
        <x:v>0</x:v>
      </x:c>
      <x:c r="T308" s="109" t="n">
        <x:v>0</x:v>
      </x:c>
      <x:c r="U308" s="109" t="n">
        <x:v>0</x:v>
      </x:c>
      <x:c r="V308" s="109" t="n">
        <x:v>0</x:v>
      </x:c>
      <x:c r="W308" s="109" t="n">
        <x:f>AVERAGE(E308:V308)</x:f>
        <x:v>0</x:v>
      </x:c>
      <x:c r="X308" s="109" t="n">
        <x:f>MEDIAN(E308:V308)</x:f>
        <x:v>0</x:v>
      </x:c>
      <x:c r="Y308" s="109" t="n">
        <x:f>PERCENTILE.INC(E308:V308,0.25)</x:f>
        <x:v>0</x:v>
      </x:c>
      <x:c r="Z308" s="109" t="n">
        <x:f>STDEV.P(E308:V308)</x:f>
        <x:v>0</x:v>
      </x:c>
      <x:c r="AA308" s="173" t="str">
        <x:f>IF(W308=0,"",Z308/ABS(W308))</x:f>
      </x:c>
      <x:c r="AB308" s="173" t="n">
        <x:f>IF(W308=0,0,(COUNTIF(E308:V308,"&lt;"&amp;0.5*W308)-COUNTBLANK(E308:V308))/COUNT(E308:V308))</x:f>
        <x:v>0</x:v>
      </x:c>
      <x:c r="AC308" s="109" t="n">
        <x:f>SUM(E308:V308)</x:f>
        <x:v>0</x:v>
      </x:c>
    </x:row>
    <x:row r="309">
      <x:c r="A309" s="108" t="str">
        <x:v>K</x:v>
      </x:c>
      <x:c r="B309" s="108" t="str">
        <x:v>Caden Davis</x:v>
      </x:c>
      <x:c r="C309" s="108" t="str">
        <x:v>FA</x:v>
      </x:c>
      <x:c r="D309" s="108" t="n">
        <x:v>0</x:v>
      </x:c>
      <x:c r="E309" s="109" t="n">
        <x:v>0</x:v>
      </x:c>
      <x:c r="F309" s="109" t="n">
        <x:v>0</x:v>
      </x:c>
      <x:c r="G309" s="109" t="n">
        <x:v>0</x:v>
      </x:c>
      <x:c r="H309" s="109" t="n">
        <x:v>0</x:v>
      </x:c>
      <x:c r="I309" s="109" t="n">
        <x:v>0</x:v>
      </x:c>
      <x:c r="J309" s="109" t="n">
        <x:v>0</x:v>
      </x:c>
      <x:c r="K309" s="109" t="n">
        <x:v>0</x:v>
      </x:c>
      <x:c r="L309" s="109" t="n">
        <x:v>0</x:v>
      </x:c>
      <x:c r="M309" s="109" t="n">
        <x:v>0</x:v>
      </x:c>
      <x:c r="N309" s="109" t="n">
        <x:v>0</x:v>
      </x:c>
      <x:c r="O309" s="109" t="n">
        <x:v>0</x:v>
      </x:c>
      <x:c r="P309" s="109" t="n">
        <x:v>0</x:v>
      </x:c>
      <x:c r="Q309" s="109" t="n">
        <x:v>0</x:v>
      </x:c>
      <x:c r="R309" s="109" t="n">
        <x:v>0</x:v>
      </x:c>
      <x:c r="S309" s="109" t="n">
        <x:v>0</x:v>
      </x:c>
      <x:c r="T309" s="109" t="n">
        <x:v>0</x:v>
      </x:c>
      <x:c r="U309" s="109" t="n">
        <x:v>0</x:v>
      </x:c>
      <x:c r="V309" s="109" t="n">
        <x:v>0</x:v>
      </x:c>
      <x:c r="W309" s="109" t="n">
        <x:f>AVERAGE(E309:V309)</x:f>
        <x:v>0</x:v>
      </x:c>
      <x:c r="X309" s="109" t="n">
        <x:f>MEDIAN(E309:V309)</x:f>
        <x:v>0</x:v>
      </x:c>
      <x:c r="Y309" s="109" t="n">
        <x:f>PERCENTILE.INC(E309:V309,0.25)</x:f>
        <x:v>0</x:v>
      </x:c>
      <x:c r="Z309" s="109" t="n">
        <x:f>STDEV.P(E309:V309)</x:f>
        <x:v>0</x:v>
      </x:c>
      <x:c r="AA309" s="173" t="str">
        <x:f>IF(W309=0,"",Z309/ABS(W309))</x:f>
      </x:c>
      <x:c r="AB309" s="173" t="n">
        <x:f>IF(W309=0,0,(COUNTIF(E309:V309,"&lt;"&amp;0.5*W309)-COUNTBLANK(E309:V309))/COUNT(E309:V309))</x:f>
        <x:v>0</x:v>
      </x:c>
      <x:c r="AC309" s="109" t="n">
        <x:f>SUM(E309:V309)</x:f>
        <x:v>0</x:v>
      </x:c>
    </x:row>
    <x:row r="310">
      <x:c r="A310" s="108" t="str">
        <x:v>K</x:v>
      </x:c>
      <x:c r="B310" s="108" t="str">
        <x:v>Caleb Shudak</x:v>
      </x:c>
      <x:c r="C310" s="108" t="str">
        <x:v>FA</x:v>
      </x:c>
      <x:c r="D310" s="108" t="n">
        <x:v>0</x:v>
      </x:c>
      <x:c r="E310" s="109" t="n">
        <x:v>0</x:v>
      </x:c>
      <x:c r="F310" s="109" t="n">
        <x:v>0</x:v>
      </x:c>
      <x:c r="G310" s="109" t="n">
        <x:v>0</x:v>
      </x:c>
      <x:c r="H310" s="109" t="n">
        <x:v>0</x:v>
      </x:c>
      <x:c r="I310" s="109" t="n">
        <x:v>0</x:v>
      </x:c>
      <x:c r="J310" s="109" t="n">
        <x:v>0</x:v>
      </x:c>
      <x:c r="K310" s="109" t="n">
        <x:v>0</x:v>
      </x:c>
      <x:c r="L310" s="109" t="n">
        <x:v>0</x:v>
      </x:c>
      <x:c r="M310" s="109" t="n">
        <x:v>0</x:v>
      </x:c>
      <x:c r="N310" s="109" t="n">
        <x:v>0</x:v>
      </x:c>
      <x:c r="O310" s="109" t="n">
        <x:v>0</x:v>
      </x:c>
      <x:c r="P310" s="109" t="n">
        <x:v>0</x:v>
      </x:c>
      <x:c r="Q310" s="109" t="n">
        <x:v>0</x:v>
      </x:c>
      <x:c r="R310" s="109" t="n">
        <x:v>0</x:v>
      </x:c>
      <x:c r="S310" s="109" t="n">
        <x:v>0</x:v>
      </x:c>
      <x:c r="T310" s="109" t="n">
        <x:v>0</x:v>
      </x:c>
      <x:c r="U310" s="109" t="n">
        <x:v>0</x:v>
      </x:c>
      <x:c r="V310" s="109" t="n">
        <x:v>0</x:v>
      </x:c>
      <x:c r="W310" s="109" t="n">
        <x:f>AVERAGE(E310:V310)</x:f>
        <x:v>0</x:v>
      </x:c>
      <x:c r="X310" s="109" t="n">
        <x:f>MEDIAN(E310:V310)</x:f>
        <x:v>0</x:v>
      </x:c>
      <x:c r="Y310" s="109" t="n">
        <x:f>PERCENTILE.INC(E310:V310,0.25)</x:f>
        <x:v>0</x:v>
      </x:c>
      <x:c r="Z310" s="109" t="n">
        <x:f>STDEV.P(E310:V310)</x:f>
        <x:v>0</x:v>
      </x:c>
      <x:c r="AA310" s="173" t="str">
        <x:f>IF(W310=0,"",Z310/ABS(W310))</x:f>
      </x:c>
      <x:c r="AB310" s="173" t="n">
        <x:f>IF(W310=0,0,(COUNTIF(E310:V310,"&lt;"&amp;0.5*W310)-COUNTBLANK(E310:V310))/COUNT(E310:V310))</x:f>
        <x:v>0</x:v>
      </x:c>
      <x:c r="AC310" s="109" t="n">
        <x:f>SUM(E310:V310)</x:f>
        <x:v>0</x:v>
      </x:c>
    </x:row>
    <x:row r="311">
      <x:c r="A311" s="108" t="str">
        <x:v>K</x:v>
      </x:c>
      <x:c r="B311" s="108" t="str">
        <x:v>Christopher Dunn</x:v>
      </x:c>
      <x:c r="C311" s="108" t="str">
        <x:v>FA</x:v>
      </x:c>
      <x:c r="D311" s="108" t="n">
        <x:v>0</x:v>
      </x:c>
      <x:c r="E311" s="109" t="n">
        <x:v>0</x:v>
      </x:c>
      <x:c r="F311" s="109" t="n">
        <x:v>0</x:v>
      </x:c>
      <x:c r="G311" s="109" t="n">
        <x:v>0</x:v>
      </x:c>
      <x:c r="H311" s="109" t="n">
        <x:v>0</x:v>
      </x:c>
      <x:c r="I311" s="109" t="n">
        <x:v>0</x:v>
      </x:c>
      <x:c r="J311" s="109" t="n">
        <x:v>0</x:v>
      </x:c>
      <x:c r="K311" s="109" t="n">
        <x:v>0</x:v>
      </x:c>
      <x:c r="L311" s="109" t="n">
        <x:v>0</x:v>
      </x:c>
      <x:c r="M311" s="109" t="n">
        <x:v>0</x:v>
      </x:c>
      <x:c r="N311" s="109" t="n">
        <x:v>0</x:v>
      </x:c>
      <x:c r="O311" s="109" t="n">
        <x:v>0</x:v>
      </x:c>
      <x:c r="P311" s="109" t="n">
        <x:v>0</x:v>
      </x:c>
      <x:c r="Q311" s="109" t="n">
        <x:v>0</x:v>
      </x:c>
      <x:c r="R311" s="109" t="n">
        <x:v>0</x:v>
      </x:c>
      <x:c r="S311" s="109" t="n">
        <x:v>0</x:v>
      </x:c>
      <x:c r="T311" s="109" t="n">
        <x:v>0</x:v>
      </x:c>
      <x:c r="U311" s="109" t="n">
        <x:v>0</x:v>
      </x:c>
      <x:c r="V311" s="109" t="n">
        <x:v>0</x:v>
      </x:c>
      <x:c r="W311" s="109" t="n">
        <x:f>AVERAGE(E311:V311)</x:f>
        <x:v>0</x:v>
      </x:c>
      <x:c r="X311" s="109" t="n">
        <x:f>MEDIAN(E311:V311)</x:f>
        <x:v>0</x:v>
      </x:c>
      <x:c r="Y311" s="109" t="n">
        <x:f>PERCENTILE.INC(E311:V311,0.25)</x:f>
        <x:v>0</x:v>
      </x:c>
      <x:c r="Z311" s="109" t="n">
        <x:f>STDEV.P(E311:V311)</x:f>
        <x:v>0</x:v>
      </x:c>
      <x:c r="AA311" s="173" t="str">
        <x:f>IF(W311=0,"",Z311/ABS(W311))</x:f>
      </x:c>
      <x:c r="AB311" s="173" t="n">
        <x:f>IF(W311=0,0,(COUNTIF(E311:V311,"&lt;"&amp;0.5*W311)-COUNTBLANK(E311:V311))/COUNT(E311:V311))</x:f>
        <x:v>0</x:v>
      </x:c>
      <x:c r="AC311" s="109" t="n">
        <x:f>SUM(E311:V311)</x:f>
        <x:v>0</x:v>
      </x:c>
    </x:row>
    <x:row r="312">
      <x:c r="A312" s="108" t="str">
        <x:v>K</x:v>
      </x:c>
      <x:c r="B312" s="108" t="str">
        <x:v>Dustin Hopkins</x:v>
      </x:c>
      <x:c r="C312" s="108" t="str">
        <x:v>FA</x:v>
      </x:c>
      <x:c r="D312" s="108" t="n">
        <x:v>0</x:v>
      </x:c>
      <x:c r="E312" s="109" t="n">
        <x:v>0</x:v>
      </x:c>
      <x:c r="F312" s="109" t="n">
        <x:v>0</x:v>
      </x:c>
      <x:c r="G312" s="109" t="n">
        <x:v>0</x:v>
      </x:c>
      <x:c r="H312" s="109" t="n">
        <x:v>0</x:v>
      </x:c>
      <x:c r="I312" s="109" t="n">
        <x:v>0</x:v>
      </x:c>
      <x:c r="J312" s="109" t="n">
        <x:v>0</x:v>
      </x:c>
      <x:c r="K312" s="109" t="n">
        <x:v>0</x:v>
      </x:c>
      <x:c r="L312" s="109" t="n">
        <x:v>0</x:v>
      </x:c>
      <x:c r="M312" s="109" t="n">
        <x:v>0</x:v>
      </x:c>
      <x:c r="N312" s="109" t="n">
        <x:v>0</x:v>
      </x:c>
      <x:c r="O312" s="109" t="n">
        <x:v>0</x:v>
      </x:c>
      <x:c r="P312" s="109" t="n">
        <x:v>0</x:v>
      </x:c>
      <x:c r="Q312" s="109" t="n">
        <x:v>0</x:v>
      </x:c>
      <x:c r="R312" s="109" t="n">
        <x:v>0</x:v>
      </x:c>
      <x:c r="S312" s="109" t="n">
        <x:v>0</x:v>
      </x:c>
      <x:c r="T312" s="109" t="n">
        <x:v>0</x:v>
      </x:c>
      <x:c r="U312" s="109" t="n">
        <x:v>0</x:v>
      </x:c>
      <x:c r="V312" s="109" t="n">
        <x:v>0</x:v>
      </x:c>
      <x:c r="W312" s="109" t="n">
        <x:f>AVERAGE(E312:V312)</x:f>
        <x:v>0</x:v>
      </x:c>
      <x:c r="X312" s="109" t="n">
        <x:f>MEDIAN(E312:V312)</x:f>
        <x:v>0</x:v>
      </x:c>
      <x:c r="Y312" s="109" t="n">
        <x:f>PERCENTILE.INC(E312:V312,0.25)</x:f>
        <x:v>0</x:v>
      </x:c>
      <x:c r="Z312" s="109" t="n">
        <x:f>STDEV.P(E312:V312)</x:f>
        <x:v>0</x:v>
      </x:c>
      <x:c r="AA312" s="173" t="str">
        <x:f>IF(W312=0,"",Z312/ABS(W312))</x:f>
      </x:c>
      <x:c r="AB312" s="173" t="n">
        <x:f>IF(W312=0,0,(COUNTIF(E312:V312,"&lt;"&amp;0.5*W312)-COUNTBLANK(E312:V312))/COUNT(E312:V312))</x:f>
        <x:v>0</x:v>
      </x:c>
      <x:c r="AC312" s="109" t="n">
        <x:f>SUM(E312:V312)</x:f>
        <x:v>0</x:v>
      </x:c>
    </x:row>
    <x:row r="313">
      <x:c r="A313" s="108" t="str">
        <x:v>K</x:v>
      </x:c>
      <x:c r="B313" s="108" t="str">
        <x:v>Greg Joseph</x:v>
      </x:c>
      <x:c r="C313" s="108" t="str">
        <x:v>FA</x:v>
      </x:c>
      <x:c r="D313" s="108" t="n">
        <x:v>0</x:v>
      </x:c>
      <x:c r="E313" s="109" t="n">
        <x:v>0</x:v>
      </x:c>
      <x:c r="F313" s="109" t="n">
        <x:v>0</x:v>
      </x:c>
      <x:c r="G313" s="109" t="n">
        <x:v>0</x:v>
      </x:c>
      <x:c r="H313" s="109" t="n">
        <x:v>0</x:v>
      </x:c>
      <x:c r="I313" s="109" t="n">
        <x:v>0</x:v>
      </x:c>
      <x:c r="J313" s="109" t="n">
        <x:v>0</x:v>
      </x:c>
      <x:c r="K313" s="109" t="n">
        <x:v>0</x:v>
      </x:c>
      <x:c r="L313" s="109" t="n">
        <x:v>0</x:v>
      </x:c>
      <x:c r="M313" s="109" t="n">
        <x:v>0</x:v>
      </x:c>
      <x:c r="N313" s="109" t="n">
        <x:v>0</x:v>
      </x:c>
      <x:c r="O313" s="109" t="n">
        <x:v>0</x:v>
      </x:c>
      <x:c r="P313" s="109" t="n">
        <x:v>0</x:v>
      </x:c>
      <x:c r="Q313" s="109" t="n">
        <x:v>0</x:v>
      </x:c>
      <x:c r="R313" s="109" t="n">
        <x:v>0</x:v>
      </x:c>
      <x:c r="S313" s="109" t="n">
        <x:v>0</x:v>
      </x:c>
      <x:c r="T313" s="109" t="n">
        <x:v>0</x:v>
      </x:c>
      <x:c r="U313" s="109" t="n">
        <x:v>0</x:v>
      </x:c>
      <x:c r="V313" s="109" t="n">
        <x:v>0</x:v>
      </x:c>
      <x:c r="W313" s="109" t="n">
        <x:f>AVERAGE(E313:V313)</x:f>
        <x:v>0</x:v>
      </x:c>
      <x:c r="X313" s="109" t="n">
        <x:f>MEDIAN(E313:V313)</x:f>
        <x:v>0</x:v>
      </x:c>
      <x:c r="Y313" s="109" t="n">
        <x:f>PERCENTILE.INC(E313:V313,0.25)</x:f>
        <x:v>0</x:v>
      </x:c>
      <x:c r="Z313" s="109" t="n">
        <x:f>STDEV.P(E313:V313)</x:f>
        <x:v>0</x:v>
      </x:c>
      <x:c r="AA313" s="173" t="str">
        <x:f>IF(W313=0,"",Z313/ABS(W313))</x:f>
      </x:c>
      <x:c r="AB313" s="173" t="n">
        <x:f>IF(W313=0,0,(COUNTIF(E313:V313,"&lt;"&amp;0.5*W313)-COUNTBLANK(E313:V313))/COUNT(E313:V313))</x:f>
        <x:v>0</x:v>
      </x:c>
      <x:c r="AC313" s="109" t="n">
        <x:f>SUM(E313:V313)</x:f>
        <x:v>0</x:v>
      </x:c>
    </x:row>
    <x:row r="314">
      <x:c r="A314" s="108" t="str">
        <x:v>K</x:v>
      </x:c>
      <x:c r="B314" s="108" t="str">
        <x:v>Greg Zuerlein</x:v>
      </x:c>
      <x:c r="C314" s="108" t="str">
        <x:v>FA</x:v>
      </x:c>
      <x:c r="D314" s="108" t="n">
        <x:v>0</x:v>
      </x:c>
      <x:c r="E314" s="109" t="n">
        <x:v>0</x:v>
      </x:c>
      <x:c r="F314" s="109" t="n">
        <x:v>0</x:v>
      </x:c>
      <x:c r="G314" s="109" t="n">
        <x:v>0</x:v>
      </x:c>
      <x:c r="H314" s="109" t="n">
        <x:v>0</x:v>
      </x:c>
      <x:c r="I314" s="109" t="n">
        <x:v>0</x:v>
      </x:c>
      <x:c r="J314" s="109" t="n">
        <x:v>0</x:v>
      </x:c>
      <x:c r="K314" s="109" t="n">
        <x:v>0</x:v>
      </x:c>
      <x:c r="L314" s="109" t="n">
        <x:v>0</x:v>
      </x:c>
      <x:c r="M314" s="109" t="n">
        <x:v>0</x:v>
      </x:c>
      <x:c r="N314" s="109" t="n">
        <x:v>0</x:v>
      </x:c>
      <x:c r="O314" s="109" t="n">
        <x:v>0</x:v>
      </x:c>
      <x:c r="P314" s="109" t="n">
        <x:v>0</x:v>
      </x:c>
      <x:c r="Q314" s="109" t="n">
        <x:v>0</x:v>
      </x:c>
      <x:c r="R314" s="109" t="n">
        <x:v>0</x:v>
      </x:c>
      <x:c r="S314" s="109" t="n">
        <x:v>0</x:v>
      </x:c>
      <x:c r="T314" s="109" t="n">
        <x:v>0</x:v>
      </x:c>
      <x:c r="U314" s="109" t="n">
        <x:v>0</x:v>
      </x:c>
      <x:c r="V314" s="109" t="n">
        <x:v>0</x:v>
      </x:c>
      <x:c r="W314" s="109" t="n">
        <x:f>AVERAGE(E314:V314)</x:f>
        <x:v>0</x:v>
      </x:c>
      <x:c r="X314" s="109" t="n">
        <x:f>MEDIAN(E314:V314)</x:f>
        <x:v>0</x:v>
      </x:c>
      <x:c r="Y314" s="109" t="n">
        <x:f>PERCENTILE.INC(E314:V314,0.25)</x:f>
        <x:v>0</x:v>
      </x:c>
      <x:c r="Z314" s="109" t="n">
        <x:f>STDEV.P(E314:V314)</x:f>
        <x:v>0</x:v>
      </x:c>
      <x:c r="AA314" s="173" t="str">
        <x:f>IF(W314=0,"",Z314/ABS(W314))</x:f>
      </x:c>
      <x:c r="AB314" s="173" t="n">
        <x:f>IF(W314=0,0,(COUNTIF(E314:V314,"&lt;"&amp;0.5*W314)-COUNTBLANK(E314:V314))/COUNT(E314:V314))</x:f>
        <x:v>0</x:v>
      </x:c>
      <x:c r="AC314" s="109" t="n">
        <x:f>SUM(E314:V314)</x:f>
        <x:v>0</x:v>
      </x:c>
    </x:row>
    <x:row r="315">
      <x:c r="A315" s="108" t="str">
        <x:v>K</x:v>
      </x:c>
      <x:c r="B315" s="108" t="str">
        <x:v>James McCourt</x:v>
      </x:c>
      <x:c r="C315" s="108" t="str">
        <x:v>FA</x:v>
      </x:c>
      <x:c r="D315" s="108" t="n">
        <x:v>0</x:v>
      </x:c>
      <x:c r="E315" s="109" t="n">
        <x:v>0</x:v>
      </x:c>
      <x:c r="F315" s="109" t="n">
        <x:v>0</x:v>
      </x:c>
      <x:c r="G315" s="109" t="n">
        <x:v>0</x:v>
      </x:c>
      <x:c r="H315" s="109" t="n">
        <x:v>0</x:v>
      </x:c>
      <x:c r="I315" s="109" t="n">
        <x:v>0</x:v>
      </x:c>
      <x:c r="J315" s="109" t="n">
        <x:v>0</x:v>
      </x:c>
      <x:c r="K315" s="109" t="n">
        <x:v>0</x:v>
      </x:c>
      <x:c r="L315" s="109" t="n">
        <x:v>0</x:v>
      </x:c>
      <x:c r="M315" s="109" t="n">
        <x:v>0</x:v>
      </x:c>
      <x:c r="N315" s="109" t="n">
        <x:v>0</x:v>
      </x:c>
      <x:c r="O315" s="109" t="n">
        <x:v>0</x:v>
      </x:c>
      <x:c r="P315" s="109" t="n">
        <x:v>0</x:v>
      </x:c>
      <x:c r="Q315" s="109" t="n">
        <x:v>0</x:v>
      </x:c>
      <x:c r="R315" s="109" t="n">
        <x:v>0</x:v>
      </x:c>
      <x:c r="S315" s="109" t="n">
        <x:v>0</x:v>
      </x:c>
      <x:c r="T315" s="109" t="n">
        <x:v>0</x:v>
      </x:c>
      <x:c r="U315" s="109" t="n">
        <x:v>0</x:v>
      </x:c>
      <x:c r="V315" s="109" t="n">
        <x:v>0</x:v>
      </x:c>
      <x:c r="W315" s="109" t="n">
        <x:f>AVERAGE(E315:V315)</x:f>
        <x:v>0</x:v>
      </x:c>
      <x:c r="X315" s="109" t="n">
        <x:f>MEDIAN(E315:V315)</x:f>
        <x:v>0</x:v>
      </x:c>
      <x:c r="Y315" s="109" t="n">
        <x:f>PERCENTILE.INC(E315:V315,0.25)</x:f>
        <x:v>0</x:v>
      </x:c>
      <x:c r="Z315" s="109" t="n">
        <x:f>STDEV.P(E315:V315)</x:f>
        <x:v>0</x:v>
      </x:c>
      <x:c r="AA315" s="173" t="str">
        <x:f>IF(W315=0,"",Z315/ABS(W315))</x:f>
      </x:c>
      <x:c r="AB315" s="173" t="n">
        <x:f>IF(W315=0,0,(COUNTIF(E315:V315,"&lt;"&amp;0.5*W315)-COUNTBLANK(E315:V315))/COUNT(E315:V315))</x:f>
        <x:v>0</x:v>
      </x:c>
      <x:c r="AC315" s="109" t="n">
        <x:f>SUM(E315:V315)</x:f>
        <x:v>0</x:v>
      </x:c>
    </x:row>
    <x:row r="316">
      <x:c r="A316" s="108" t="str">
        <x:v>K</x:v>
      </x:c>
      <x:c r="B316" s="108" t="str">
        <x:v>Jason Sanders</x:v>
      </x:c>
      <x:c r="C316" s="108" t="str">
        <x:v>MIA</x:v>
      </x:c>
      <x:c r="D316" s="108" t="n">
        <x:v>12</x:v>
      </x:c>
      <x:c r="E316" s="109" t="n">
        <x:v>0</x:v>
      </x:c>
      <x:c r="F316" s="109" t="n">
        <x:v>0</x:v>
      </x:c>
      <x:c r="G316" s="109" t="n">
        <x:v>0</x:v>
      </x:c>
      <x:c r="H316" s="109" t="n">
        <x:v>0</x:v>
      </x:c>
      <x:c r="I316" s="109" t="n">
        <x:v>0</x:v>
      </x:c>
      <x:c r="J316" s="109" t="n">
        <x:v>0</x:v>
      </x:c>
      <x:c r="K316" s="109" t="n">
        <x:v>0</x:v>
      </x:c>
      <x:c r="L316" s="109" t="n">
        <x:v>0</x:v>
      </x:c>
      <x:c r="M316" s="109" t="n">
        <x:v>0</x:v>
      </x:c>
      <x:c r="N316" s="109" t="n">
        <x:v>0</x:v>
      </x:c>
      <x:c r="O316" s="109" t="n">
        <x:v>0</x:v>
      </x:c>
      <x:c r="P316" s="109"/>
      <x:c r="Q316" s="109" t="n">
        <x:v>0</x:v>
      </x:c>
      <x:c r="R316" s="109" t="n">
        <x:v>0</x:v>
      </x:c>
      <x:c r="S316" s="109" t="n">
        <x:v>0</x:v>
      </x:c>
      <x:c r="T316" s="109" t="n">
        <x:v>0</x:v>
      </x:c>
      <x:c r="U316" s="109" t="n">
        <x:v>0</x:v>
      </x:c>
      <x:c r="V316" s="109" t="n">
        <x:v>0</x:v>
      </x:c>
      <x:c r="W316" s="109" t="n">
        <x:f>AVERAGE(E316:V316)</x:f>
        <x:v>0</x:v>
      </x:c>
      <x:c r="X316" s="109" t="n">
        <x:f>MEDIAN(E316:V316)</x:f>
        <x:v>0</x:v>
      </x:c>
      <x:c r="Y316" s="109" t="n">
        <x:f>PERCENTILE.INC(E316:V316,0.25)</x:f>
        <x:v>0</x:v>
      </x:c>
      <x:c r="Z316" s="109" t="n">
        <x:f>STDEV.P(E316:V316)</x:f>
        <x:v>0</x:v>
      </x:c>
      <x:c r="AA316" s="173" t="str">
        <x:f>IF(W316=0,"",Z316/ABS(W316))</x:f>
      </x:c>
      <x:c r="AB316" s="173" t="n">
        <x:f>IF(W316=0,0,(COUNTIF(E316:V316,"&lt;"&amp;0.5*W316)-COUNTBLANK(E316:V316))/COUNT(E316:V316))</x:f>
        <x:v>0</x:v>
      </x:c>
      <x:c r="AC316" s="109" t="n">
        <x:f>SUM(E316:V316)</x:f>
        <x:v>0</x:v>
      </x:c>
    </x:row>
    <x:row r="317">
      <x:c r="A317" s="108" t="str">
        <x:v>K</x:v>
      </x:c>
      <x:c r="B317" s="108" t="str">
        <x:v>Jonathan Garibay</x:v>
      </x:c>
      <x:c r="C317" s="108" t="str">
        <x:v>FA</x:v>
      </x:c>
      <x:c r="D317" s="108" t="n">
        <x:v>0</x:v>
      </x:c>
      <x:c r="E317" s="109" t="n">
        <x:v>0</x:v>
      </x:c>
      <x:c r="F317" s="109" t="n">
        <x:v>0</x:v>
      </x:c>
      <x:c r="G317" s="109" t="n">
        <x:v>0</x:v>
      </x:c>
      <x:c r="H317" s="109" t="n">
        <x:v>0</x:v>
      </x:c>
      <x:c r="I317" s="109" t="n">
        <x:v>0</x:v>
      </x:c>
      <x:c r="J317" s="109" t="n">
        <x:v>0</x:v>
      </x:c>
      <x:c r="K317" s="109" t="n">
        <x:v>0</x:v>
      </x:c>
      <x:c r="L317" s="109" t="n">
        <x:v>0</x:v>
      </x:c>
      <x:c r="M317" s="109" t="n">
        <x:v>0</x:v>
      </x:c>
      <x:c r="N317" s="109" t="n">
        <x:v>0</x:v>
      </x:c>
      <x:c r="O317" s="109" t="n">
        <x:v>0</x:v>
      </x:c>
      <x:c r="P317" s="109" t="n">
        <x:v>0</x:v>
      </x:c>
      <x:c r="Q317" s="109" t="n">
        <x:v>0</x:v>
      </x:c>
      <x:c r="R317" s="109" t="n">
        <x:v>0</x:v>
      </x:c>
      <x:c r="S317" s="109" t="n">
        <x:v>0</x:v>
      </x:c>
      <x:c r="T317" s="109" t="n">
        <x:v>0</x:v>
      </x:c>
      <x:c r="U317" s="109" t="n">
        <x:v>0</x:v>
      </x:c>
      <x:c r="V317" s="109" t="n">
        <x:v>0</x:v>
      </x:c>
      <x:c r="W317" s="109" t="n">
        <x:f>AVERAGE(E317:V317)</x:f>
        <x:v>0</x:v>
      </x:c>
      <x:c r="X317" s="109" t="n">
        <x:f>MEDIAN(E317:V317)</x:f>
        <x:v>0</x:v>
      </x:c>
      <x:c r="Y317" s="109" t="n">
        <x:f>PERCENTILE.INC(E317:V317,0.25)</x:f>
        <x:v>0</x:v>
      </x:c>
      <x:c r="Z317" s="109" t="n">
        <x:f>STDEV.P(E317:V317)</x:f>
        <x:v>0</x:v>
      </x:c>
      <x:c r="AA317" s="173" t="str">
        <x:f>IF(W317=0,"",Z317/ABS(W317))</x:f>
      </x:c>
      <x:c r="AB317" s="173" t="n">
        <x:f>IF(W317=0,0,(COUNTIF(E317:V317,"&lt;"&amp;0.5*W317)-COUNTBLANK(E317:V317))/COUNT(E317:V317))</x:f>
        <x:v>0</x:v>
      </x:c>
      <x:c r="AC317" s="109" t="n">
        <x:f>SUM(E317:V317)</x:f>
        <x:v>0</x:v>
      </x:c>
    </x:row>
    <x:row r="318">
      <x:c r="A318" s="108" t="str">
        <x:v>K</x:v>
      </x:c>
      <x:c r="B318" s="108" t="str">
        <x:v>Justin Tucker</x:v>
      </x:c>
      <x:c r="C318" s="108" t="str">
        <x:v>FA</x:v>
      </x:c>
      <x:c r="D318" s="108" t="n">
        <x:v>0</x:v>
      </x:c>
      <x:c r="E318" s="109" t="n">
        <x:v>0</x:v>
      </x:c>
      <x:c r="F318" s="109" t="n">
        <x:v>0</x:v>
      </x:c>
      <x:c r="G318" s="109" t="n">
        <x:v>0</x:v>
      </x:c>
      <x:c r="H318" s="109" t="n">
        <x:v>0</x:v>
      </x:c>
      <x:c r="I318" s="109" t="n">
        <x:v>0</x:v>
      </x:c>
      <x:c r="J318" s="109" t="n">
        <x:v>0</x:v>
      </x:c>
      <x:c r="K318" s="109" t="n">
        <x:v>0</x:v>
      </x:c>
      <x:c r="L318" s="109" t="n">
        <x:v>0</x:v>
      </x:c>
      <x:c r="M318" s="109" t="n">
        <x:v>0</x:v>
      </x:c>
      <x:c r="N318" s="109" t="n">
        <x:v>0</x:v>
      </x:c>
      <x:c r="O318" s="109" t="n">
        <x:v>0</x:v>
      </x:c>
      <x:c r="P318" s="109" t="n">
        <x:v>0</x:v>
      </x:c>
      <x:c r="Q318" s="109" t="n">
        <x:v>0</x:v>
      </x:c>
      <x:c r="R318" s="109" t="n">
        <x:v>0</x:v>
      </x:c>
      <x:c r="S318" s="109" t="n">
        <x:v>0</x:v>
      </x:c>
      <x:c r="T318" s="109" t="n">
        <x:v>0</x:v>
      </x:c>
      <x:c r="U318" s="109" t="n">
        <x:v>0</x:v>
      </x:c>
      <x:c r="V318" s="109" t="n">
        <x:v>0</x:v>
      </x:c>
      <x:c r="W318" s="109" t="n">
        <x:f>AVERAGE(E318:V318)</x:f>
        <x:v>0</x:v>
      </x:c>
      <x:c r="X318" s="109" t="n">
        <x:f>MEDIAN(E318:V318)</x:f>
        <x:v>0</x:v>
      </x:c>
      <x:c r="Y318" s="109" t="n">
        <x:f>PERCENTILE.INC(E318:V318,0.25)</x:f>
        <x:v>0</x:v>
      </x:c>
      <x:c r="Z318" s="109" t="n">
        <x:f>STDEV.P(E318:V318)</x:f>
        <x:v>0</x:v>
      </x:c>
      <x:c r="AA318" s="173" t="str">
        <x:f>IF(W318=0,"",Z318/ABS(W318))</x:f>
      </x:c>
      <x:c r="AB318" s="173" t="n">
        <x:f>IF(W318=0,0,(COUNTIF(E318:V318,"&lt;"&amp;0.5*W318)-COUNTBLANK(E318:V318))/COUNT(E318:V318))</x:f>
        <x:v>0</x:v>
      </x:c>
      <x:c r="AC318" s="109" t="n">
        <x:f>SUM(E318:V318)</x:f>
        <x:v>0</x:v>
      </x:c>
    </x:row>
    <x:row r="319">
      <x:c r="A319" s="108" t="str">
        <x:v>K</x:v>
      </x:c>
      <x:c r="B319" s="108" t="str">
        <x:v>Mason Crosby</x:v>
      </x:c>
      <x:c r="C319" s="108" t="str">
        <x:v>FA</x:v>
      </x:c>
      <x:c r="D319" s="108" t="n">
        <x:v>0</x:v>
      </x:c>
      <x:c r="E319" s="109" t="n">
        <x:v>0</x:v>
      </x:c>
      <x:c r="F319" s="109" t="n">
        <x:v>0</x:v>
      </x:c>
      <x:c r="G319" s="109" t="n">
        <x:v>0</x:v>
      </x:c>
      <x:c r="H319" s="109" t="n">
        <x:v>0</x:v>
      </x:c>
      <x:c r="I319" s="109" t="n">
        <x:v>0</x:v>
      </x:c>
      <x:c r="J319" s="109" t="n">
        <x:v>0</x:v>
      </x:c>
      <x:c r="K319" s="109" t="n">
        <x:v>0</x:v>
      </x:c>
      <x:c r="L319" s="109" t="n">
        <x:v>0</x:v>
      </x:c>
      <x:c r="M319" s="109" t="n">
        <x:v>0</x:v>
      </x:c>
      <x:c r="N319" s="109" t="n">
        <x:v>0</x:v>
      </x:c>
      <x:c r="O319" s="109" t="n">
        <x:v>0</x:v>
      </x:c>
      <x:c r="P319" s="109" t="n">
        <x:v>0</x:v>
      </x:c>
      <x:c r="Q319" s="109" t="n">
        <x:v>0</x:v>
      </x:c>
      <x:c r="R319" s="109" t="n">
        <x:v>0</x:v>
      </x:c>
      <x:c r="S319" s="109" t="n">
        <x:v>0</x:v>
      </x:c>
      <x:c r="T319" s="109" t="n">
        <x:v>0</x:v>
      </x:c>
      <x:c r="U319" s="109" t="n">
        <x:v>0</x:v>
      </x:c>
      <x:c r="V319" s="109" t="n">
        <x:v>0</x:v>
      </x:c>
      <x:c r="W319" s="109" t="n">
        <x:f>AVERAGE(E319:V319)</x:f>
        <x:v>0</x:v>
      </x:c>
      <x:c r="X319" s="109" t="n">
        <x:f>MEDIAN(E319:V319)</x:f>
        <x:v>0</x:v>
      </x:c>
      <x:c r="Y319" s="109" t="n">
        <x:f>PERCENTILE.INC(E319:V319,0.25)</x:f>
        <x:v>0</x:v>
      </x:c>
      <x:c r="Z319" s="109" t="n">
        <x:f>STDEV.P(E319:V319)</x:f>
        <x:v>0</x:v>
      </x:c>
      <x:c r="AA319" s="173" t="str">
        <x:f>IF(W319=0,"",Z319/ABS(W319))</x:f>
      </x:c>
      <x:c r="AB319" s="173" t="n">
        <x:f>IF(W319=0,0,(COUNTIF(E319:V319,"&lt;"&amp;0.5*W319)-COUNTBLANK(E319:V319))/COUNT(E319:V319))</x:f>
        <x:v>0</x:v>
      </x:c>
      <x:c r="AC319" s="109" t="n">
        <x:f>SUM(E319:V319)</x:f>
        <x:v>0</x:v>
      </x:c>
    </x:row>
    <x:row r="320">
      <x:c r="A320" s="108" t="str">
        <x:v>K</x:v>
      </x:c>
      <x:c r="B320" s="108" t="str">
        <x:v>Matt Ammendola</x:v>
      </x:c>
      <x:c r="C320" s="108" t="str">
        <x:v>FA</x:v>
      </x:c>
      <x:c r="D320" s="108" t="n">
        <x:v>0</x:v>
      </x:c>
      <x:c r="E320" s="109" t="n">
        <x:v>0</x:v>
      </x:c>
      <x:c r="F320" s="109" t="n">
        <x:v>0</x:v>
      </x:c>
      <x:c r="G320" s="109" t="n">
        <x:v>0</x:v>
      </x:c>
      <x:c r="H320" s="109" t="n">
        <x:v>0</x:v>
      </x:c>
      <x:c r="I320" s="109" t="n">
        <x:v>0</x:v>
      </x:c>
      <x:c r="J320" s="109" t="n">
        <x:v>0</x:v>
      </x:c>
      <x:c r="K320" s="109" t="n">
        <x:v>0</x:v>
      </x:c>
      <x:c r="L320" s="109" t="n">
        <x:v>0</x:v>
      </x:c>
      <x:c r="M320" s="109" t="n">
        <x:v>0</x:v>
      </x:c>
      <x:c r="N320" s="109" t="n">
        <x:v>0</x:v>
      </x:c>
      <x:c r="O320" s="109" t="n">
        <x:v>0</x:v>
      </x:c>
      <x:c r="P320" s="109" t="n">
        <x:v>0</x:v>
      </x:c>
      <x:c r="Q320" s="109" t="n">
        <x:v>0</x:v>
      </x:c>
      <x:c r="R320" s="109" t="n">
        <x:v>0</x:v>
      </x:c>
      <x:c r="S320" s="109" t="n">
        <x:v>0</x:v>
      </x:c>
      <x:c r="T320" s="109" t="n">
        <x:v>0</x:v>
      </x:c>
      <x:c r="U320" s="109" t="n">
        <x:v>0</x:v>
      </x:c>
      <x:c r="V320" s="109" t="n">
        <x:v>0</x:v>
      </x:c>
      <x:c r="W320" s="109" t="n">
        <x:f>AVERAGE(E320:V320)</x:f>
        <x:v>0</x:v>
      </x:c>
      <x:c r="X320" s="109" t="n">
        <x:f>MEDIAN(E320:V320)</x:f>
        <x:v>0</x:v>
      </x:c>
      <x:c r="Y320" s="109" t="n">
        <x:f>PERCENTILE.INC(E320:V320,0.25)</x:f>
        <x:v>0</x:v>
      </x:c>
      <x:c r="Z320" s="109" t="n">
        <x:f>STDEV.P(E320:V320)</x:f>
        <x:v>0</x:v>
      </x:c>
      <x:c r="AA320" s="173" t="str">
        <x:f>IF(W320=0,"",Z320/ABS(W320))</x:f>
      </x:c>
      <x:c r="AB320" s="173" t="n">
        <x:f>IF(W320=0,0,(COUNTIF(E320:V320,"&lt;"&amp;0.5*W320)-COUNTBLANK(E320:V320))/COUNT(E320:V320))</x:f>
        <x:v>0</x:v>
      </x:c>
      <x:c r="AC320" s="109" t="n">
        <x:f>SUM(E320:V320)</x:f>
        <x:v>0</x:v>
      </x:c>
    </x:row>
    <x:row r="321">
      <x:c r="A321" s="108" t="str">
        <x:v>K</x:v>
      </x:c>
      <x:c r="B321" s="108" t="str">
        <x:v>Nick Sciba</x:v>
      </x:c>
      <x:c r="C321" s="108" t="str">
        <x:v>FA</x:v>
      </x:c>
      <x:c r="D321" s="108" t="n">
        <x:v>0</x:v>
      </x:c>
      <x:c r="E321" s="109" t="n">
        <x:v>0</x:v>
      </x:c>
      <x:c r="F321" s="109" t="n">
        <x:v>0</x:v>
      </x:c>
      <x:c r="G321" s="109" t="n">
        <x:v>0</x:v>
      </x:c>
      <x:c r="H321" s="109" t="n">
        <x:v>0</x:v>
      </x:c>
      <x:c r="I321" s="109" t="n">
        <x:v>0</x:v>
      </x:c>
      <x:c r="J321" s="109" t="n">
        <x:v>0</x:v>
      </x:c>
      <x:c r="K321" s="109" t="n">
        <x:v>0</x:v>
      </x:c>
      <x:c r="L321" s="109" t="n">
        <x:v>0</x:v>
      </x:c>
      <x:c r="M321" s="109" t="n">
        <x:v>0</x:v>
      </x:c>
      <x:c r="N321" s="109" t="n">
        <x:v>0</x:v>
      </x:c>
      <x:c r="O321" s="109" t="n">
        <x:v>0</x:v>
      </x:c>
      <x:c r="P321" s="109" t="n">
        <x:v>0</x:v>
      </x:c>
      <x:c r="Q321" s="109" t="n">
        <x:v>0</x:v>
      </x:c>
      <x:c r="R321" s="109" t="n">
        <x:v>0</x:v>
      </x:c>
      <x:c r="S321" s="109" t="n">
        <x:v>0</x:v>
      </x:c>
      <x:c r="T321" s="109" t="n">
        <x:v>0</x:v>
      </x:c>
      <x:c r="U321" s="109" t="n">
        <x:v>0</x:v>
      </x:c>
      <x:c r="V321" s="109" t="n">
        <x:v>0</x:v>
      </x:c>
      <x:c r="W321" s="109" t="n">
        <x:f>AVERAGE(E321:V321)</x:f>
        <x:v>0</x:v>
      </x:c>
      <x:c r="X321" s="109" t="n">
        <x:f>MEDIAN(E321:V321)</x:f>
        <x:v>0</x:v>
      </x:c>
      <x:c r="Y321" s="109" t="n">
        <x:f>PERCENTILE.INC(E321:V321,0.25)</x:f>
        <x:v>0</x:v>
      </x:c>
      <x:c r="Z321" s="109" t="n">
        <x:f>STDEV.P(E321:V321)</x:f>
        <x:v>0</x:v>
      </x:c>
      <x:c r="AA321" s="173" t="str">
        <x:f>IF(W321=0,"",Z321/ABS(W321))</x:f>
      </x:c>
      <x:c r="AB321" s="173" t="n">
        <x:f>IF(W321=0,0,(COUNTIF(E321:V321,"&lt;"&amp;0.5*W321)-COUNTBLANK(E321:V321))/COUNT(E321:V321))</x:f>
        <x:v>0</x:v>
      </x:c>
      <x:c r="AC321" s="109" t="n">
        <x:f>SUM(E321:V321)</x:f>
        <x:v>0</x:v>
      </x:c>
    </x:row>
    <x:row r="322">
      <x:c r="A322" s="108" t="str">
        <x:v>K</x:v>
      </x:c>
      <x:c r="B322" s="108" t="str">
        <x:v>Randy Bullock</x:v>
      </x:c>
      <x:c r="C322" s="108" t="str">
        <x:v>FA</x:v>
      </x:c>
      <x:c r="D322" s="108" t="n">
        <x:v>0</x:v>
      </x:c>
      <x:c r="E322" s="109" t="n">
        <x:v>0</x:v>
      </x:c>
      <x:c r="F322" s="109" t="n">
        <x:v>0</x:v>
      </x:c>
      <x:c r="G322" s="109" t="n">
        <x:v>0</x:v>
      </x:c>
      <x:c r="H322" s="109" t="n">
        <x:v>0</x:v>
      </x:c>
      <x:c r="I322" s="109" t="n">
        <x:v>0</x:v>
      </x:c>
      <x:c r="J322" s="109" t="n">
        <x:v>0</x:v>
      </x:c>
      <x:c r="K322" s="109" t="n">
        <x:v>0</x:v>
      </x:c>
      <x:c r="L322" s="109" t="n">
        <x:v>0</x:v>
      </x:c>
      <x:c r="M322" s="109" t="n">
        <x:v>0</x:v>
      </x:c>
      <x:c r="N322" s="109" t="n">
        <x:v>0</x:v>
      </x:c>
      <x:c r="O322" s="109" t="n">
        <x:v>0</x:v>
      </x:c>
      <x:c r="P322" s="109" t="n">
        <x:v>0</x:v>
      </x:c>
      <x:c r="Q322" s="109" t="n">
        <x:v>0</x:v>
      </x:c>
      <x:c r="R322" s="109" t="n">
        <x:v>0</x:v>
      </x:c>
      <x:c r="S322" s="109" t="n">
        <x:v>0</x:v>
      </x:c>
      <x:c r="T322" s="109" t="n">
        <x:v>0</x:v>
      </x:c>
      <x:c r="U322" s="109" t="n">
        <x:v>0</x:v>
      </x:c>
      <x:c r="V322" s="109" t="n">
        <x:v>0</x:v>
      </x:c>
      <x:c r="W322" s="109" t="n">
        <x:f>AVERAGE(E322:V322)</x:f>
        <x:v>0</x:v>
      </x:c>
      <x:c r="X322" s="109" t="n">
        <x:f>MEDIAN(E322:V322)</x:f>
        <x:v>0</x:v>
      </x:c>
      <x:c r="Y322" s="109" t="n">
        <x:f>PERCENTILE.INC(E322:V322,0.25)</x:f>
        <x:v>0</x:v>
      </x:c>
      <x:c r="Z322" s="109" t="n">
        <x:f>STDEV.P(E322:V322)</x:f>
        <x:v>0</x:v>
      </x:c>
      <x:c r="AA322" s="173" t="str">
        <x:f>IF(W322=0,"",Z322/ABS(W322))</x:f>
      </x:c>
      <x:c r="AB322" s="173" t="n">
        <x:f>IF(W322=0,0,(COUNTIF(E322:V322,"&lt;"&amp;0.5*W322)-COUNTBLANK(E322:V322))/COUNT(E322:V322))</x:f>
        <x:v>0</x:v>
      </x:c>
      <x:c r="AC322" s="109" t="n">
        <x:f>SUM(E322:V322)</x:f>
        <x:v>0</x:v>
      </x:c>
    </x:row>
    <x:row r="323">
      <x:c r="A323" s="108" t="str">
        <x:v>K</x:v>
      </x:c>
      <x:c r="B323" s="108" t="str">
        <x:v>Tanner Brown</x:v>
      </x:c>
      <x:c r="C323" s="108" t="str">
        <x:v>FA</x:v>
      </x:c>
      <x:c r="D323" s="108" t="n">
        <x:v>0</x:v>
      </x:c>
      <x:c r="E323" s="109" t="n">
        <x:v>0</x:v>
      </x:c>
      <x:c r="F323" s="109" t="n">
        <x:v>0</x:v>
      </x:c>
      <x:c r="G323" s="109" t="n">
        <x:v>0</x:v>
      </x:c>
      <x:c r="H323" s="109" t="n">
        <x:v>0</x:v>
      </x:c>
      <x:c r="I323" s="109" t="n">
        <x:v>0</x:v>
      </x:c>
      <x:c r="J323" s="109" t="n">
        <x:v>0</x:v>
      </x:c>
      <x:c r="K323" s="109" t="n">
        <x:v>0</x:v>
      </x:c>
      <x:c r="L323" s="109" t="n">
        <x:v>0</x:v>
      </x:c>
      <x:c r="M323" s="109" t="n">
        <x:v>0</x:v>
      </x:c>
      <x:c r="N323" s="109" t="n">
        <x:v>0</x:v>
      </x:c>
      <x:c r="O323" s="109" t="n">
        <x:v>0</x:v>
      </x:c>
      <x:c r="P323" s="109" t="n">
        <x:v>0</x:v>
      </x:c>
      <x:c r="Q323" s="109" t="n">
        <x:v>0</x:v>
      </x:c>
      <x:c r="R323" s="109" t="n">
        <x:v>0</x:v>
      </x:c>
      <x:c r="S323" s="109" t="n">
        <x:v>0</x:v>
      </x:c>
      <x:c r="T323" s="109" t="n">
        <x:v>0</x:v>
      </x:c>
      <x:c r="U323" s="109" t="n">
        <x:v>0</x:v>
      </x:c>
      <x:c r="V323" s="109" t="n">
        <x:v>0</x:v>
      </x:c>
      <x:c r="W323" s="109" t="n">
        <x:f>AVERAGE(E323:V323)</x:f>
        <x:v>0</x:v>
      </x:c>
      <x:c r="X323" s="109" t="n">
        <x:f>MEDIAN(E323:V323)</x:f>
        <x:v>0</x:v>
      </x:c>
      <x:c r="Y323" s="109" t="n">
        <x:f>PERCENTILE.INC(E323:V323,0.25)</x:f>
        <x:v>0</x:v>
      </x:c>
      <x:c r="Z323" s="109" t="n">
        <x:f>STDEV.P(E323:V323)</x:f>
        <x:v>0</x:v>
      </x:c>
      <x:c r="AA323" s="173" t="str">
        <x:f>IF(W323=0,"",Z323/ABS(W323))</x:f>
      </x:c>
      <x:c r="AB323" s="173" t="n">
        <x:f>IF(W323=0,0,(COUNTIF(E323:V323,"&lt;"&amp;0.5*W323)-COUNTBLANK(E323:V323))/COUNT(E323:V323))</x:f>
        <x:v>0</x:v>
      </x:c>
      <x:c r="AC323" s="109" t="n">
        <x:f>SUM(E323:V323)</x:f>
        <x:v>0</x:v>
      </x:c>
    </x:row>
    <x:row r="324">
      <x:c r="A324" s="108" t="str">
        <x:v>K</x:v>
      </x:c>
      <x:c r="B324" s="108" t="str">
        <x:v>Tyler Bass</x:v>
      </x:c>
      <x:c r="C324" s="108" t="str">
        <x:v>BUF</x:v>
      </x:c>
      <x:c r="D324" s="108" t="n">
        <x:v>7</x:v>
      </x:c>
      <x:c r="E324" s="109" t="n">
        <x:v>0</x:v>
      </x:c>
      <x:c r="F324" s="109" t="n">
        <x:v>0</x:v>
      </x:c>
      <x:c r="G324" s="109" t="n">
        <x:v>0</x:v>
      </x:c>
      <x:c r="H324" s="109" t="n">
        <x:v>0</x:v>
      </x:c>
      <x:c r="I324" s="109" t="n">
        <x:v>0</x:v>
      </x:c>
      <x:c r="J324" s="109" t="n">
        <x:v>0</x:v>
      </x:c>
      <x:c r="K324" s="109"/>
      <x:c r="L324" s="109" t="n">
        <x:v>0</x:v>
      </x:c>
      <x:c r="M324" s="109" t="n">
        <x:v>0</x:v>
      </x:c>
      <x:c r="N324" s="109" t="n">
        <x:v>0</x:v>
      </x:c>
      <x:c r="O324" s="109" t="n">
        <x:v>0</x:v>
      </x:c>
      <x:c r="P324" s="109" t="n">
        <x:v>0</x:v>
      </x:c>
      <x:c r="Q324" s="109" t="n">
        <x:v>0</x:v>
      </x:c>
      <x:c r="R324" s="109" t="n">
        <x:v>0</x:v>
      </x:c>
      <x:c r="S324" s="109" t="n">
        <x:v>0</x:v>
      </x:c>
      <x:c r="T324" s="109" t="n">
        <x:v>0</x:v>
      </x:c>
      <x:c r="U324" s="109" t="n">
        <x:v>0</x:v>
      </x:c>
      <x:c r="V324" s="109" t="n">
        <x:v>0</x:v>
      </x:c>
      <x:c r="W324" s="109" t="n">
        <x:f>AVERAGE(E324:V324)</x:f>
        <x:v>0</x:v>
      </x:c>
      <x:c r="X324" s="109" t="n">
        <x:f>MEDIAN(E324:V324)</x:f>
        <x:v>0</x:v>
      </x:c>
      <x:c r="Y324" s="109" t="n">
        <x:f>PERCENTILE.INC(E324:V324,0.25)</x:f>
        <x:v>0</x:v>
      </x:c>
      <x:c r="Z324" s="109" t="n">
        <x:f>STDEV.P(E324:V324)</x:f>
        <x:v>0</x:v>
      </x:c>
      <x:c r="AA324" s="173" t="str">
        <x:f>IF(W324=0,"",Z324/ABS(W324))</x:f>
      </x:c>
      <x:c r="AB324" s="173" t="n">
        <x:f>IF(W324=0,0,(COUNTIF(E324:V324,"&lt;"&amp;0.5*W324)-COUNTBLANK(E324:V324))/COUNT(E324:V324))</x:f>
        <x:v>0</x:v>
      </x:c>
      <x:c r="AC324" s="109" t="n">
        <x:f>SUM(E324:V324)</x:f>
        <x:v>0</x:v>
      </x:c>
    </x:row>
    <x:row r="325">
      <x:c r="A325" s="108" t="str">
        <x:v>D/ST</x:v>
      </x:c>
      <x:c r="B325" s="108" t="str">
        <x:v>Seahawks D/ST</x:v>
      </x:c>
      <x:c r="C325" s="108" t="str">
        <x:v>SEA</x:v>
      </x:c>
      <x:c r="D325" s="108" t="n">
        <x:v>8</x:v>
      </x:c>
      <x:c r="E325" s="109" t="n">
        <x:v>17</x:v>
      </x:c>
      <x:c r="F325" s="109" t="n">
        <x:v>17</x:v>
      </x:c>
      <x:c r="G325" s="109" t="n">
        <x:v>24</x:v>
      </x:c>
      <x:c r="H325" s="109" t="n">
        <x:v>12</x:v>
      </x:c>
      <x:c r="I325" s="109" t="n">
        <x:v>3</x:v>
      </x:c>
      <x:c r="J325" s="109" t="n">
        <x:v>15</x:v>
      </x:c>
      <x:c r="K325" s="109" t="n">
        <x:v>17</x:v>
      </x:c>
      <x:c r="L325" s="109"/>
      <x:c r="M325" s="109" t="n">
        <x:v>13</x:v>
      </x:c>
      <x:c r="N325" s="109" t="n">
        <x:v>27</x:v>
      </x:c>
      <x:c r="O325" s="109" t="n">
        <x:v>9</x:v>
      </x:c>
      <x:c r="P325" s="109" t="n">
        <x:v>8</x:v>
      </x:c>
      <x:c r="Q325" s="109" t="n">
        <x:v>37.5</x:v>
      </x:c>
      <x:c r="R325" s="109" t="n">
        <x:v>25</x:v>
      </x:c>
      <x:c r="S325" s="109" t="n">
        <x:v>11</x:v>
      </x:c>
      <x:c r="T325" s="109" t="n">
        <x:v>10</x:v>
      </x:c>
      <x:c r="U325" s="109" t="n">
        <x:v>14.5</x:v>
      </x:c>
      <x:c r="V325" s="109" t="n">
        <x:v>17</x:v>
      </x:c>
      <x:c r="W325" s="109" t="n">
        <x:f>AVERAGE(E325:V325)</x:f>
        <x:v>16.294117647058822</x:v>
      </x:c>
      <x:c r="X325" s="109" t="n">
        <x:f>MEDIAN(E325:V325)</x:f>
        <x:v>15</x:v>
      </x:c>
      <x:c r="Y325" s="109" t="n">
        <x:f>PERCENTILE.INC(E325:V325,0.25)</x:f>
        <x:v>11</x:v>
      </x:c>
      <x:c r="Z325" s="109" t="n">
        <x:f>STDEV.P(E325:V325)</x:f>
        <x:v>8.051413510407407</x:v>
      </x:c>
      <x:c r="AA325" s="173" t="n">
        <x:f>IF(W325=0,"",Z325/ABS(W325))</x:f>
        <x:v>0.4941300710358337</x:v>
      </x:c>
      <x:c r="AB325" s="173" t="n">
        <x:f>IF(W325=0,0,(COUNTIF(E325:V325,"&lt;"&amp;0.5*W325)-COUNTBLANK(E325:V325))/COUNT(E325:V325))</x:f>
        <x:v>0.11764705882352941</x:v>
      </x:c>
      <x:c r="AC325" s="109" t="n">
        <x:f>SUM(E325:V325)</x:f>
        <x:v>277</x:v>
      </x:c>
    </x:row>
    <x:row r="326">
      <x:c r="A326" s="108" t="str">
        <x:v>D/ST</x:v>
      </x:c>
      <x:c r="B326" s="108" t="str">
        <x:v>Texans D/ST</x:v>
      </x:c>
      <x:c r="C326" s="108" t="str">
        <x:v>HOU</x:v>
      </x:c>
      <x:c r="D326" s="108" t="n">
        <x:v>6</x:v>
      </x:c>
      <x:c r="E326" s="109" t="n">
        <x:v>10</x:v>
      </x:c>
      <x:c r="F326" s="109" t="n">
        <x:v>9.5</x:v>
      </x:c>
      <x:c r="G326" s="109" t="n">
        <x:v>9</x:v>
      </x:c>
      <x:c r="H326" s="109" t="n">
        <x:v>24</x:v>
      </x:c>
      <x:c r="I326" s="109" t="n">
        <x:v>17</x:v>
      </x:c>
      <x:c r="J326" s="109"/>
      <x:c r="K326" s="109" t="n">
        <x:v>23</x:v>
      </x:c>
      <x:c r="L326" s="109" t="n">
        <x:v>9.5</x:v>
      </x:c>
      <x:c r="M326" s="109" t="n">
        <x:v>10.5</x:v>
      </x:c>
      <x:c r="N326" s="109" t="n">
        <x:v>19.5</x:v>
      </x:c>
      <x:c r="O326" s="109" t="n">
        <x:v>14</x:v>
      </x:c>
      <x:c r="P326" s="109" t="n">
        <x:v>17</x:v>
      </x:c>
      <x:c r="Q326" s="109" t="n">
        <x:v>7</x:v>
      </x:c>
      <x:c r="R326" s="109" t="n">
        <x:v>15</x:v>
      </x:c>
      <x:c r="S326" s="109" t="n">
        <x:v>10</x:v>
      </x:c>
      <x:c r="T326" s="109" t="n">
        <x:v>13.5</x:v>
      </x:c>
      <x:c r="U326" s="109" t="n">
        <x:v>14.5</x:v>
      </x:c>
      <x:c r="V326" s="109" t="n">
        <x:v>18</x:v>
      </x:c>
      <x:c r="W326" s="109" t="n">
        <x:f>AVERAGE(E326:V326)</x:f>
        <x:v>14.176470588235293</x:v>
      </x:c>
      <x:c r="X326" s="109" t="n">
        <x:f>MEDIAN(E326:V326)</x:f>
        <x:v>14</x:v>
      </x:c>
      <x:c r="Y326" s="109" t="n">
        <x:f>PERCENTILE.INC(E326:V326,0.25)</x:f>
        <x:v>10</x:v>
      </x:c>
      <x:c r="Z326" s="109" t="n">
        <x:f>STDEV.P(E326:V326)</x:f>
        <x:v>4.8807580669357575</x:v>
      </x:c>
      <x:c r="AA326" s="173" t="n">
        <x:f>IF(W326=0,"",Z326/ABS(W326))</x:f>
        <x:v>0.34428583874650576</x:v>
      </x:c>
      <x:c r="AB326" s="173" t="n">
        <x:f>IF(W326=0,0,(COUNTIF(E326:V326,"&lt;"&amp;0.5*W326)-COUNTBLANK(E326:V326))/COUNT(E326:V326))</x:f>
        <x:v>0.058823529411764705</x:v>
      </x:c>
      <x:c r="AC326" s="109" t="n">
        <x:f>SUM(E326:V326)</x:f>
        <x:v>241</x:v>
      </x:c>
    </x:row>
    <x:row r="327">
      <x:c r="A327" s="108" t="str">
        <x:v>D/ST</x:v>
      </x:c>
      <x:c r="B327" s="108" t="str">
        <x:v>Broncos D/ST</x:v>
      </x:c>
      <x:c r="C327" s="108" t="str">
        <x:v>DEN</x:v>
      </x:c>
      <x:c r="D327" s="108" t="n">
        <x:v>12</x:v>
      </x:c>
      <x:c r="E327" s="109" t="n">
        <x:v>19</x:v>
      </x:c>
      <x:c r="F327" s="109" t="n">
        <x:v>4</x:v>
      </x:c>
      <x:c r="G327" s="109" t="n">
        <x:v>14</x:v>
      </x:c>
      <x:c r="H327" s="109" t="n">
        <x:v>16</x:v>
      </x:c>
      <x:c r="I327" s="109" t="n">
        <x:v>10</x:v>
      </x:c>
      <x:c r="J327" s="109" t="n">
        <x:v>20</x:v>
      </x:c>
      <x:c r="K327" s="109" t="n">
        <x:v>11</x:v>
      </x:c>
      <x:c r="L327" s="109" t="n">
        <x:v>11.5</x:v>
      </x:c>
      <x:c r="M327" s="109" t="n">
        <x:v>13</x:v>
      </x:c>
      <x:c r="N327" s="109" t="n">
        <x:v>21.5</x:v>
      </x:c>
      <x:c r="O327" s="109" t="n">
        <x:v>9</x:v>
      </x:c>
      <x:c r="P327" s="109"/>
      <x:c r="Q327" s="109" t="n">
        <x:v>12</x:v>
      </x:c>
      <x:c r="R327" s="109" t="n">
        <x:v>13</x:v>
      </x:c>
      <x:c r="S327" s="109" t="n">
        <x:v>12</x:v>
      </x:c>
      <x:c r="T327" s="109" t="n">
        <x:v>10</x:v>
      </x:c>
      <x:c r="U327" s="109" t="n">
        <x:v>9</x:v>
      </x:c>
      <x:c r="V327" s="109" t="n">
        <x:v>28</x:v>
      </x:c>
      <x:c r="W327" s="109" t="n">
        <x:f>AVERAGE(E327:V327)</x:f>
        <x:v>13.705882352941176</x:v>
      </x:c>
      <x:c r="X327" s="109" t="n">
        <x:f>MEDIAN(E327:V327)</x:f>
        <x:v>12</x:v>
      </x:c>
      <x:c r="Y327" s="109" t="n">
        <x:f>PERCENTILE.INC(E327:V327,0.25)</x:f>
        <x:v>10</x:v>
      </x:c>
      <x:c r="Z327" s="109" t="n">
        <x:f>STDEV.P(E327:V327)</x:f>
        <x:v>5.546750038189856</x:v>
      </x:c>
      <x:c r="AA327" s="173" t="n">
        <x:f>IF(W327=0,"",Z327/ABS(W327))</x:f>
        <x:v>0.40469850064046164</x:v>
      </x:c>
      <x:c r="AB327" s="173" t="n">
        <x:f>IF(W327=0,0,(COUNTIF(E327:V327,"&lt;"&amp;0.5*W327)-COUNTBLANK(E327:V327))/COUNT(E327:V327))</x:f>
        <x:v>0.058823529411764705</x:v>
      </x:c>
      <x:c r="AC327" s="109" t="n">
        <x:f>SUM(E327:V327)</x:f>
        <x:v>233</x:v>
      </x:c>
    </x:row>
    <x:row r="328">
      <x:c r="A328" s="108" t="str">
        <x:v>D/ST</x:v>
      </x:c>
      <x:c r="B328" s="108" t="str">
        <x:v>Bills D/ST</x:v>
      </x:c>
      <x:c r="C328" s="108" t="str">
        <x:v>BUF</x:v>
      </x:c>
      <x:c r="D328" s="108" t="n">
        <x:v>7</x:v>
      </x:c>
      <x:c r="E328" s="109" t="n">
        <x:v>7.5</x:v>
      </x:c>
      <x:c r="F328" s="109" t="n">
        <x:v>17</x:v>
      </x:c>
      <x:c r="G328" s="109" t="n">
        <x:v>4</x:v>
      </x:c>
      <x:c r="H328" s="109" t="n">
        <x:v>8.5</x:v>
      </x:c>
      <x:c r="I328" s="109" t="n">
        <x:v>11.5</x:v>
      </x:c>
      <x:c r="J328" s="109" t="n">
        <x:v>11</x:v>
      </x:c>
      <x:c r="K328" s="109"/>
      <x:c r="L328" s="109" t="n">
        <x:v>22</x:v>
      </x:c>
      <x:c r="M328" s="109" t="n">
        <x:v>9</x:v>
      </x:c>
      <x:c r="N328" s="109" t="n">
        <x:v>9</x:v>
      </x:c>
      <x:c r="O328" s="109" t="n">
        <x:v>9</x:v>
      </x:c>
      <x:c r="P328" s="109" t="n">
        <x:v>11</x:v>
      </x:c>
      <x:c r="Q328" s="109" t="n">
        <x:v>20</x:v>
      </x:c>
      <x:c r="R328" s="109" t="n">
        <x:v>12</x:v>
      </x:c>
      <x:c r="S328" s="109" t="n">
        <x:v>7.5</x:v>
      </x:c>
      <x:c r="T328" s="109" t="n">
        <x:v>10</x:v>
      </x:c>
      <x:c r="U328" s="109" t="n">
        <x:v>11</x:v>
      </x:c>
      <x:c r="V328" s="109" t="n">
        <x:v>12</x:v>
      </x:c>
      <x:c r="W328" s="109" t="n">
        <x:f>AVERAGE(E328:V328)</x:f>
        <x:v>11.294117647058824</x:v>
      </x:c>
      <x:c r="X328" s="109" t="n">
        <x:f>MEDIAN(E328:V328)</x:f>
        <x:v>11</x:v>
      </x:c>
      <x:c r="Y328" s="109" t="n">
        <x:f>PERCENTILE.INC(E328:V328,0.25)</x:f>
        <x:v>9</x:v>
      </x:c>
      <x:c r="Z328" s="109" t="n">
        <x:f>STDEV.P(E328:V328)</x:f>
        <x:v>4.416076324499638</x:v>
      </x:c>
      <x:c r="AA328" s="173" t="n">
        <x:f>IF(W328=0,"",Z328/ABS(W328))</x:f>
        <x:v>0.39100675789840544</x:v>
      </x:c>
      <x:c r="AB328" s="173" t="n">
        <x:f>IF(W328=0,0,(COUNTIF(E328:V328,"&lt;"&amp;0.5*W328)-COUNTBLANK(E328:V328))/COUNT(E328:V328))</x:f>
        <x:v>0.058823529411764705</x:v>
      </x:c>
      <x:c r="AC328" s="109" t="n">
        <x:f>SUM(E328:V328)</x:f>
        <x:v>192</x:v>
      </x:c>
    </x:row>
    <x:row r="329">
      <x:c r="A329" s="108" t="str">
        <x:v>D/ST</x:v>
      </x:c>
      <x:c r="B329" s="108" t="str">
        <x:v>Jaguars D/ST</x:v>
      </x:c>
      <x:c r="C329" s="108" t="str">
        <x:v>JAX</x:v>
      </x:c>
      <x:c r="D329" s="108" t="n">
        <x:v>8</x:v>
      </x:c>
      <x:c r="E329" s="109" t="n">
        <x:v>17</x:v>
      </x:c>
      <x:c r="F329" s="109" t="n">
        <x:v>9</x:v>
      </x:c>
      <x:c r="G329" s="109" t="n">
        <x:v>16</x:v>
      </x:c>
      <x:c r="H329" s="109" t="n">
        <x:v>18.5</x:v>
      </x:c>
      <x:c r="I329" s="109" t="n">
        <x:v>8</x:v>
      </x:c>
      <x:c r="J329" s="109" t="n">
        <x:v>9</x:v>
      </x:c>
      <x:c r="K329" s="109" t="n">
        <x:v>1</x:v>
      </x:c>
      <x:c r="L329" s="109"/>
      <x:c r="M329" s="109" t="n">
        <x:v>8</x:v>
      </x:c>
      <x:c r="N329" s="109" t="n">
        <x:v>12</x:v>
      </x:c>
      <x:c r="O329" s="109" t="n">
        <x:v>20</x:v>
      </x:c>
      <x:c r="P329" s="109" t="n">
        <x:v>12.5</x:v>
      </x:c>
      <x:c r="Q329" s="109" t="n">
        <x:v>19.5</x:v>
      </x:c>
      <x:c r="R329" s="109" t="n">
        <x:v>13</x:v>
      </x:c>
      <x:c r="S329" s="109" t="n">
        <x:v>13</x:v>
      </x:c>
      <x:c r="T329" s="109" t="n">
        <x:v>6.5</x:v>
      </x:c>
      <x:c r="U329" s="109" t="n">
        <x:v>12</x:v>
      </x:c>
      <x:c r="V329" s="109" t="n">
        <x:v>16</x:v>
      </x:c>
      <x:c r="W329" s="109" t="n">
        <x:f>AVERAGE(E329:V329)</x:f>
        <x:v>12.411764705882353</x:v>
      </x:c>
      <x:c r="X329" s="109" t="n">
        <x:f>MEDIAN(E329:V329)</x:f>
        <x:v>12.5</x:v>
      </x:c>
      <x:c r="Y329" s="109" t="n">
        <x:f>PERCENTILE.INC(E329:V329,0.25)</x:f>
        <x:v>9</x:v>
      </x:c>
      <x:c r="Z329" s="109" t="n">
        <x:f>STDEV.P(E329:V329)</x:f>
        <x:v>4.971197317363905</x:v>
      </x:c>
      <x:c r="AA329" s="173" t="n">
        <x:f>IF(W329=0,"",Z329/ABS(W329))</x:f>
        <x:v>0.40052300661225776</x:v>
      </x:c>
      <x:c r="AB329" s="173" t="n">
        <x:f>IF(W329=0,0,(COUNTIF(E329:V329,"&lt;"&amp;0.5*W329)-COUNTBLANK(E329:V329))/COUNT(E329:V329))</x:f>
        <x:v>0.058823529411764705</x:v>
      </x:c>
      <x:c r="AC329" s="109" t="n">
        <x:f>SUM(E329:V329)</x:f>
        <x:v>211</x:v>
      </x:c>
    </x:row>
    <x:row r="330">
      <x:c r="A330" s="108" t="str">
        <x:v>D/ST</x:v>
      </x:c>
      <x:c r="B330" s="108" t="str">
        <x:v>Vikings D/ST</x:v>
      </x:c>
      <x:c r="C330" s="108" t="str">
        <x:v>MIN</x:v>
      </x:c>
      <x:c r="D330" s="108" t="n">
        <x:v>6</x:v>
      </x:c>
      <x:c r="E330" s="109" t="n">
        <x:v>9</x:v>
      </x:c>
      <x:c r="F330" s="109" t="n">
        <x:v>9</x:v>
      </x:c>
      <x:c r="G330" s="109" t="n">
        <x:v>39</x:v>
      </x:c>
      <x:c r="H330" s="109" t="n">
        <x:v>6.5</x:v>
      </x:c>
      <x:c r="I330" s="109" t="n">
        <x:v>13</x:v>
      </x:c>
      <x:c r="J330" s="109"/>
      <x:c r="K330" s="109" t="n">
        <x:v>11</x:v>
      </x:c>
      <x:c r="L330" s="109" t="n">
        <x:v>11</x:v>
      </x:c>
      <x:c r="M330" s="109" t="n">
        <x:v>10</x:v>
      </x:c>
      <x:c r="N330" s="109" t="n">
        <x:v>7</x:v>
      </x:c>
      <x:c r="O330" s="109" t="n">
        <x:v>10</x:v>
      </x:c>
      <x:c r="P330" s="109" t="n">
        <x:v>10</x:v>
      </x:c>
      <x:c r="Q330" s="109" t="n">
        <x:v>13.5</x:v>
      </x:c>
      <x:c r="R330" s="109" t="n">
        <x:v>25</x:v>
      </x:c>
      <x:c r="S330" s="109" t="n">
        <x:v>3</x:v>
      </x:c>
      <x:c r="T330" s="109" t="n">
        <x:v>15</x:v>
      </x:c>
      <x:c r="U330" s="109" t="n">
        <x:v>28</x:v>
      </x:c>
      <x:c r="V330" s="109" t="n">
        <x:v>21.5</x:v>
      </x:c>
      <x:c r="W330" s="109" t="n">
        <x:f>AVERAGE(E330:V330)</x:f>
        <x:v>14.205882352941176</x:v>
      </x:c>
      <x:c r="X330" s="109" t="n">
        <x:f>MEDIAN(E330:V330)</x:f>
        <x:v>11</x:v>
      </x:c>
      <x:c r="Y330" s="109" t="n">
        <x:f>PERCENTILE.INC(E330:V330,0.25)</x:f>
        <x:v>9</x:v>
      </x:c>
      <x:c r="Z330" s="109" t="n">
        <x:f>STDEV.P(E330:V330)</x:f>
        <x:v>8.884982080701935</x:v>
      </x:c>
      <x:c r="AA330" s="173" t="n">
        <x:f>IF(W330=0,"",Z330/ABS(W330))</x:f>
        <x:v>0.6254438731757056</x:v>
      </x:c>
      <x:c r="AB330" s="173" t="n">
        <x:f>IF(W330=0,0,(COUNTIF(E330:V330,"&lt;"&amp;0.5*W330)-COUNTBLANK(E330:V330))/COUNT(E330:V330))</x:f>
        <x:v>0.17647058823529413</x:v>
      </x:c>
      <x:c r="AC330" s="109" t="n">
        <x:f>SUM(E330:V330)</x:f>
        <x:v>241.5</x:v>
      </x:c>
    </x:row>
    <x:row r="331">
      <x:c r="A331" s="108" t="str">
        <x:v>D/ST</x:v>
      </x:c>
      <x:c r="B331" s="108" t="str">
        <x:v>Saints D/ST</x:v>
      </x:c>
      <x:c r="C331" s="108" t="str">
        <x:v>NO</x:v>
      </x:c>
      <x:c r="D331" s="108" t="n">
        <x:v>11</x:v>
      </x:c>
      <x:c r="E331" s="109" t="n">
        <x:v>11</x:v>
      </x:c>
      <x:c r="F331" s="109" t="n">
        <x:v>9</x:v>
      </x:c>
      <x:c r="G331" s="109" t="n">
        <x:v>6</x:v>
      </x:c>
      <x:c r="H331" s="109" t="n">
        <x:v>6</x:v>
      </x:c>
      <x:c r="I331" s="109" t="n">
        <x:v>19.5</x:v>
      </x:c>
      <x:c r="J331" s="109" t="n">
        <x:v>8.5</x:v>
      </x:c>
      <x:c r="K331" s="109" t="n">
        <x:v>7</x:v>
      </x:c>
      <x:c r="L331" s="109" t="n">
        <x:v>14.5</x:v>
      </x:c>
      <x:c r="M331" s="109" t="n">
        <x:v>4</x:v>
      </x:c>
      <x:c r="N331" s="109" t="n">
        <x:v>15.5</x:v>
      </x:c>
      <x:c r="O331" s="109"/>
      <x:c r="P331" s="109" t="n">
        <x:v>15.5</x:v>
      </x:c>
      <x:c r="Q331" s="109" t="n">
        <x:v>11</x:v>
      </x:c>
      <x:c r="R331" s="109" t="n">
        <x:v>10</x:v>
      </x:c>
      <x:c r="S331" s="109" t="n">
        <x:v>8.5</x:v>
      </x:c>
      <x:c r="T331" s="109" t="n">
        <x:v>25</x:v>
      </x:c>
      <x:c r="U331" s="109" t="n">
        <x:v>16.5</x:v>
      </x:c>
      <x:c r="V331" s="109" t="n">
        <x:v>11</x:v>
      </x:c>
      <x:c r="W331" s="109" t="n">
        <x:f>AVERAGE(E331:V331)</x:f>
        <x:v>11.676470588235293</x:v>
      </x:c>
      <x:c r="X331" s="109" t="n">
        <x:f>MEDIAN(E331:V331)</x:f>
        <x:v>11</x:v>
      </x:c>
      <x:c r="Y331" s="109" t="n">
        <x:f>PERCENTILE.INC(E331:V331,0.25)</x:f>
        <x:v>8.5</x:v>
      </x:c>
      <x:c r="Z331" s="109" t="n">
        <x:f>STDEV.P(E331:V331)</x:f>
        <x:v>5.291339140160435</x:v>
      </x:c>
      <x:c r="AA331" s="173" t="n">
        <x:f>IF(W331=0,"",Z331/ABS(W331))</x:f>
        <x:v>0.45316254600870226</x:v>
      </x:c>
      <x:c r="AB331" s="173" t="n">
        <x:f>IF(W331=0,0,(COUNTIF(E331:V331,"&lt;"&amp;0.5*W331)-COUNTBLANK(E331:V331))/COUNT(E331:V331))</x:f>
        <x:v>0.058823529411764705</x:v>
      </x:c>
      <x:c r="AC331" s="109" t="n">
        <x:f>SUM(E331:V331)</x:f>
        <x:v>198.5</x:v>
      </x:c>
    </x:row>
    <x:row r="332">
      <x:c r="A332" s="108" t="str">
        <x:v>D/ST</x:v>
      </x:c>
      <x:c r="B332" s="108" t="str">
        <x:v>Steelers D/ST</x:v>
      </x:c>
      <x:c r="C332" s="108" t="str">
        <x:v>PIT</x:v>
      </x:c>
      <x:c r="D332" s="108" t="n">
        <x:v>5</x:v>
      </x:c>
      <x:c r="E332" s="109" t="n">
        <x:v>8</x:v>
      </x:c>
      <x:c r="F332" s="109" t="n">
        <x:v>13</x:v>
      </x:c>
      <x:c r="G332" s="109" t="n">
        <x:v>19</x:v>
      </x:c>
      <x:c r="H332" s="109" t="n">
        <x:v>16</x:v>
      </x:c>
      <x:c r="I332" s="109"/>
      <x:c r="J332" s="109" t="n">
        <x:v>13</x:v>
      </x:c>
      <x:c r="K332" s="109" t="n">
        <x:v>1</x:v>
      </x:c>
      <x:c r="L332" s="109" t="n">
        <x:v>-0.5</x:v>
      </x:c>
      <x:c r="M332" s="109" t="n">
        <x:v>20</x:v>
      </x:c>
      <x:c r="N332" s="109" t="n">
        <x:v>11</x:v>
      </x:c>
      <x:c r="O332" s="109" t="n">
        <x:v>25</x:v>
      </x:c>
      <x:c r="P332" s="109" t="n">
        <x:v>11</x:v>
      </x:c>
      <x:c r="Q332" s="109" t="n">
        <x:v>10.5</x:v>
      </x:c>
      <x:c r="R332" s="109" t="n">
        <x:v>7</x:v>
      </x:c>
      <x:c r="S332" s="109" t="n">
        <x:v>11</x:v>
      </x:c>
      <x:c r="T332" s="109" t="n">
        <x:v>12.5</x:v>
      </x:c>
      <x:c r="U332" s="109" t="n">
        <x:v>16</x:v>
      </x:c>
      <x:c r="V332" s="109" t="n">
        <x:v>7</x:v>
      </x:c>
      <x:c r="W332" s="109" t="n">
        <x:f>AVERAGE(E332:V332)</x:f>
        <x:v>11.794117647058824</x:v>
      </x:c>
      <x:c r="X332" s="109" t="n">
        <x:f>MEDIAN(E332:V332)</x:f>
        <x:v>11</x:v>
      </x:c>
      <x:c r="Y332" s="109" t="n">
        <x:f>PERCENTILE.INC(E332:V332,0.25)</x:f>
        <x:v>8</x:v>
      </x:c>
      <x:c r="Z332" s="109" t="n">
        <x:f>STDEV.P(E332:V332)</x:f>
        <x:v>6.2498442887177585</x:v>
      </x:c>
      <x:c r="AA332" s="173" t="n">
        <x:f>IF(W332=0,"",Z332/ABS(W332))</x:f>
        <x:v>0.5299119845795606</x:v>
      </x:c>
      <x:c r="AB332" s="173" t="n">
        <x:f>IF(W332=0,0,(COUNTIF(E332:V332,"&lt;"&amp;0.5*W332)-COUNTBLANK(E332:V332))/COUNT(E332:V332))</x:f>
        <x:v>0.11764705882352941</x:v>
      </x:c>
      <x:c r="AC332" s="109" t="n">
        <x:f>SUM(E332:V332)</x:f>
        <x:v>200.5</x:v>
      </x:c>
    </x:row>
    <x:row r="333">
      <x:c r="A333" s="108" t="str">
        <x:v>D/ST</x:v>
      </x:c>
      <x:c r="B333" s="108" t="str">
        <x:v>Rams D/ST</x:v>
      </x:c>
      <x:c r="C333" s="108" t="str">
        <x:v>LAR</x:v>
      </x:c>
      <x:c r="D333" s="108" t="n">
        <x:v>8</x:v>
      </x:c>
      <x:c r="E333" s="109" t="n">
        <x:v>15</x:v>
      </x:c>
      <x:c r="F333" s="109" t="n">
        <x:v>8</x:v>
      </x:c>
      <x:c r="G333" s="109" t="n">
        <x:v>9</x:v>
      </x:c>
      <x:c r="H333" s="109" t="n">
        <x:v>8.5</x:v>
      </x:c>
      <x:c r="I333" s="109" t="n">
        <x:v>8</x:v>
      </x:c>
      <x:c r="J333" s="109" t="n">
        <x:v>27</x:v>
      </x:c>
      <x:c r="K333" s="109" t="n">
        <x:v>14.5</x:v>
      </x:c>
      <x:c r="L333" s="109"/>
      <x:c r="M333" s="109" t="n">
        <x:v>12</x:v>
      </x:c>
      <x:c r="N333" s="109" t="n">
        <x:v>8</x:v>
      </x:c>
      <x:c r="O333" s="109" t="n">
        <x:v>10.5</x:v>
      </x:c>
      <x:c r="P333" s="109" t="n">
        <x:v>24</x:v>
      </x:c>
      <x:c r="Q333" s="109" t="n">
        <x:v>4</x:v>
      </x:c>
      <x:c r="R333" s="109" t="n">
        <x:v>9</x:v>
      </x:c>
      <x:c r="S333" s="109" t="n">
        <x:v>1</x:v>
      </x:c>
      <x:c r="T333" s="109" t="n">
        <x:v>9</x:v>
      </x:c>
      <x:c r="U333" s="109" t="n">
        <x:v>12</x:v>
      </x:c>
      <x:c r="V333" s="109" t="n">
        <x:v>12</x:v>
      </x:c>
      <x:c r="W333" s="109" t="n">
        <x:f>AVERAGE(E333:V333)</x:f>
        <x:v>11.264705882352942</x:v>
      </x:c>
      <x:c r="X333" s="109" t="n">
        <x:f>MEDIAN(E333:V333)</x:f>
        <x:v>9</x:v>
      </x:c>
      <x:c r="Y333" s="109" t="n">
        <x:f>PERCENTILE.INC(E333:V333,0.25)</x:f>
        <x:v>8</x:v>
      </x:c>
      <x:c r="Z333" s="109" t="n">
        <x:f>STDEV.P(E333:V333)</x:f>
        <x:v>6.181370605339372</x:v>
      </x:c>
      <x:c r="AA333" s="173" t="n">
        <x:f>IF(W333=0,"",Z333/ABS(W333))</x:f>
        <x:v>0.5487378605262105</x:v>
      </x:c>
      <x:c r="AB333" s="173" t="n">
        <x:f>IF(W333=0,0,(COUNTIF(E333:V333,"&lt;"&amp;0.5*W333)-COUNTBLANK(E333:V333))/COUNT(E333:V333))</x:f>
        <x:v>0.11764705882352941</x:v>
      </x:c>
      <x:c r="AC333" s="109" t="n">
        <x:f>SUM(E333:V333)</x:f>
        <x:v>191.5</x:v>
      </x:c>
    </x:row>
    <x:row r="334">
      <x:c r="A334" s="108" t="str">
        <x:v>D/ST</x:v>
      </x:c>
      <x:c r="B334" s="108" t="str">
        <x:v>Bears D/ST</x:v>
      </x:c>
      <x:c r="C334" s="108" t="str">
        <x:v>CHI</x:v>
      </x:c>
      <x:c r="D334" s="108" t="n">
        <x:v>5</x:v>
      </x:c>
      <x:c r="E334" s="109" t="n">
        <x:v>15</x:v>
      </x:c>
      <x:c r="F334" s="109" t="n">
        <x:v>0</x:v>
      </x:c>
      <x:c r="G334" s="109" t="n">
        <x:v>14</x:v>
      </x:c>
      <x:c r="H334" s="109" t="n">
        <x:v>18</x:v>
      </x:c>
      <x:c r="I334" s="109"/>
      <x:c r="J334" s="109" t="n">
        <x:v>11.5</x:v>
      </x:c>
      <x:c r="K334" s="109" t="n">
        <x:v>16</x:v>
      </x:c>
      <x:c r="L334" s="109" t="n">
        <x:v>3.5</x:v>
      </x:c>
      <x:c r="M334" s="109" t="n">
        <x:v>8</x:v>
      </x:c>
      <x:c r="N334" s="109" t="n">
        <x:v>12</x:v>
      </x:c>
      <x:c r="O334" s="109" t="n">
        <x:v>7.5</x:v>
      </x:c>
      <x:c r="P334" s="109" t="n">
        <x:v>10.5</x:v>
      </x:c>
      <x:c r="Q334" s="109" t="n">
        <x:v>9</x:v>
      </x:c>
      <x:c r="R334" s="109" t="n">
        <x:v>5</x:v>
      </x:c>
      <x:c r="S334" s="109" t="n">
        <x:v>25</x:v>
      </x:c>
      <x:c r="T334" s="109" t="n">
        <x:v>7</x:v>
      </x:c>
      <x:c r="U334" s="109" t="n">
        <x:v>12</x:v>
      </x:c>
      <x:c r="V334" s="109" t="n">
        <x:v>9</x:v>
      </x:c>
      <x:c r="W334" s="109" t="n">
        <x:f>AVERAGE(E334:V334)</x:f>
        <x:v>10.764705882352942</x:v>
      </x:c>
      <x:c r="X334" s="109" t="n">
        <x:f>MEDIAN(E334:V334)</x:f>
        <x:v>10.5</x:v>
      </x:c>
      <x:c r="Y334" s="109" t="n">
        <x:f>PERCENTILE.INC(E334:V334,0.25)</x:f>
        <x:v>7.5</x:v>
      </x:c>
      <x:c r="Z334" s="109" t="n">
        <x:f>STDEV.P(E334:V334)</x:f>
        <x:v>5.714063268038067</x:v>
      </x:c>
      <x:c r="AA334" s="173" t="n">
        <x:f>IF(W334=0,"",Z334/ABS(W334))</x:f>
        <x:v>0.5308146205281263</x:v>
      </x:c>
      <x:c r="AB334" s="173" t="n">
        <x:f>IF(W334=0,0,(COUNTIF(E334:V334,"&lt;"&amp;0.5*W334)-COUNTBLANK(E334:V334))/COUNT(E334:V334))</x:f>
        <x:v>0.17647058823529413</x:v>
      </x:c>
      <x:c r="AC334" s="109" t="n">
        <x:f>SUM(E334:V334)</x:f>
        <x:v>183</x:v>
      </x:c>
    </x:row>
    <x:row r="335">
      <x:c r="A335" s="108" t="str">
        <x:v>D/ST</x:v>
      </x:c>
      <x:c r="B335" s="108" t="str">
        <x:v>Chargers D/ST</x:v>
      </x:c>
      <x:c r="C335" s="108" t="str">
        <x:v>LAC</x:v>
      </x:c>
      <x:c r="D335" s="108" t="n">
        <x:v>12</x:v>
      </x:c>
      <x:c r="E335" s="109" t="n">
        <x:v>3</x:v>
      </x:c>
      <x:c r="F335" s="109" t="n">
        <x:v>20</x:v>
      </x:c>
      <x:c r="G335" s="109" t="n">
        <x:v>7</x:v>
      </x:c>
      <x:c r="H335" s="109" t="n">
        <x:v>13.5</x:v>
      </x:c>
      <x:c r="I335" s="109" t="n">
        <x:v>8</x:v>
      </x:c>
      <x:c r="J335" s="109" t="n">
        <x:v>9</x:v>
      </x:c>
      <x:c r="K335" s="109" t="n">
        <x:v>3</x:v>
      </x:c>
      <x:c r="L335" s="109" t="n">
        <x:v>16.5</x:v>
      </x:c>
      <x:c r="M335" s="109" t="n">
        <x:v>9.5</x:v>
      </x:c>
      <x:c r="N335" s="109" t="n">
        <x:v>20</x:v>
      </x:c>
      <x:c r="O335" s="109" t="n">
        <x:v>4</x:v>
      </x:c>
      <x:c r="P335" s="109"/>
      <x:c r="Q335" s="109" t="n">
        <x:v>15.5</x:v>
      </x:c>
      <x:c r="R335" s="109" t="n">
        <x:v>20.5</x:v>
      </x:c>
      <x:c r="S335" s="109" t="n">
        <x:v>20</x:v>
      </x:c>
      <x:c r="T335" s="109" t="n">
        <x:v>7</x:v>
      </x:c>
      <x:c r="U335" s="109" t="n">
        <x:v>11.5</x:v>
      </x:c>
      <x:c r="V335" s="109" t="n">
        <x:v>17</x:v>
      </x:c>
      <x:c r="W335" s="109" t="n">
        <x:f>AVERAGE(E335:V335)</x:f>
        <x:v>12.058823529411764</x:v>
      </x:c>
      <x:c r="X335" s="109" t="n">
        <x:f>MEDIAN(E335:V335)</x:f>
        <x:v>11.5</x:v>
      </x:c>
      <x:c r="Y335" s="109" t="n">
        <x:f>PERCENTILE.INC(E335:V335,0.25)</x:f>
        <x:v>7</x:v>
      </x:c>
      <x:c r="Z335" s="109" t="n">
        <x:f>STDEV.P(E335:V335)</x:f>
        <x:v>6.094554833284951</x:v>
      </x:c>
      <x:c r="AA335" s="173" t="n">
        <x:f>IF(W335=0,"",Z335/ABS(W335))</x:f>
        <x:v>0.5054021081260691</x:v>
      </x:c>
      <x:c r="AB335" s="173" t="n">
        <x:f>IF(W335=0,0,(COUNTIF(E335:V335,"&lt;"&amp;0.5*W335)-COUNTBLANK(E335:V335))/COUNT(E335:V335))</x:f>
        <x:v>0.17647058823529413</x:v>
      </x:c>
      <x:c r="AC335" s="109" t="n">
        <x:f>SUM(E335:V335)</x:f>
        <x:v>205</x:v>
      </x:c>
    </x:row>
    <x:row r="336">
      <x:c r="A336" s="108" t="str">
        <x:v>D/ST</x:v>
      </x:c>
      <x:c r="B336" s="108" t="str">
        <x:v>Eagles D/ST</x:v>
      </x:c>
      <x:c r="C336" s="108" t="str">
        <x:v>PHI</x:v>
      </x:c>
      <x:c r="D336" s="108" t="n">
        <x:v>9</x:v>
      </x:c>
      <x:c r="E336" s="109" t="n">
        <x:v>4</x:v>
      </x:c>
      <x:c r="F336" s="109" t="n">
        <x:v>10.5</x:v>
      </x:c>
      <x:c r="G336" s="109" t="n">
        <x:v>16</x:v>
      </x:c>
      <x:c r="H336" s="109" t="n">
        <x:v>16.5</x:v>
      </x:c>
      <x:c r="I336" s="109" t="n">
        <x:v>5</x:v>
      </x:c>
      <x:c r="J336" s="109" t="n">
        <x:v>1</x:v>
      </x:c>
      <x:c r="K336" s="109" t="n">
        <x:v>15</x:v>
      </x:c>
      <x:c r="L336" s="109" t="n">
        <x:v>7</x:v>
      </x:c>
      <x:c r="M336" s="109"/>
      <x:c r="N336" s="109" t="n">
        <x:v>16</x:v>
      </x:c>
      <x:c r="O336" s="109" t="n">
        <x:v>14</x:v>
      </x:c>
      <x:c r="P336" s="109" t="n">
        <x:v>7</x:v>
      </x:c>
      <x:c r="Q336" s="109" t="n">
        <x:v>6</x:v>
      </x:c>
      <x:c r="R336" s="109" t="n">
        <x:v>18.5</x:v>
      </x:c>
      <x:c r="S336" s="109" t="n">
        <x:v>22</x:v>
      </x:c>
      <x:c r="T336" s="109" t="n">
        <x:v>9</x:v>
      </x:c>
      <x:c r="U336" s="109" t="n">
        <x:v>17</x:v>
      </x:c>
      <x:c r="V336" s="109" t="n">
        <x:v>8</x:v>
      </x:c>
      <x:c r="W336" s="109" t="n">
        <x:f>AVERAGE(E336:V336)</x:f>
        <x:v>11.323529411764707</x:v>
      </x:c>
      <x:c r="X336" s="109" t="n">
        <x:f>MEDIAN(E336:V336)</x:f>
        <x:v>10.5</x:v>
      </x:c>
      <x:c r="Y336" s="109" t="n">
        <x:f>PERCENTILE.INC(E336:V336,0.25)</x:f>
        <x:v>7</x:v>
      </x:c>
      <x:c r="Z336" s="109" t="n">
        <x:f>STDEV.P(E336:V336)</x:f>
        <x:v>5.800459354199733</x:v>
      </x:c>
      <x:c r="AA336" s="173" t="n">
        <x:f>IF(W336=0,"",Z336/ABS(W336))</x:f>
        <x:v>0.5122483585527037</x:v>
      </x:c>
      <x:c r="AB336" s="173" t="n">
        <x:f>IF(W336=0,0,(COUNTIF(E336:V336,"&lt;"&amp;0.5*W336)-COUNTBLANK(E336:V336))/COUNT(E336:V336))</x:f>
        <x:v>0.17647058823529413</x:v>
      </x:c>
      <x:c r="AC336" s="109" t="n">
        <x:f>SUM(E336:V336)</x:f>
        <x:v>192.5</x:v>
      </x:c>
    </x:row>
    <x:row r="337">
      <x:c r="A337" s="108" t="str">
        <x:v>D/ST</x:v>
      </x:c>
      <x:c r="B337" s="108" t="str">
        <x:v>Patriots D/ST</x:v>
      </x:c>
      <x:c r="C337" s="108" t="str">
        <x:v>NE</x:v>
      </x:c>
      <x:c r="D337" s="108" t="n">
        <x:v>14</x:v>
      </x:c>
      <x:c r="E337" s="109" t="n">
        <x:v>15</x:v>
      </x:c>
      <x:c r="F337" s="109" t="n">
        <x:v>17</x:v>
      </x:c>
      <x:c r="G337" s="109" t="n">
        <x:v>8.5</x:v>
      </x:c>
      <x:c r="H337" s="109" t="n">
        <x:v>19.5</x:v>
      </x:c>
      <x:c r="I337" s="109" t="n">
        <x:v>8.5</x:v>
      </x:c>
      <x:c r="J337" s="109" t="n">
        <x:v>7</x:v>
      </x:c>
      <x:c r="K337" s="109" t="n">
        <x:v>22.5</x:v>
      </x:c>
      <x:c r="L337" s="109" t="n">
        <x:v>17</x:v>
      </x:c>
      <x:c r="M337" s="109" t="n">
        <x:v>3.5</x:v>
      </x:c>
      <x:c r="N337" s="109" t="n">
        <x:v>4</x:v>
      </x:c>
      <x:c r="O337" s="109" t="n">
        <x:v>6.5</x:v>
      </x:c>
      <x:c r="P337" s="109" t="n">
        <x:v>13</x:v>
      </x:c>
      <x:c r="Q337" s="109" t="n">
        <x:v>15</x:v>
      </x:c>
      <x:c r="R337" s="109"/>
      <x:c r="S337" s="109" t="n">
        <x:v>1</x:v>
      </x:c>
      <x:c r="T337" s="109" t="n">
        <x:v>8</x:v>
      </x:c>
      <x:c r="U337" s="109" t="n">
        <x:v>15</x:v>
      </x:c>
      <x:c r="V337" s="109" t="n">
        <x:v>20.5</x:v>
      </x:c>
      <x:c r="W337" s="109" t="n">
        <x:f>AVERAGE(E337:V337)</x:f>
        <x:v>11.852941176470589</x:v>
      </x:c>
      <x:c r="X337" s="109" t="n">
        <x:f>MEDIAN(E337:V337)</x:f>
        <x:v>13</x:v>
      </x:c>
      <x:c r="Y337" s="109" t="n">
        <x:f>PERCENTILE.INC(E337:V337,0.25)</x:f>
        <x:v>7</x:v>
      </x:c>
      <x:c r="Z337" s="109" t="n">
        <x:f>STDEV.P(E337:V337)</x:f>
        <x:v>6.274984663403694</x:v>
      </x:c>
      <x:c r="AA337" s="173" t="n">
        <x:f>IF(W337=0,"",Z337/ABS(W337))</x:f>
        <x:v>0.5294031725948526</x:v>
      </x:c>
      <x:c r="AB337" s="173" t="n">
        <x:f>IF(W337=0,0,(COUNTIF(E337:V337,"&lt;"&amp;0.5*W337)-COUNTBLANK(E337:V337))/COUNT(E337:V337))</x:f>
        <x:v>0.17647058823529413</x:v>
      </x:c>
      <x:c r="AC337" s="109" t="n">
        <x:f>SUM(E337:V337)</x:f>
        <x:v>201.5</x:v>
      </x:c>
    </x:row>
    <x:row r="338">
      <x:c r="A338" s="108" t="str">
        <x:v>D/ST</x:v>
      </x:c>
      <x:c r="B338" s="108" t="str">
        <x:v>Buccaneers D/ST</x:v>
      </x:c>
      <x:c r="C338" s="108" t="str">
        <x:v>TB</x:v>
      </x:c>
      <x:c r="D338" s="108" t="n">
        <x:v>9</x:v>
      </x:c>
      <x:c r="E338" s="109" t="n">
        <x:v>7</x:v>
      </x:c>
      <x:c r="F338" s="109" t="n">
        <x:v>8</x:v>
      </x:c>
      <x:c r="G338" s="109" t="n">
        <x:v>17</x:v>
      </x:c>
      <x:c r="H338" s="109" t="n">
        <x:v>11.5</x:v>
      </x:c>
      <x:c r="I338" s="109" t="n">
        <x:v>2.5</x:v>
      </x:c>
      <x:c r="J338" s="109" t="n">
        <x:v>15.5</x:v>
      </x:c>
      <x:c r="K338" s="109" t="n">
        <x:v>12</x:v>
      </x:c>
      <x:c r="L338" s="109" t="n">
        <x:v>31</x:v>
      </x:c>
      <x:c r="M338" s="109"/>
      <x:c r="N338" s="109" t="n">
        <x:v>10</x:v>
      </x:c>
      <x:c r="O338" s="109" t="n">
        <x:v>8</x:v>
      </x:c>
      <x:c r="P338" s="109" t="n">
        <x:v>1</x:v>
      </x:c>
      <x:c r="Q338" s="109" t="n">
        <x:v>10</x:v>
      </x:c>
      <x:c r="R338" s="109" t="n">
        <x:v>9</x:v>
      </x:c>
      <x:c r="S338" s="109" t="n">
        <x:v>5</x:v>
      </x:c>
      <x:c r="T338" s="109" t="n">
        <x:v>5</x:v>
      </x:c>
      <x:c r="U338" s="109" t="n">
        <x:v>8</x:v>
      </x:c>
      <x:c r="V338" s="109" t="n">
        <x:v>11</x:v>
      </x:c>
      <x:c r="W338" s="109" t="n">
        <x:f>AVERAGE(E338:V338)</x:f>
        <x:v>10.088235294117647</x:v>
      </x:c>
      <x:c r="X338" s="109" t="n">
        <x:f>MEDIAN(E338:V338)</x:f>
        <x:v>9</x:v>
      </x:c>
      <x:c r="Y338" s="109" t="n">
        <x:f>PERCENTILE.INC(E338:V338,0.25)</x:f>
        <x:v>7</x:v>
      </x:c>
      <x:c r="Z338" s="109" t="n">
        <x:f>STDEV.P(E338:V338)</x:f>
        <x:v>6.582586864370999</x:v>
      </x:c>
      <x:c r="AA338" s="173" t="n">
        <x:f>IF(W338=0,"",Z338/ABS(W338))</x:f>
        <x:v>0.6525013218326938</x:v>
      </x:c>
      <x:c r="AB338" s="173" t="n">
        <x:f>IF(W338=0,0,(COUNTIF(E338:V338,"&lt;"&amp;0.5*W338)-COUNTBLANK(E338:V338))/COUNT(E338:V338))</x:f>
        <x:v>0.23529411764705882</x:v>
      </x:c>
      <x:c r="AC338" s="109" t="n">
        <x:f>SUM(E338:V338)</x:f>
        <x:v>171.5</x:v>
      </x:c>
    </x:row>
    <x:row r="339">
      <x:c r="A339" s="108" t="str">
        <x:v>D/ST</x:v>
      </x:c>
      <x:c r="B339" s="108" t="str">
        <x:v>Colts D/ST</x:v>
      </x:c>
      <x:c r="C339" s="108" t="str">
        <x:v>IND</x:v>
      </x:c>
      <x:c r="D339" s="108" t="n">
        <x:v>11</x:v>
      </x:c>
      <x:c r="E339" s="109" t="n">
        <x:v>17</x:v>
      </x:c>
      <x:c r="F339" s="109" t="n">
        <x:v>5</x:v>
      </x:c>
      <x:c r="G339" s="109" t="n">
        <x:v>17</x:v>
      </x:c>
      <x:c r="H339" s="109" t="n">
        <x:v>9</x:v>
      </x:c>
      <x:c r="I339" s="109" t="n">
        <x:v>24</x:v>
      </x:c>
      <x:c r="J339" s="109" t="n">
        <x:v>8</x:v>
      </x:c>
      <x:c r="K339" s="109" t="n">
        <x:v>8</x:v>
      </x:c>
      <x:c r="L339" s="109" t="n">
        <x:v>16</x:v>
      </x:c>
      <x:c r="M339" s="109" t="n">
        <x:v>9</x:v>
      </x:c>
      <x:c r="N339" s="109" t="n">
        <x:v>6</x:v>
      </x:c>
      <x:c r="O339" s="109"/>
      <x:c r="P339" s="109" t="n">
        <x:v>14</x:v>
      </x:c>
      <x:c r="Q339" s="109" t="n">
        <x:v>13.5</x:v>
      </x:c>
      <x:c r="R339" s="109" t="n">
        <x:v>8.5</x:v>
      </x:c>
      <x:c r="S339" s="109" t="n">
        <x:v>6.5</x:v>
      </x:c>
      <x:c r="T339" s="109" t="n">
        <x:v>2.5</x:v>
      </x:c>
      <x:c r="U339" s="109" t="n">
        <x:v>10.5</x:v>
      </x:c>
      <x:c r="V339" s="109" t="n">
        <x:v>2</x:v>
      </x:c>
      <x:c r="W339" s="109" t="n">
        <x:f>AVERAGE(E339:V339)</x:f>
        <x:v>10.382352941176471</x:v>
      </x:c>
      <x:c r="X339" s="109" t="n">
        <x:f>MEDIAN(E339:V339)</x:f>
        <x:v>9</x:v>
      </x:c>
      <x:c r="Y339" s="109" t="n">
        <x:f>PERCENTILE.INC(E339:V339,0.25)</x:f>
        <x:v>6.5</x:v>
      </x:c>
      <x:c r="Z339" s="109" t="n">
        <x:f>STDEV.P(E339:V339)</x:f>
        <x:v>5.645220288945919</x:v>
      </x:c>
      <x:c r="AA339" s="173" t="n">
        <x:f>IF(W339=0,"",Z339/ABS(W339))</x:f>
        <x:v>0.543732265790825</x:v>
      </x:c>
      <x:c r="AB339" s="173" t="n">
        <x:f>IF(W339=0,0,(COUNTIF(E339:V339,"&lt;"&amp;0.5*W339)-COUNTBLANK(E339:V339))/COUNT(E339:V339))</x:f>
        <x:v>0.17647058823529413</x:v>
      </x:c>
      <x:c r="AC339" s="109" t="n">
        <x:f>SUM(E339:V339)</x:f>
        <x:v>176.5</x:v>
      </x:c>
    </x:row>
    <x:row r="340">
      <x:c r="A340" s="108" t="str">
        <x:v>D/ST</x:v>
      </x:c>
      <x:c r="B340" s="108" t="str">
        <x:v>Titans D/ST</x:v>
      </x:c>
      <x:c r="C340" s="108" t="str">
        <x:v>TEN</x:v>
      </x:c>
      <x:c r="D340" s="108" t="n">
        <x:v>10</x:v>
      </x:c>
      <x:c r="E340" s="109" t="n">
        <x:v>12.5</x:v>
      </x:c>
      <x:c r="F340" s="109" t="n">
        <x:v>5</x:v>
      </x:c>
      <x:c r="G340" s="109" t="n">
        <x:v>-2</x:v>
      </x:c>
      <x:c r="H340" s="109" t="n">
        <x:v>6</x:v>
      </x:c>
      <x:c r="I340" s="109" t="n">
        <x:v>9.5</x:v>
      </x:c>
      <x:c r="J340" s="109" t="n">
        <x:v>15</x:v>
      </x:c>
      <x:c r="K340" s="109" t="n">
        <x:v>8</x:v>
      </x:c>
      <x:c r="L340" s="109" t="n">
        <x:v>3</x:v>
      </x:c>
      <x:c r="M340" s="109" t="n">
        <x:v>21.5</x:v>
      </x:c>
      <x:c r="N340" s="109"/>
      <x:c r="O340" s="109" t="n">
        <x:v>12</x:v>
      </x:c>
      <x:c r="P340" s="109" t="n">
        <x:v>8</x:v>
      </x:c>
      <x:c r="Q340" s="109" t="n">
        <x:v>6</x:v>
      </x:c>
      <x:c r="R340" s="109" t="n">
        <x:v>12</x:v>
      </x:c>
      <x:c r="S340" s="109" t="n">
        <x:v>9</x:v>
      </x:c>
      <x:c r="T340" s="109" t="n">
        <x:v>16.5</x:v>
      </x:c>
      <x:c r="U340" s="109" t="n">
        <x:v>8.5</x:v>
      </x:c>
      <x:c r="V340" s="109" t="n">
        <x:v>4</x:v>
      </x:c>
      <x:c r="W340" s="109" t="n">
        <x:f>AVERAGE(E340:V340)</x:f>
        <x:v>9.088235294117647</x:v>
      </x:c>
      <x:c r="X340" s="109" t="n">
        <x:f>MEDIAN(E340:V340)</x:f>
        <x:v>8.5</x:v>
      </x:c>
      <x:c r="Y340" s="109" t="n">
        <x:f>PERCENTILE.INC(E340:V340,0.25)</x:f>
        <x:v>6</x:v>
      </x:c>
      <x:c r="Z340" s="109" t="n">
        <x:f>STDEV.P(E340:V340)</x:f>
        <x:v>5.407607098603963</x:v>
      </x:c>
      <x:c r="AA340" s="173" t="n">
        <x:f>IF(W340=0,"",Z340/ABS(W340))</x:f>
        <x:v>0.5950117843124102</x:v>
      </x:c>
      <x:c r="AB340" s="173" t="n">
        <x:f>IF(W340=0,0,(COUNTIF(E340:V340,"&lt;"&amp;0.5*W340)-COUNTBLANK(E340:V340))/COUNT(E340:V340))</x:f>
        <x:v>0.17647058823529413</x:v>
      </x:c>
      <x:c r="AC340" s="109" t="n">
        <x:f>SUM(E340:V340)</x:f>
        <x:v>154.5</x:v>
      </x:c>
    </x:row>
    <x:row r="341">
      <x:c r="A341" s="108" t="str">
        <x:v>D/ST</x:v>
      </x:c>
      <x:c r="B341" s="108" t="str">
        <x:v>Commanders D/ST</x:v>
      </x:c>
      <x:c r="C341" s="108" t="str">
        <x:v>WSH</x:v>
      </x:c>
      <x:c r="D341" s="108" t="n">
        <x:v>12</x:v>
      </x:c>
      <x:c r="E341" s="109" t="n">
        <x:v>20.5</x:v>
      </x:c>
      <x:c r="F341" s="109" t="n">
        <x:v>2</x:v>
      </x:c>
      <x:c r="G341" s="109" t="n">
        <x:v>17</x:v>
      </x:c>
      <x:c r="H341" s="109" t="n">
        <x:v>9</x:v>
      </x:c>
      <x:c r="I341" s="109" t="n">
        <x:v>19</x:v>
      </x:c>
      <x:c r="J341" s="109" t="n">
        <x:v>7</x:v>
      </x:c>
      <x:c r="K341" s="109" t="n">
        <x:v>6</x:v>
      </x:c>
      <x:c r="L341" s="109" t="n">
        <x:v>7</x:v>
      </x:c>
      <x:c r="M341" s="109" t="n">
        <x:v>5.5</x:v>
      </x:c>
      <x:c r="N341" s="109" t="n">
        <x:v>1</x:v>
      </x:c>
      <x:c r="O341" s="109" t="n">
        <x:v>12</x:v>
      </x:c>
      <x:c r="P341" s="109"/>
      <x:c r="Q341" s="109" t="n">
        <x:v>6.5</x:v>
      </x:c>
      <x:c r="R341" s="109" t="n">
        <x:v>4</x:v>
      </x:c>
      <x:c r="S341" s="109" t="n">
        <x:v>13.5</x:v>
      </x:c>
      <x:c r="T341" s="109" t="n">
        <x:v>9.5</x:v>
      </x:c>
      <x:c r="U341" s="109" t="n">
        <x:v>6</x:v>
      </x:c>
      <x:c r="V341" s="109" t="n">
        <x:v>9</x:v>
      </x:c>
      <x:c r="W341" s="109" t="n">
        <x:f>AVERAGE(E341:V341)</x:f>
        <x:v>9.088235294117647</x:v>
      </x:c>
      <x:c r="X341" s="109" t="n">
        <x:f>MEDIAN(E341:V341)</x:f>
        <x:v>7</x:v>
      </x:c>
      <x:c r="Y341" s="109" t="n">
        <x:f>PERCENTILE.INC(E341:V341,0.25)</x:f>
        <x:v>6</x:v>
      </x:c>
      <x:c r="Z341" s="109" t="n">
        <x:f>STDEV.P(E341:V341)</x:f>
        <x:v>5.4671083176027695</x:v>
      </x:c>
      <x:c r="AA341" s="173" t="n">
        <x:f>IF(W341=0,"",Z341/ABS(W341))</x:f>
        <x:v>0.6015588440080717</x:v>
      </x:c>
      <x:c r="AB341" s="173" t="n">
        <x:f>IF(W341=0,0,(COUNTIF(E341:V341,"&lt;"&amp;0.5*W341)-COUNTBLANK(E341:V341))/COUNT(E341:V341))</x:f>
        <x:v>0.17647058823529413</x:v>
      </x:c>
      <x:c r="AC341" s="109" t="n">
        <x:f>SUM(E341:V341)</x:f>
        <x:v>154.5</x:v>
      </x:c>
    </x:row>
    <x:row r="342">
      <x:c r="A342" s="108" t="str">
        <x:v>D/ST</x:v>
      </x:c>
      <x:c r="B342" s="108" t="str">
        <x:v>Dolphins D/ST</x:v>
      </x:c>
      <x:c r="C342" s="108" t="str">
        <x:v>MIA</x:v>
      </x:c>
      <x:c r="D342" s="108" t="n">
        <x:v>12</x:v>
      </x:c>
      <x:c r="E342" s="109" t="n">
        <x:v>6</x:v>
      </x:c>
      <x:c r="F342" s="109" t="n">
        <x:v>8</x:v>
      </x:c>
      <x:c r="G342" s="109" t="n">
        <x:v>3</x:v>
      </x:c>
      <x:c r="H342" s="109" t="n">
        <x:v>13.5</x:v>
      </x:c>
      <x:c r="I342" s="109" t="n">
        <x:v>8</x:v>
      </x:c>
      <x:c r="J342" s="109" t="n">
        <x:v>7.5</x:v>
      </x:c>
      <x:c r="K342" s="109" t="n">
        <x:v>10</x:v>
      </x:c>
      <x:c r="L342" s="109" t="n">
        <x:v>11.5</x:v>
      </x:c>
      <x:c r="M342" s="109" t="n">
        <x:v>5</x:v>
      </x:c>
      <x:c r="N342" s="109" t="n">
        <x:v>20</x:v>
      </x:c>
      <x:c r="O342" s="109" t="n">
        <x:v>16.5</x:v>
      </x:c>
      <x:c r="P342" s="109"/>
      <x:c r="Q342" s="109" t="n">
        <x:v>18</x:v>
      </x:c>
      <x:c r="R342" s="109" t="n">
        <x:v>23.5</x:v>
      </x:c>
      <x:c r="S342" s="109" t="n">
        <x:v>8</x:v>
      </x:c>
      <x:c r="T342" s="109" t="n">
        <x:v>1</x:v>
      </x:c>
      <x:c r="U342" s="109" t="n">
        <x:v>18</x:v>
      </x:c>
      <x:c r="V342" s="109" t="n">
        <x:v>2</x:v>
      </x:c>
      <x:c r="W342" s="109" t="n">
        <x:f>AVERAGE(E342:V342)</x:f>
        <x:v>10.558823529411764</x:v>
      </x:c>
      <x:c r="X342" s="109" t="n">
        <x:f>MEDIAN(E342:V342)</x:f>
        <x:v>8</x:v>
      </x:c>
      <x:c r="Y342" s="109" t="n">
        <x:f>PERCENTILE.INC(E342:V342,0.25)</x:f>
        <x:v>6</x:v>
      </x:c>
      <x:c r="Z342" s="109" t="n">
        <x:f>STDEV.P(E342:V342)</x:f>
        <x:v>6.485010664740599</x:v>
      </x:c>
      <x:c r="AA342" s="173" t="n">
        <x:f>IF(W342=0,"",Z342/ABS(W342))</x:f>
        <x:v>0.6141792830116445</x:v>
      </x:c>
      <x:c r="AB342" s="173" t="n">
        <x:f>IF(W342=0,0,(COUNTIF(E342:V342,"&lt;"&amp;0.5*W342)-COUNTBLANK(E342:V342))/COUNT(E342:V342))</x:f>
        <x:v>0.23529411764705882</x:v>
      </x:c>
      <x:c r="AC342" s="109" t="n">
        <x:f>SUM(E342:V342)</x:f>
        <x:v>179.5</x:v>
      </x:c>
    </x:row>
    <x:row r="343">
      <x:c r="A343" s="108" t="str">
        <x:v>D/ST</x:v>
      </x:c>
      <x:c r="B343" s="108" t="str">
        <x:v>Raiders D/ST</x:v>
      </x:c>
      <x:c r="C343" s="108" t="str">
        <x:v>LV</x:v>
      </x:c>
      <x:c r="D343" s="108" t="n">
        <x:v>8</x:v>
      </x:c>
      <x:c r="E343" s="109" t="n">
        <x:v>15.5</x:v>
      </x:c>
      <x:c r="F343" s="109" t="n">
        <x:v>9.5</x:v>
      </x:c>
      <x:c r="G343" s="109" t="n">
        <x:v>6</x:v>
      </x:c>
      <x:c r="H343" s="109" t="n">
        <x:v>9.5</x:v>
      </x:c>
      <x:c r="I343" s="109" t="n">
        <x:v>-1</x:v>
      </x:c>
      <x:c r="J343" s="109" t="n">
        <x:v>19.5</x:v>
      </x:c>
      <x:c r="K343" s="109" t="n">
        <x:v>5.5</x:v>
      </x:c>
      <x:c r="L343" s="109"/>
      <x:c r="M343" s="109" t="n">
        <x:v>11</x:v>
      </x:c>
      <x:c r="N343" s="109" t="n">
        <x:v>17</x:v>
      </x:c>
      <x:c r="O343" s="109" t="n">
        <x:v>5</x:v>
      </x:c>
      <x:c r="P343" s="109" t="n">
        <x:v>15</x:v>
      </x:c>
      <x:c r="Q343" s="109" t="n">
        <x:v>11</x:v>
      </x:c>
      <x:c r="R343" s="109" t="n">
        <x:v>7</x:v>
      </x:c>
      <x:c r="S343" s="109" t="n">
        <x:v>8</x:v>
      </x:c>
      <x:c r="T343" s="109" t="n">
        <x:v>7</x:v>
      </x:c>
      <x:c r="U343" s="109" t="n">
        <x:v>2</x:v>
      </x:c>
      <x:c r="V343" s="109" t="n">
        <x:v>25.5</x:v>
      </x:c>
      <x:c r="W343" s="109" t="n">
        <x:f>AVERAGE(E343:V343)</x:f>
        <x:v>10.176470588235293</x:v>
      </x:c>
      <x:c r="X343" s="109" t="n">
        <x:f>MEDIAN(E343:V343)</x:f>
        <x:v>9.5</x:v>
      </x:c>
      <x:c r="Y343" s="109" t="n">
        <x:f>PERCENTILE.INC(E343:V343,0.25)</x:f>
        <x:v>6</x:v>
      </x:c>
      <x:c r="Z343" s="109" t="n">
        <x:f>STDEV.P(E343:V343)</x:f>
        <x:v>6.439631831982935</x:v>
      </x:c>
      <x:c r="AA343" s="173" t="n">
        <x:f>IF(W343=0,"",Z343/ABS(W343))</x:f>
        <x:v>0.6327961915821382</x:v>
      </x:c>
      <x:c r="AB343" s="173" t="n">
        <x:f>IF(W343=0,0,(COUNTIF(E343:V343,"&lt;"&amp;0.5*W343)-COUNTBLANK(E343:V343))/COUNT(E343:V343))</x:f>
        <x:v>0.17647058823529413</x:v>
      </x:c>
      <x:c r="AC343" s="109" t="n">
        <x:f>SUM(E343:V343)</x:f>
        <x:v>173</x:v>
      </x:c>
    </x:row>
    <x:row r="344">
      <x:c r="A344" s="108" t="str">
        <x:v>D/ST</x:v>
      </x:c>
      <x:c r="B344" s="108" t="str">
        <x:v>Browns D/ST</x:v>
      </x:c>
      <x:c r="C344" s="108" t="str">
        <x:v>CLE</x:v>
      </x:c>
      <x:c r="D344" s="108" t="n">
        <x:v>9</x:v>
      </x:c>
      <x:c r="E344" s="109" t="n">
        <x:v>11</x:v>
      </x:c>
      <x:c r="F344" s="109" t="n">
        <x:v>4.5</x:v>
      </x:c>
      <x:c r="G344" s="109" t="n">
        <x:v>21.5</x:v>
      </x:c>
      <x:c r="H344" s="109" t="n">
        <x:v>7</x:v>
      </x:c>
      <x:c r="I344" s="109" t="n">
        <x:v>10</x:v>
      </x:c>
      <x:c r="J344" s="109" t="n">
        <x:v>5.5</x:v>
      </x:c>
      <x:c r="K344" s="109" t="n">
        <x:v>36.5</x:v>
      </x:c>
      <x:c r="L344" s="109" t="n">
        <x:v>15.5</x:v>
      </x:c>
      <x:c r="M344" s="109"/>
      <x:c r="N344" s="109" t="n">
        <x:v>12</x:v>
      </x:c>
      <x:c r="O344" s="109" t="n">
        <x:v>22.5</x:v>
      </x:c>
      <x:c r="P344" s="109" t="n">
        <x:v>24.5</x:v>
      </x:c>
      <x:c r="Q344" s="109" t="n">
        <x:v>3</x:v>
      </x:c>
      <x:c r="R344" s="109" t="n">
        <x:v>8</x:v>
      </x:c>
      <x:c r="S344" s="109" t="n">
        <x:v>6</x:v>
      </x:c>
      <x:c r="T344" s="109" t="n">
        <x:v>2</x:v>
      </x:c>
      <x:c r="U344" s="109" t="n">
        <x:v>18.5</x:v>
      </x:c>
      <x:c r="V344" s="109" t="n">
        <x:v>21</x:v>
      </x:c>
      <x:c r="W344" s="109" t="n">
        <x:f>AVERAGE(E344:V344)</x:f>
        <x:v>13.470588235294118</x:v>
      </x:c>
      <x:c r="X344" s="109" t="n">
        <x:f>MEDIAN(E344:V344)</x:f>
        <x:v>11</x:v>
      </x:c>
      <x:c r="Y344" s="109" t="n">
        <x:f>PERCENTILE.INC(E344:V344,0.25)</x:f>
        <x:v>6</x:v>
      </x:c>
      <x:c r="Z344" s="109" t="n">
        <x:f>STDEV.P(E344:V344)</x:f>
        <x:v>9.130541167254021</x:v>
      </x:c>
      <x:c r="AA344" s="173" t="n">
        <x:f>IF(W344=0,"",Z344/ABS(W344))</x:f>
        <x:v>0.6778130997524819</x:v>
      </x:c>
      <x:c r="AB344" s="173" t="n">
        <x:f>IF(W344=0,0,(COUNTIF(E344:V344,"&lt;"&amp;0.5*W344)-COUNTBLANK(E344:V344))/COUNT(E344:V344))</x:f>
        <x:v>0.29411764705882354</x:v>
      </x:c>
      <x:c r="AC344" s="109" t="n">
        <x:f>SUM(E344:V344)</x:f>
        <x:v>229</x:v>
      </x:c>
    </x:row>
    <x:row r="345">
      <x:c r="A345" s="108" t="str">
        <x:v>D/ST</x:v>
      </x:c>
      <x:c r="B345" s="108" t="str">
        <x:v>Falcons D/ST</x:v>
      </x:c>
      <x:c r="C345" s="108" t="str">
        <x:v>ATL</x:v>
      </x:c>
      <x:c r="D345" s="108" t="n">
        <x:v>5</x:v>
      </x:c>
      <x:c r="E345" s="109" t="n">
        <x:v>3</x:v>
      </x:c>
      <x:c r="F345" s="109" t="n">
        <x:v>26.5</x:v>
      </x:c>
      <x:c r="G345" s="109" t="n">
        <x:v>5.5</x:v>
      </x:c>
      <x:c r="H345" s="109" t="n">
        <x:v>8</x:v>
      </x:c>
      <x:c r="I345" s="109"/>
      <x:c r="J345" s="109" t="n">
        <x:v>13.5</x:v>
      </x:c>
      <x:c r="K345" s="109" t="n">
        <x:v>8</x:v>
      </x:c>
      <x:c r="L345" s="109" t="n">
        <x:v>3</x:v>
      </x:c>
      <x:c r="M345" s="109" t="n">
        <x:v>12.5</x:v>
      </x:c>
      <x:c r="N345" s="109" t="n">
        <x:v>12.5</x:v>
      </x:c>
      <x:c r="O345" s="109" t="n">
        <x:v>4</x:v>
      </x:c>
      <x:c r="P345" s="109" t="n">
        <x:v>24.5</x:v>
      </x:c>
      <x:c r="Q345" s="109" t="n">
        <x:v>6</x:v>
      </x:c>
      <x:c r="R345" s="109" t="n">
        <x:v>5.5</x:v>
      </x:c>
      <x:c r="S345" s="109" t="n">
        <x:v>11</x:v>
      </x:c>
      <x:c r="T345" s="109" t="n">
        <x:v>8</x:v>
      </x:c>
      <x:c r="U345" s="109" t="n">
        <x:v>15</x:v>
      </x:c>
      <x:c r="V345" s="109" t="n">
        <x:v>17</x:v>
      </x:c>
      <x:c r="W345" s="109" t="n">
        <x:f>AVERAGE(E345:V345)</x:f>
        <x:v>10.794117647058824</x:v>
      </x:c>
      <x:c r="X345" s="109" t="n">
        <x:f>MEDIAN(E345:V345)</x:f>
        <x:v>8</x:v>
      </x:c>
      <x:c r="Y345" s="109" t="n">
        <x:f>PERCENTILE.INC(E345:V345,0.25)</x:f>
        <x:v>5.5</x:v>
      </x:c>
      <x:c r="Z345" s="109" t="n">
        <x:f>STDEV.P(E345:V345)</x:f>
        <x:v>6.747676775640051</x:v>
      </x:c>
      <x:c r="AA345" s="173" t="n">
        <x:f>IF(W345=0,"",Z345/ABS(W345))</x:f>
        <x:v>0.6251253688603862</x:v>
      </x:c>
      <x:c r="AB345" s="173" t="n">
        <x:f>IF(W345=0,0,(COUNTIF(E345:V345,"&lt;"&amp;0.5*W345)-COUNTBLANK(E345:V345))/COUNT(E345:V345))</x:f>
        <x:v>0.17647058823529413</x:v>
      </x:c>
      <x:c r="AC345" s="109" t="n">
        <x:f>SUM(E345:V345)</x:f>
        <x:v>183.5</x:v>
      </x:c>
    </x:row>
    <x:row r="346">
      <x:c r="A346" s="108" t="str">
        <x:v>D/ST</x:v>
      </x:c>
      <x:c r="B346" s="108" t="str">
        <x:v>Panthers D/ST</x:v>
      </x:c>
      <x:c r="C346" s="108" t="str">
        <x:v>CAR</x:v>
      </x:c>
      <x:c r="D346" s="108" t="n">
        <x:v>14</x:v>
      </x:c>
      <x:c r="E346" s="109" t="n">
        <x:v>4</x:v>
      </x:c>
      <x:c r="F346" s="109" t="n">
        <x:v>6</x:v>
      </x:c>
      <x:c r="G346" s="109" t="n">
        <x:v>29</x:v>
      </x:c>
      <x:c r="H346" s="109" t="n">
        <x:v>1</x:v>
      </x:c>
      <x:c r="I346" s="109" t="n">
        <x:v>8</x:v>
      </x:c>
      <x:c r="J346" s="109" t="n">
        <x:v>5</x:v>
      </x:c>
      <x:c r="K346" s="109" t="n">
        <x:v>24</x:v>
      </x:c>
      <x:c r="L346" s="109" t="n">
        <x:v>4</x:v>
      </x:c>
      <x:c r="M346" s="109" t="n">
        <x:v>15</x:v>
      </x:c>
      <x:c r="N346" s="109" t="n">
        <x:v>9.5</x:v>
      </x:c>
      <x:c r="O346" s="109" t="n">
        <x:v>5.5</x:v>
      </x:c>
      <x:c r="P346" s="109" t="n">
        <x:v>11.5</x:v>
      </x:c>
      <x:c r="Q346" s="109" t="n">
        <x:v>13</x:v>
      </x:c>
      <x:c r="R346" s="109"/>
      <x:c r="S346" s="109" t="n">
        <x:v>9.5</x:v>
      </x:c>
      <x:c r="T346" s="109" t="n">
        <x:v>8</x:v>
      </x:c>
      <x:c r="U346" s="109" t="n">
        <x:v>10</x:v>
      </x:c>
      <x:c r="V346" s="109" t="n">
        <x:v>13.5</x:v>
      </x:c>
      <x:c r="W346" s="109" t="n">
        <x:f>AVERAGE(E346:V346)</x:f>
        <x:v>10.382352941176471</x:v>
      </x:c>
      <x:c r="X346" s="109" t="n">
        <x:f>MEDIAN(E346:V346)</x:f>
        <x:v>9.5</x:v>
      </x:c>
      <x:c r="Y346" s="109" t="n">
        <x:f>PERCENTILE.INC(E346:V346,0.25)</x:f>
        <x:v>5.5</x:v>
      </x:c>
      <x:c r="Z346" s="109" t="n">
        <x:f>STDEV.P(E346:V346)</x:f>
        <x:v>6.969533303146475</x:v>
      </x:c>
      <x:c r="AA346" s="173" t="n">
        <x:f>IF(W346=0,"",Z346/ABS(W346))</x:f>
        <x:v>0.6712864937874792</x:v>
      </x:c>
      <x:c r="AB346" s="173" t="n">
        <x:f>IF(W346=0,0,(COUNTIF(E346:V346,"&lt;"&amp;0.5*W346)-COUNTBLANK(E346:V346))/COUNT(E346:V346))</x:f>
        <x:v>0.23529411764705882</x:v>
      </x:c>
      <x:c r="AC346" s="109" t="n">
        <x:f>SUM(E346:V346)</x:f>
        <x:v>176.5</x:v>
      </x:c>
    </x:row>
    <x:row r="347">
      <x:c r="A347" s="108" t="str">
        <x:v>D/ST</x:v>
      </x:c>
      <x:c r="B347" s="108" t="str">
        <x:v>Chiefs D/ST</x:v>
      </x:c>
      <x:c r="C347" s="108" t="str">
        <x:v>KC</x:v>
      </x:c>
      <x:c r="D347" s="108" t="n">
        <x:v>10</x:v>
      </x:c>
      <x:c r="E347" s="109" t="n">
        <x:v>7.5</x:v>
      </x:c>
      <x:c r="F347" s="109" t="n">
        <x:v>8</x:v>
      </x:c>
      <x:c r="G347" s="109" t="n">
        <x:v>18</x:v>
      </x:c>
      <x:c r="H347" s="109" t="n">
        <x:v>7.5</x:v>
      </x:c>
      <x:c r="I347" s="109" t="n">
        <x:v>9</x:v>
      </x:c>
      <x:c r="J347" s="109" t="n">
        <x:v>4.5</x:v>
      </x:c>
      <x:c r="K347" s="109" t="n">
        <x:v>18.5</x:v>
      </x:c>
      <x:c r="L347" s="109" t="n">
        <x:v>16.5</x:v>
      </x:c>
      <x:c r="M347" s="109" t="n">
        <x:v>4</x:v>
      </x:c>
      <x:c r="N347" s="109"/>
      <x:c r="O347" s="109" t="n">
        <x:v>4.5</x:v>
      </x:c>
      <x:c r="P347" s="109" t="n">
        <x:v>5</x:v>
      </x:c>
      <x:c r="Q347" s="109" t="n">
        <x:v>2.5</x:v>
      </x:c>
      <x:c r="R347" s="109" t="n">
        <x:v>9</x:v>
      </x:c>
      <x:c r="S347" s="109" t="n">
        <x:v>15</x:v>
      </x:c>
      <x:c r="T347" s="109" t="n">
        <x:v>7.5</x:v>
      </x:c>
      <x:c r="U347" s="109" t="n">
        <x:v>8</x:v>
      </x:c>
      <x:c r="V347" s="109" t="n">
        <x:v>19</x:v>
      </x:c>
      <x:c r="W347" s="109" t="n">
        <x:f>AVERAGE(E347:V347)</x:f>
        <x:v>9.647058823529411</x:v>
      </x:c>
      <x:c r="X347" s="109" t="n">
        <x:f>MEDIAN(E347:V347)</x:f>
        <x:v>8</x:v>
      </x:c>
      <x:c r="Y347" s="109" t="n">
        <x:f>PERCENTILE.INC(E347:V347,0.25)</x:f>
        <x:v>5</x:v>
      </x:c>
      <x:c r="Z347" s="109" t="n">
        <x:f>STDEV.P(E347:V347)</x:f>
        <x:v>5.362628596791692</x:v>
      </x:c>
      <x:c r="AA347" s="173" t="n">
        <x:f>IF(W347=0,"",Z347/ABS(W347))</x:f>
        <x:v>0.5558822325942607</x:v>
      </x:c>
      <x:c r="AB347" s="173" t="n">
        <x:f>IF(W347=0,0,(COUNTIF(E347:V347,"&lt;"&amp;0.5*W347)-COUNTBLANK(E347:V347))/COUNT(E347:V347))</x:f>
        <x:v>0.23529411764705882</x:v>
      </x:c>
      <x:c r="AC347" s="109" t="n">
        <x:f>SUM(E347:V347)</x:f>
        <x:v>164</x:v>
      </x:c>
    </x:row>
    <x:row r="348">
      <x:c r="A348" s="108" t="str">
        <x:v>D/ST</x:v>
      </x:c>
      <x:c r="B348" s="108" t="str">
        <x:v>Lions D/ST</x:v>
      </x:c>
      <x:c r="C348" s="108" t="str">
        <x:v>DET</x:v>
      </x:c>
      <x:c r="D348" s="108" t="n">
        <x:v>8</x:v>
      </x:c>
      <x:c r="E348" s="109" t="n">
        <x:v>5</x:v>
      </x:c>
      <x:c r="F348" s="109" t="n">
        <x:v>12</x:v>
      </x:c>
      <x:c r="G348" s="109" t="n">
        <x:v>12.5</x:v>
      </x:c>
      <x:c r="H348" s="109" t="n">
        <x:v>28</x:v>
      </x:c>
      <x:c r="I348" s="109" t="n">
        <x:v>15</x:v>
      </x:c>
      <x:c r="J348" s="109" t="n">
        <x:v>3.5</x:v>
      </x:c>
      <x:c r="K348" s="109" t="n">
        <x:v>18.5</x:v>
      </x:c>
      <x:c r="L348" s="109"/>
      <x:c r="M348" s="109" t="n">
        <x:v>9</x:v>
      </x:c>
      <x:c r="N348" s="109" t="n">
        <x:v>3</x:v>
      </x:c>
      <x:c r="O348" s="109" t="n">
        <x:v>12</x:v>
      </x:c>
      <x:c r="P348" s="109" t="n">
        <x:v>9.5</x:v>
      </x:c>
      <x:c r="Q348" s="109" t="n">
        <x:v>1.5</x:v>
      </x:c>
      <x:c r="R348" s="109" t="n">
        <x:v>11</x:v>
      </x:c>
      <x:c r="S348" s="109" t="n">
        <x:v>2</x:v>
      </x:c>
      <x:c r="T348" s="109" t="n">
        <x:v>8</x:v>
      </x:c>
      <x:c r="U348" s="109" t="n">
        <x:v>9</x:v>
      </x:c>
      <x:c r="V348" s="109" t="n">
        <x:v>6</x:v>
      </x:c>
      <x:c r="W348" s="109" t="n">
        <x:f>AVERAGE(E348:V348)</x:f>
        <x:v>9.735294117647058</x:v>
      </x:c>
      <x:c r="X348" s="109" t="n">
        <x:f>MEDIAN(E348:V348)</x:f>
        <x:v>9</x:v>
      </x:c>
      <x:c r="Y348" s="109" t="n">
        <x:f>PERCENTILE.INC(E348:V348,0.25)</x:f>
        <x:v>5</x:v>
      </x:c>
      <x:c r="Z348" s="109" t="n">
        <x:f>STDEV.P(E348:V348)</x:f>
        <x:v>6.462829573024915</x:v>
      </x:c>
      <x:c r="AA348" s="173" t="n">
        <x:f>IF(W348=0,"",Z348/ABS(W348))</x:f>
        <x:v>0.6638556056883599</x:v>
      </x:c>
      <x:c r="AB348" s="173" t="n">
        <x:f>IF(W348=0,0,(COUNTIF(E348:V348,"&lt;"&amp;0.5*W348)-COUNTBLANK(E348:V348))/COUNT(E348:V348))</x:f>
        <x:v>0.23529411764705882</x:v>
      </x:c>
      <x:c r="AC348" s="109" t="n">
        <x:f>SUM(E348:V348)</x:f>
        <x:v>165.5</x:v>
      </x:c>
    </x:row>
    <x:row r="349">
      <x:c r="A349" s="108" t="str">
        <x:v>D/ST</x:v>
      </x:c>
      <x:c r="B349" s="108" t="str">
        <x:v>Ravens D/ST</x:v>
      </x:c>
      <x:c r="C349" s="108" t="str">
        <x:v>BAL</x:v>
      </x:c>
      <x:c r="D349" s="108" t="n">
        <x:v>7</x:v>
      </x:c>
      <x:c r="E349" s="109" t="n">
        <x:v>4.5</x:v>
      </x:c>
      <x:c r="F349" s="109" t="n">
        <x:v>19</x:v>
      </x:c>
      <x:c r="G349" s="109" t="n">
        <x:v>2</x:v>
      </x:c>
      <x:c r="H349" s="109" t="n">
        <x:v>1</x:v>
      </x:c>
      <x:c r="I349" s="109" t="n">
        <x:v>2</x:v>
      </x:c>
      <x:c r="J349" s="109" t="n">
        <x:v>10</x:v>
      </x:c>
      <x:c r="K349" s="109"/>
      <x:c r="L349" s="109" t="n">
        <x:v>11.5</x:v>
      </x:c>
      <x:c r="M349" s="109" t="n">
        <x:v>24</x:v>
      </x:c>
      <x:c r="N349" s="109" t="n">
        <x:v>9.5</x:v>
      </x:c>
      <x:c r="O349" s="109" t="n">
        <x:v>16.5</x:v>
      </x:c>
      <x:c r="P349" s="109" t="n">
        <x:v>18</x:v>
      </x:c>
      <x:c r="Q349" s="109" t="n">
        <x:v>5</x:v>
      </x:c>
      <x:c r="R349" s="109" t="n">
        <x:v>1</x:v>
      </x:c>
      <x:c r="S349" s="109" t="n">
        <x:v>30.5</x:v>
      </x:c>
      <x:c r="T349" s="109" t="n">
        <x:v>9.5</x:v>
      </x:c>
      <x:c r="U349" s="109" t="n">
        <x:v>7.5</x:v>
      </x:c>
      <x:c r="V349" s="109" t="n">
        <x:v>6</x:v>
      </x:c>
      <x:c r="W349" s="109" t="n">
        <x:f>AVERAGE(E349:V349)</x:f>
        <x:v>10.441176470588236</x:v>
      </x:c>
      <x:c r="X349" s="109" t="n">
        <x:f>MEDIAN(E349:V349)</x:f>
        <x:v>9.5</x:v>
      </x:c>
      <x:c r="Y349" s="109" t="n">
        <x:f>PERCENTILE.INC(E349:V349,0.25)</x:f>
        <x:v>4.5</x:v>
      </x:c>
      <x:c r="Z349" s="109" t="n">
        <x:f>STDEV.P(E349:V349)</x:f>
        <x:v>8.29755873548709</x:v>
      </x:c>
      <x:c r="AA349" s="173" t="n">
        <x:f>IF(W349=0,"",Z349/ABS(W349))</x:f>
        <x:v>0.794695766215665</x:v>
      </x:c>
      <x:c r="AB349" s="173" t="n">
        <x:f>IF(W349=0,0,(COUNTIF(E349:V349,"&lt;"&amp;0.5*W349)-COUNTBLANK(E349:V349))/COUNT(E349:V349))</x:f>
        <x:v>0.35294117647058826</x:v>
      </x:c>
      <x:c r="AC349" s="109" t="n">
        <x:f>SUM(E349:V349)</x:f>
        <x:v>177.5</x:v>
      </x:c>
    </x:row>
    <x:row r="350">
      <x:c r="A350" s="108" t="str">
        <x:v>D/ST</x:v>
      </x:c>
      <x:c r="B350" s="108" t="str">
        <x:v>Giants D/ST</x:v>
      </x:c>
      <x:c r="C350" s="108" t="str">
        <x:v>NYG</x:v>
      </x:c>
      <x:c r="D350" s="108" t="n">
        <x:v>14</x:v>
      </x:c>
      <x:c r="E350" s="109" t="n">
        <x:v>4</x:v>
      </x:c>
      <x:c r="F350" s="109" t="n">
        <x:v>7</x:v>
      </x:c>
      <x:c r="G350" s="109" t="n">
        <x:v>4.5</x:v>
      </x:c>
      <x:c r="H350" s="109" t="n">
        <x:v>7</x:v>
      </x:c>
      <x:c r="I350" s="109" t="n">
        <x:v>7</x:v>
      </x:c>
      <x:c r="J350" s="109" t="n">
        <x:v>17</x:v>
      </x:c>
      <x:c r="K350" s="109" t="n">
        <x:v>3</x:v>
      </x:c>
      <x:c r="L350" s="109" t="n">
        <x:v>5</x:v>
      </x:c>
      <x:c r="M350" s="109" t="n">
        <x:v>7</x:v>
      </x:c>
      <x:c r="N350" s="109" t="n">
        <x:v>0</x:v>
      </x:c>
      <x:c r="O350" s="109" t="n">
        <x:v>2.5</x:v>
      </x:c>
      <x:c r="P350" s="109" t="n">
        <x:v>5</x:v>
      </x:c>
      <x:c r="Q350" s="109" t="n">
        <x:v>6</x:v>
      </x:c>
      <x:c r="R350" s="109"/>
      <x:c r="S350" s="109" t="n">
        <x:v>12</x:v>
      </x:c>
      <x:c r="T350" s="109" t="n">
        <x:v>21</x:v>
      </x:c>
      <x:c r="U350" s="109" t="n">
        <x:v>28</x:v>
      </x:c>
      <x:c r="V350" s="109" t="n">
        <x:v>12.5</x:v>
      </x:c>
      <x:c r="W350" s="109" t="n">
        <x:f>AVERAGE(E350:V350)</x:f>
        <x:v>8.735294117647058</x:v>
      </x:c>
      <x:c r="X350" s="109" t="n">
        <x:f>MEDIAN(E350:V350)</x:f>
        <x:v>7</x:v>
      </x:c>
      <x:c r="Y350" s="109" t="n">
        <x:f>PERCENTILE.INC(E350:V350,0.25)</x:f>
        <x:v>4.5</x:v>
      </x:c>
      <x:c r="Z350" s="109" t="n">
        <x:f>STDEV.P(E350:V350)</x:f>
        <x:v>7.073391829406762</x:v>
      </x:c>
      <x:c r="AA350" s="173" t="n">
        <x:f>IF(W350=0,"",Z350/ABS(W350))</x:f>
        <x:v>0.8097485595953869</x:v>
      </x:c>
      <x:c r="AB350" s="173" t="n">
        <x:f>IF(W350=0,0,(COUNTIF(E350:V350,"&lt;"&amp;0.5*W350)-COUNTBLANK(E350:V350))/COUNT(E350:V350))</x:f>
        <x:v>0.23529411764705882</x:v>
      </x:c>
      <x:c r="AC350" s="109" t="n">
        <x:f>SUM(E350:V350)</x:f>
        <x:v>148.5</x:v>
      </x:c>
    </x:row>
    <x:row r="351">
      <x:c r="A351" s="108" t="str">
        <x:v>D/ST</x:v>
      </x:c>
      <x:c r="B351" s="108" t="str">
        <x:v>Cowboys D/ST</x:v>
      </x:c>
      <x:c r="C351" s="108" t="str">
        <x:v>DAL</x:v>
      </x:c>
      <x:c r="D351" s="108" t="n">
        <x:v>10</x:v>
      </x:c>
      <x:c r="E351" s="109" t="n">
        <x:v>7</x:v>
      </x:c>
      <x:c r="F351" s="109" t="n">
        <x:v>6</x:v>
      </x:c>
      <x:c r="G351" s="109" t="n">
        <x:v>4</x:v>
      </x:c>
      <x:c r="H351" s="109" t="n">
        <x:v>10</x:v>
      </x:c>
      <x:c r="I351" s="109" t="n">
        <x:v>9</x:v>
      </x:c>
      <x:c r="J351" s="109" t="n">
        <x:v>3</x:v>
      </x:c>
      <x:c r="K351" s="109" t="n">
        <x:v>19</x:v>
      </x:c>
      <x:c r="L351" s="109" t="n">
        <x:v>2</x:v>
      </x:c>
      <x:c r="M351" s="109" t="n">
        <x:v>17</x:v>
      </x:c>
      <x:c r="N351" s="109"/>
      <x:c r="O351" s="109" t="n">
        <x:v>16</x:v>
      </x:c>
      <x:c r="P351" s="109" t="n">
        <x:v>6.5</x:v>
      </x:c>
      <x:c r="Q351" s="109" t="n">
        <x:v>5.5</x:v>
      </x:c>
      <x:c r="R351" s="109" t="n">
        <x:v>3</x:v>
      </x:c>
      <x:c r="S351" s="109" t="n">
        <x:v>8</x:v>
      </x:c>
      <x:c r="T351" s="109" t="n">
        <x:v>2.5</x:v>
      </x:c>
      <x:c r="U351" s="109" t="n">
        <x:v>6</x:v>
      </x:c>
      <x:c r="V351" s="109" t="n">
        <x:v>9.5</x:v>
      </x:c>
      <x:c r="W351" s="109" t="n">
        <x:f>AVERAGE(E351:V351)</x:f>
        <x:v>7.882352941176471</x:v>
      </x:c>
      <x:c r="X351" s="109" t="n">
        <x:f>MEDIAN(E351:V351)</x:f>
        <x:v>6.5</x:v>
      </x:c>
      <x:c r="Y351" s="109" t="n">
        <x:f>PERCENTILE.INC(E351:V351,0.25)</x:f>
        <x:v>4</x:v>
      </x:c>
      <x:c r="Z351" s="109" t="n">
        <x:f>STDEV.P(E351:V351)</x:f>
        <x:v>4.986833876391577</x:v>
      </x:c>
      <x:c r="AA351" s="173" t="n">
        <x:f>IF(W351=0,"",Z351/ABS(W351))</x:f>
        <x:v>0.6326580290944538</x:v>
      </x:c>
      <x:c r="AB351" s="173" t="n">
        <x:f>IF(W351=0,0,(COUNTIF(E351:V351,"&lt;"&amp;0.5*W351)-COUNTBLANK(E351:V351))/COUNT(E351:V351))</x:f>
        <x:v>0.23529411764705882</x:v>
      </x:c>
      <x:c r="AC351" s="109" t="n">
        <x:f>SUM(E351:V351)</x:f>
        <x:v>134</x:v>
      </x:c>
    </x:row>
    <x:row r="352">
      <x:c r="A352" s="108" t="str">
        <x:v>D/ST</x:v>
      </x:c>
      <x:c r="B352" s="108" t="str">
        <x:v>Packers D/ST</x:v>
      </x:c>
      <x:c r="C352" s="108" t="str">
        <x:v>GB</x:v>
      </x:c>
      <x:c r="D352" s="108" t="n">
        <x:v>5</x:v>
      </x:c>
      <x:c r="E352" s="109" t="n">
        <x:v>18</x:v>
      </x:c>
      <x:c r="F352" s="109" t="n">
        <x:v>8</x:v>
      </x:c>
      <x:c r="G352" s="109" t="n">
        <x:v>11</x:v>
      </x:c>
      <x:c r="H352" s="109" t="n">
        <x:v>0</x:v>
      </x:c>
      <x:c r="I352" s="109"/>
      <x:c r="J352" s="109" t="n">
        <x:v>4</x:v>
      </x:c>
      <x:c r="K352" s="109" t="n">
        <x:v>15</x:v>
      </x:c>
      <x:c r="L352" s="109" t="n">
        <x:v>6</x:v>
      </x:c>
      <x:c r="M352" s="109" t="n">
        <x:v>10.5</x:v>
      </x:c>
      <x:c r="N352" s="109" t="n">
        <x:v>13</x:v>
      </x:c>
      <x:c r="O352" s="109" t="n">
        <x:v>9</x:v>
      </x:c>
      <x:c r="P352" s="109" t="n">
        <x:v>25.5</x:v>
      </x:c>
      <x:c r="Q352" s="109" t="n">
        <x:v>11</x:v>
      </x:c>
      <x:c r="R352" s="109" t="n">
        <x:v>4.5</x:v>
      </x:c>
      <x:c r="S352" s="109" t="n">
        <x:v>3</x:v>
      </x:c>
      <x:c r="T352" s="109" t="n">
        <x:v>2</x:v>
      </x:c>
      <x:c r="U352" s="109" t="n">
        <x:v>3</x:v>
      </x:c>
      <x:c r="V352" s="109" t="n">
        <x:v>11</x:v>
      </x:c>
      <x:c r="W352" s="109" t="n">
        <x:f>AVERAGE(E352:V352)</x:f>
        <x:v>9.088235294117647</x:v>
      </x:c>
      <x:c r="X352" s="109" t="n">
        <x:f>MEDIAN(E352:V352)</x:f>
        <x:v>9</x:v>
      </x:c>
      <x:c r="Y352" s="109" t="n">
        <x:f>PERCENTILE.INC(E352:V352,0.25)</x:f>
        <x:v>4</x:v>
      </x:c>
      <x:c r="Z352" s="109" t="n">
        <x:f>STDEV.P(E352:V352)</x:f>
        <x:v>6.3088063896654605</x:v>
      </x:c>
      <x:c r="AA352" s="173" t="n">
        <x:f>IF(W352=0,"",Z352/ABS(W352))</x:f>
        <x:v>0.6941728713547756</x:v>
      </x:c>
      <x:c r="AB352" s="173" t="n">
        <x:f>IF(W352=0,0,(COUNTIF(E352:V352,"&lt;"&amp;0.5*W352)-COUNTBLANK(E352:V352))/COUNT(E352:V352))</x:f>
        <x:v>0.35294117647058826</x:v>
      </x:c>
      <x:c r="AC352" s="109" t="n">
        <x:f>SUM(E352:V352)</x:f>
        <x:v>154.5</x:v>
      </x:c>
    </x:row>
    <x:row r="353">
      <x:c r="A353" s="108" t="str">
        <x:v>D/ST</x:v>
      </x:c>
      <x:c r="B353" s="108" t="str">
        <x:v>Jets D/ST</x:v>
      </x:c>
      <x:c r="C353" s="108" t="str">
        <x:v>NYJ</x:v>
      </x:c>
      <x:c r="D353" s="108" t="n">
        <x:v>9</x:v>
      </x:c>
      <x:c r="E353" s="109" t="n">
        <x:v>9</x:v>
      </x:c>
      <x:c r="F353" s="109" t="n">
        <x:v>4.5</x:v>
      </x:c>
      <x:c r="G353" s="109" t="n">
        <x:v>17.5</x:v>
      </x:c>
      <x:c r="H353" s="109" t="n">
        <x:v>6.5</x:v>
      </x:c>
      <x:c r="I353" s="109" t="n">
        <x:v>1</x:v>
      </x:c>
      <x:c r="J353" s="109" t="n">
        <x:v>19.5</x:v>
      </x:c>
      <x:c r="K353" s="109" t="n">
        <x:v>14</x:v>
      </x:c>
      <x:c r="L353" s="109" t="n">
        <x:v>0</x:v>
      </x:c>
      <x:c r="M353" s="109"/>
      <x:c r="N353" s="109" t="n">
        <x:v>25</x:v>
      </x:c>
      <x:c r="O353" s="109" t="n">
        <x:v>4</x:v>
      </x:c>
      <x:c r="P353" s="109" t="n">
        <x:v>4</x:v>
      </x:c>
      <x:c r="Q353" s="109" t="n">
        <x:v>7.5</x:v>
      </x:c>
      <x:c r="R353" s="109" t="n">
        <x:v>11</x:v>
      </x:c>
      <x:c r="S353" s="109" t="n">
        <x:v>3</x:v>
      </x:c>
      <x:c r="T353" s="109" t="n">
        <x:v>6</x:v>
      </x:c>
      <x:c r="U353" s="109" t="n">
        <x:v>5</x:v>
      </x:c>
      <x:c r="V353" s="109" t="n">
        <x:v>3</x:v>
      </x:c>
      <x:c r="W353" s="109" t="n">
        <x:f>AVERAGE(E353:V353)</x:f>
        <x:v>8.264705882352942</x:v>
      </x:c>
      <x:c r="X353" s="109" t="n">
        <x:f>MEDIAN(E353:V353)</x:f>
        <x:v>6</x:v>
      </x:c>
      <x:c r="Y353" s="109" t="n">
        <x:f>PERCENTILE.INC(E353:V353,0.25)</x:f>
        <x:v>4</x:v>
      </x:c>
      <x:c r="Z353" s="109" t="n">
        <x:f>STDEV.P(E353:V353)</x:f>
        <x:v>6.769563473325083</x:v>
      </x:c>
      <x:c r="AA353" s="173" t="n">
        <x:f>IF(W353=0,"",Z353/ABS(W353))</x:f>
        <x:v>0.8190930892991203</x:v>
      </x:c>
      <x:c r="AB353" s="173" t="n">
        <x:f>IF(W353=0,0,(COUNTIF(E353:V353,"&lt;"&amp;0.5*W353)-COUNTBLANK(E353:V353))/COUNT(E353:V353))</x:f>
        <x:v>0.35294117647058826</x:v>
      </x:c>
      <x:c r="AC353" s="109" t="n">
        <x:f>SUM(E353:V353)</x:f>
        <x:v>140.5</x:v>
      </x:c>
    </x:row>
    <x:row r="354">
      <x:c r="A354" s="108" t="str">
        <x:v>D/ST</x:v>
      </x:c>
      <x:c r="B354" s="108" t="str">
        <x:v>Bengals D/ST</x:v>
      </x:c>
      <x:c r="C354" s="108" t="str">
        <x:v>CIN</x:v>
      </x:c>
      <x:c r="D354" s="108" t="n">
        <x:v>10</x:v>
      </x:c>
      <x:c r="E354" s="109" t="n">
        <x:v>14</x:v>
      </x:c>
      <x:c r="F354" s="109" t="n">
        <x:v>5</x:v>
      </x:c>
      <x:c r="G354" s="109" t="n">
        <x:v>3.5</x:v>
      </x:c>
      <x:c r="H354" s="109" t="n">
        <x:v>2</x:v>
      </x:c>
      <x:c r="I354" s="109" t="n">
        <x:v>8</x:v>
      </x:c>
      <x:c r="J354" s="109" t="n">
        <x:v>5</x:v>
      </x:c>
      <x:c r="K354" s="109" t="n">
        <x:v>3</x:v>
      </x:c>
      <x:c r="L354" s="109" t="n">
        <x:v>0</x:v>
      </x:c>
      <x:c r="M354" s="109" t="n">
        <x:v>8</x:v>
      </x:c>
      <x:c r="N354" s="109"/>
      <x:c r="O354" s="109" t="n">
        <x:v>3</x:v>
      </x:c>
      <x:c r="P354" s="109" t="n">
        <x:v>16</x:v>
      </x:c>
      <x:c r="Q354" s="109" t="n">
        <x:v>15</x:v>
      </x:c>
      <x:c r="R354" s="109" t="n">
        <x:v>5.5</x:v>
      </x:c>
      <x:c r="S354" s="109" t="n">
        <x:v>8.5</x:v>
      </x:c>
      <x:c r="T354" s="109" t="n">
        <x:v>11.5</x:v>
      </x:c>
      <x:c r="U354" s="109" t="n">
        <x:v>10</x:v>
      </x:c>
      <x:c r="V354" s="109" t="n">
        <x:v>17</x:v>
      </x:c>
      <x:c r="W354" s="109" t="n">
        <x:f>AVERAGE(E354:V354)</x:f>
        <x:v>7.9411764705882355</x:v>
      </x:c>
      <x:c r="X354" s="109" t="n">
        <x:f>MEDIAN(E354:V354)</x:f>
        <x:v>8</x:v>
      </x:c>
      <x:c r="Y354" s="109" t="n">
        <x:f>PERCENTILE.INC(E354:V354,0.25)</x:f>
        <x:v>3.5</x:v>
      </x:c>
      <x:c r="Z354" s="109" t="n">
        <x:f>STDEV.P(E354:V354)</x:f>
        <x:v>5.092908428685497</x:v>
      </x:c>
      <x:c r="AA354" s="173" t="n">
        <x:f>IF(W354=0,"",Z354/ABS(W354))</x:f>
        <x:v>0.6413292095381737</x:v>
      </x:c>
      <x:c r="AB354" s="173" t="n">
        <x:f>IF(W354=0,0,(COUNTIF(E354:V354,"&lt;"&amp;0.5*W354)-COUNTBLANK(E354:V354))/COUNT(E354:V354))</x:f>
        <x:v>0.29411764705882354</x:v>
      </x:c>
      <x:c r="AC354" s="109" t="n">
        <x:f>SUM(E354:V354)</x:f>
        <x:v>135</x:v>
      </x:c>
    </x:row>
    <x:row r="355">
      <x:c r="A355" s="108" t="str">
        <x:v>D/ST</x:v>
      </x:c>
      <x:c r="B355" s="108" t="str">
        <x:v>Cardinals D/ST</x:v>
      </x:c>
      <x:c r="C355" s="108" t="str">
        <x:v>ARI</x:v>
      </x:c>
      <x:c r="D355" s="108" t="n">
        <x:v>8</x:v>
      </x:c>
      <x:c r="E355" s="109" t="n">
        <x:v>9</x:v>
      </x:c>
      <x:c r="F355" s="109" t="n">
        <x:v>16</x:v>
      </x:c>
      <x:c r="G355" s="109" t="n">
        <x:v>14</x:v>
      </x:c>
      <x:c r="H355" s="109" t="n">
        <x:v>12</x:v>
      </x:c>
      <x:c r="I355" s="109" t="n">
        <x:v>8</x:v>
      </x:c>
      <x:c r="J355" s="109" t="n">
        <x:v>3</x:v>
      </x:c>
      <x:c r="K355" s="109" t="n">
        <x:v>3.5</x:v>
      </x:c>
      <x:c r="L355" s="109"/>
      <x:c r="M355" s="109" t="n">
        <x:v>16</x:v>
      </x:c>
      <x:c r="N355" s="109" t="n">
        <x:v>12</x:v>
      </x:c>
      <x:c r="O355" s="109" t="n">
        <x:v>4</x:v>
      </x:c>
      <x:c r="P355" s="109" t="n">
        <x:v>20</x:v>
      </x:c>
      <x:c r="Q355" s="109" t="n">
        <x:v>6.5</x:v>
      </x:c>
      <x:c r="R355" s="109" t="n">
        <x:v>-3</x:v>
      </x:c>
      <x:c r="S355" s="109" t="n">
        <x:v>8</x:v>
      </x:c>
      <x:c r="T355" s="109" t="n">
        <x:v>10.5</x:v>
      </x:c>
      <x:c r="U355" s="109" t="n">
        <x:v>1</x:v>
      </x:c>
      <x:c r="V355" s="109" t="n">
        <x:v>3</x:v>
      </x:c>
      <x:c r="W355" s="109" t="n">
        <x:f>AVERAGE(E355:V355)</x:f>
        <x:v>8.441176470588236</x:v>
      </x:c>
      <x:c r="X355" s="109" t="n">
        <x:f>MEDIAN(E355:V355)</x:f>
        <x:v>8</x:v>
      </x:c>
      <x:c r="Y355" s="109" t="n">
        <x:f>PERCENTILE.INC(E355:V355,0.25)</x:f>
        <x:v>3.5</x:v>
      </x:c>
      <x:c r="Z355" s="109" t="n">
        <x:f>STDEV.P(E355:V355)</x:f>
        <x:v>5.95295861425021</x:v>
      </x:c>
      <x:c r="AA355" s="173" t="n">
        <x:f>IF(W355=0,"",Z355/ABS(W355))</x:f>
        <x:v>0.7052285466359133</x:v>
      </x:c>
      <x:c r="AB355" s="173" t="n">
        <x:f>IF(W355=0,0,(COUNTIF(E355:V355,"&lt;"&amp;0.5*W355)-COUNTBLANK(E355:V355))/COUNT(E355:V355))</x:f>
        <x:v>0.35294117647058826</x:v>
      </x:c>
      <x:c r="AC355" s="109" t="n">
        <x:f>SUM(E355:V355)</x:f>
        <x:v>143.5</x:v>
      </x:c>
    </x:row>
    <x:row r="356">
      <x:c r="A356" s="108" t="str">
        <x:v>D/ST</x:v>
      </x:c>
      <x:c r="B356" s="108" t="str">
        <x:v>49ers D/ST</x:v>
      </x:c>
      <x:c r="C356" s="108" t="str">
        <x:v>SF</x:v>
      </x:c>
      <x:c r="D356" s="108" t="n">
        <x:v>14</x:v>
      </x:c>
      <x:c r="E356" s="109" t="n">
        <x:v>18</x:v>
      </x:c>
      <x:c r="F356" s="109" t="n">
        <x:v>12.5</x:v>
      </x:c>
      <x:c r="G356" s="109" t="n">
        <x:v>13.5</x:v>
      </x:c>
      <x:c r="H356" s="109" t="n">
        <x:v>5.5</x:v>
      </x:c>
      <x:c r="I356" s="109" t="n">
        <x:v>6.5</x:v>
      </x:c>
      <x:c r="J356" s="109" t="n">
        <x:v>1</x:v>
      </x:c>
      <x:c r="K356" s="109" t="n">
        <x:v>14</x:v>
      </x:c>
      <x:c r="L356" s="109" t="n">
        <x:v>6</x:v>
      </x:c>
      <x:c r="M356" s="109" t="n">
        <x:v>3</x:v>
      </x:c>
      <x:c r="N356" s="109" t="n">
        <x:v>3</x:v>
      </x:c>
      <x:c r="O356" s="109" t="n">
        <x:v>7</x:v>
      </x:c>
      <x:c r="P356" s="109" t="n">
        <x:v>12.5</x:v>
      </x:c>
      <x:c r="Q356" s="109" t="n">
        <x:v>16.5</x:v>
      </x:c>
      <x:c r="R356" s="109"/>
      <x:c r="S356" s="109" t="n">
        <x:v>0</x:v>
      </x:c>
      <x:c r="T356" s="109" t="n">
        <x:v>13.5</x:v>
      </x:c>
      <x:c r="U356" s="109" t="n">
        <x:v>0</x:v>
      </x:c>
      <x:c r="V356" s="109" t="n">
        <x:v>15</x:v>
      </x:c>
      <x:c r="W356" s="109" t="n">
        <x:f>AVERAGE(E356:V356)</x:f>
        <x:v>8.676470588235293</x:v>
      </x:c>
      <x:c r="X356" s="109" t="n">
        <x:f>MEDIAN(E356:V356)</x:f>
        <x:v>7</x:v>
      </x:c>
      <x:c r="Y356" s="109" t="n">
        <x:f>PERCENTILE.INC(E356:V356,0.25)</x:f>
        <x:v>3</x:v>
      </x:c>
      <x:c r="Z356" s="109" t="n">
        <x:f>STDEV.P(E356:V356)</x:f>
        <x:v>5.896013549725502</x:v>
      </x:c>
      <x:c r="AA356" s="173" t="n">
        <x:f>IF(W356=0,"",Z356/ABS(W356))</x:f>
        <x:v>0.6795405447141257</x:v>
      </x:c>
      <x:c r="AB356" s="173" t="n">
        <x:f>IF(W356=0,0,(COUNTIF(E356:V356,"&lt;"&amp;0.5*W356)-COUNTBLANK(E356:V356))/COUNT(E356:V356))</x:f>
        <x:v>0.29411764705882354</x:v>
      </x:c>
      <x:c r="AC356" s="109" t="n">
        <x:f>SUM(E356:V356)</x:f>
        <x:v>147.5</x:v>
      </x:c>
    </x:row>
  </x:sheetData>
  <x:mergeCells>
    <x:mergeCell ref="A1:AC1"/>
    <x:mergeCell ref="A2:AC2"/>
  </x:mergeCells>
  <x:conditionalFormatting sqref="E4:V35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legacyDrawing xmlns:r="http://schemas.openxmlformats.org/officeDocument/2006/relationships" r:id="R518b000d2e0a4d6e"/>
  <x:tableParts count="1">
    <x:tablePart xmlns:r="http://schemas.openxmlformats.org/officeDocument/2006/relationships" r:id="R74ea3e350e03400e"/>
  </x:tableParts>
</x:worksheet>
</file>