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9e89be1ec44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b589f4cb3b54183"/>
    <x:sheet xmlns:r="http://schemas.openxmlformats.org/officeDocument/2006/relationships" name="Manager Trends" sheetId="2" r:id="R49fa37e056dd44ab"/>
    <x:sheet xmlns:r="http://schemas.openxmlformats.org/officeDocument/2006/relationships" name="2025" sheetId="3" r:id="Rab6d5ccbabc44c49"/>
    <x:sheet xmlns:r="http://schemas.openxmlformats.org/officeDocument/2006/relationships" name="2024" sheetId="4" r:id="R64678e4865454fc8"/>
    <x:sheet xmlns:r="http://schemas.openxmlformats.org/officeDocument/2006/relationships" name="2023" sheetId="5" r:id="Rc2bbcfa7c8de49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&quot;$&quot;#,##0"/>
    <x:numFmt numFmtId="201" formatCode="&quot;$&quot;0.0"/>
    <x:numFmt numFmtId="202" formatCode="0.0%"/>
    <x:numFmt numFmtId="203" formatCode="0.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9"/>
      <x:color rgb="FF234F7D"/>
      <x:name val="Carlito"/>
    </x:font>
    <x:font>
      <x:sz val="9"/>
      <x:color rgb="FF5B6573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8"/>
      <x:color rgb="FFFFFFFF"/>
      <x:name val="Aptos"/>
    </x:font>
    <x:font>
      <x:i/>
      <x:sz val="10"/>
      <x:color rgb="FF5B6573"/>
      <x:name val="Carlito"/>
    </x:font>
    <x:font>
      <x:b/>
      <x:sz val="11"/>
      <x:color rgb="FF163A5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F5F7FA"/>
      </x:patternFill>
    </x:fill>
    <x:fill>
      <x:patternFill patternType="solid">
        <x:fgColor rgb="FFD89B14"/>
      </x:patternFill>
    </x:fill>
    <x:fill>
      <x:patternFill patternType="solid">
        <x:fgColor rgb="FFFFF3CD"/>
      </x:patternFill>
    </x:fill>
    <x:fill>
      <x:patternFill patternType="solid">
        <x:fgColor rgb="FF0F766E"/>
      </x:patternFill>
    </x:fill>
    <x:fill>
      <x:patternFill patternType="solid">
        <x:fgColor rgb="FF234F7D"/>
      </x:patternFill>
    </x:fill>
    <x:fill>
      <x:patternFill patternType="solid">
        <x:fgColor rgb="FFDDF2EF"/>
      </x:patternFill>
    </x:fill>
    <x:fill>
      <x:patternFill patternType="solid">
        <x:fgColor rgb="FFEAF2F8"/>
      </x:patternFill>
    </x:fill>
  </x:fills>
  <x:borders count="8">
    <x:border/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bottom style="thin">
        <x:color rgb="FFD5DEE8"/>
      </x:bottom>
    </x:border>
    <x:border>
      <x:left style="thin">
        <x:color rgb="FFD89B14"/>
      </x:left>
      <x:top style="thin">
        <x:color rgb="FFD89B14"/>
      </x:top>
      <x:bottom style="thin">
        <x:color rgb="FFD89B14"/>
      </x:bottom>
    </x:border>
    <x:border>
      <x:top style="thin">
        <x:color rgb="FFD89B14"/>
      </x:top>
      <x:bottom style="thin">
        <x:color rgb="FFD89B14"/>
      </x:bottom>
    </x:border>
    <x:border>
      <x:right style="thin">
        <x:color rgb="FFD89B14"/>
      </x:right>
      <x:top style="thin">
        <x:color rgb="FFD89B14"/>
      </x:top>
      <x:bottom style="thin">
        <x:color rgb="FFD89B14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2" xfId="0" applyNumberFormat="1" applyFont="1" applyFill="1" applyBorder="1"/>
    <x:xf numFmtId="0" fontId="6" fillId="0" borderId="4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2" xfId="0" applyNumberFormat="1" applyFont="1" applyFill="1" applyBorder="1" applyAlignment="1">
      <x:alignment horizontal="center" wrapText="1"/>
    </x:xf>
    <x:xf numFmtId="0" fontId="5" fillId="7" borderId="3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6" fillId="8" borderId="4" xfId="0" applyNumberFormat="1" applyFont="1" applyFill="1" applyBorder="1" applyAlignment="1">
      <x:alignment vertical="center"/>
    </x:xf>
    <x:xf numFmtId="0" fontId="6" fillId="8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201" fontId="6" fillId="0" borderId="4" xfId="0" applyNumberFormat="1" applyFont="1" applyFill="1" applyBorder="1" applyAlignment="1">
      <x:alignment vertical="center"/>
    </x:xf>
    <x:xf numFmtId="201" fontId="6" fillId="0" borderId="2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horizontal="center" vertical="center"/>
    </x:xf>
    <x:xf numFmtId="200" fontId="6" fillId="0" borderId="4" xfId="0" applyNumberFormat="1" applyFont="1" applyFill="1" applyBorder="1" applyAlignment="1">
      <x:alignment horizontal="center" vertical="center"/>
    </x:xf>
    <x:xf numFmtId="201" fontId="6" fillId="0" borderId="4" xfId="0" applyNumberFormat="1" applyFont="1" applyFill="1" applyBorder="1" applyAlignment="1">
      <x:alignment horizontal="center" vertical="center"/>
    </x:xf>
    <x:xf numFmtId="200" fontId="6" fillId="0" borderId="2" xfId="0" applyNumberFormat="1" applyFont="1" applyFill="1" applyBorder="1" applyAlignment="1">
      <x:alignment horizontal="center" vertical="center"/>
    </x:xf>
    <x:xf numFmtId="201" fontId="6" fillId="0" borderId="2" xfId="0" applyNumberFormat="1" applyFont="1" applyFill="1" applyBorder="1" applyAlignment="1">
      <x:alignment horizontal="center" vertical="center"/>
    </x:xf>
    <x:xf numFmtId="200" fontId="6" fillId="0" borderId="4" xfId="0" applyNumberFormat="1" applyFont="1" applyFill="1" applyBorder="1" applyAlignment="1">
      <x:alignment horizontal="right" vertical="center"/>
    </x:xf>
    <x:xf numFmtId="0" fontId="6" fillId="0" borderId="4" xfId="0" applyNumberFormat="1" applyFont="1" applyFill="1" applyBorder="1" applyAlignment="1">
      <x:alignment horizontal="right" vertical="center"/>
    </x:xf>
    <x:xf numFmtId="201" fontId="6" fillId="0" borderId="4" xfId="0" applyNumberFormat="1" applyFont="1" applyFill="1" applyBorder="1" applyAlignment="1">
      <x:alignment horizontal="right" vertical="center"/>
    </x:xf>
    <x:xf numFmtId="200" fontId="6" fillId="0" borderId="2" xfId="0" applyNumberFormat="1" applyFont="1" applyFill="1" applyBorder="1" applyAlignment="1">
      <x:alignment horizontal="right" vertical="center"/>
    </x:xf>
    <x:xf numFmtId="0" fontId="6" fillId="0" borderId="2" xfId="0" applyNumberFormat="1" applyFont="1" applyFill="1" applyBorder="1" applyAlignment="1">
      <x:alignment horizontal="right" vertical="center"/>
    </x:xf>
    <x:xf numFmtId="201" fontId="6" fillId="0" borderId="2" xfId="0" applyNumberFormat="1" applyFont="1" applyFill="1" applyBorder="1" applyAlignment="1">
      <x:alignment horizontal="right" vertical="center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202" fontId="6" fillId="0" borderId="4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202" fontId="6" fillId="0" borderId="4" xfId="0" applyNumberFormat="1" applyFont="1" applyFill="1" applyBorder="1" applyAlignment="1">
      <x:alignment horizontal="center" vertical="center"/>
    </x:xf>
    <x:xf numFmtId="202" fontId="6" fillId="0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/>
    </x:xf>
    <x:xf numFmtId="203" fontId="6" fillId="0" borderId="4" xfId="0" applyNumberFormat="1" applyFont="1" applyFill="1" applyBorder="1" applyAlignment="1">
      <x:alignment vertical="center"/>
    </x:xf>
    <x:xf numFmtId="203" fontId="6" fillId="0" borderId="2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203" fontId="6" fillId="0" borderId="4" xfId="0" applyNumberFormat="1" applyFont="1" applyFill="1" applyBorder="1" applyAlignment="1">
      <x:alignment horizontal="center" vertical="center"/>
    </x:xf>
    <x:xf numFmtId="203" fontId="6" fillId="0" borderId="2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d79888c55d4146" /><Relationship Type="http://schemas.openxmlformats.org/officeDocument/2006/relationships/theme" Target="/xl/theme/theme1.xml" Id="Rf2495690fb3d4b0c" /><Relationship Type="http://schemas.openxmlformats.org/officeDocument/2006/relationships/sharedStrings" Target="/xl/sharedStrings.xml" Id="Rab758326ee384ff5" /><Relationship Type="http://schemas.openxmlformats.org/officeDocument/2006/relationships/worksheet" Target="/xl/worksheets/sheet1.xml" Id="Rbb589f4cb3b54183" /><Relationship Type="http://schemas.openxmlformats.org/officeDocument/2006/relationships/worksheet" Target="/xl/worksheets/sheet2.xml" Id="R49fa37e056dd44ab" /><Relationship Type="http://schemas.openxmlformats.org/officeDocument/2006/relationships/worksheet" Target="/xl/worksheets/sheet3.xml" Id="Rab6d5ccbabc44c49" /><Relationship Type="http://schemas.openxmlformats.org/officeDocument/2006/relationships/worksheet" Target="/xl/worksheets/sheet4.xml" Id="R64678e4865454fc8" /><Relationship Type="http://schemas.openxmlformats.org/officeDocument/2006/relationships/worksheet" Target="/xl/worksheets/sheet5.xml" Id="Rc2bbcfa7c8de49e7" /></Relationships>
</file>

<file path=xl/tables/table1.xml><?xml version="1.0" encoding="utf-8"?>
<x:table xmlns:x="http://schemas.openxmlformats.org/spreadsheetml/2006/main" id="7" name="ManagerTrendTable" displayName="ManagerTrendTable" ref="A4:Q40" headerRowCount="1" totalsRowCount="0" totalsRowShown="0">
  <x:tableColumns count="17">
    <x:tableColumn id="1" name="Manager"/>
    <x:tableColumn id="2" name="Team ID"/>
    <x:tableColumn id="3" name="Season"/>
    <x:tableColumn id="4" name="Team Name"/>
    <x:tableColumn id="5" name="Keepers"/>
    <x:tableColumn id="6" name="Keeper $"/>
    <x:tableColumn id="7" name="Auction Picks"/>
    <x:tableColumn id="8" name="Auction $"/>
    <x:tableColumn id="9" name="Total $"/>
    <x:tableColumn id="10" name="Avg $/Pick"/>
    <x:tableColumn id="11" name="QB $"/>
    <x:tableColumn id="12" name="RB $"/>
    <x:tableColumn id="13" name="WR $"/>
    <x:tableColumn id="14" name="TE $"/>
    <x:tableColumn id="15" name="$40+ Buys"/>
    <x:tableColumn id="16" name="First Auction No."/>
    <x:tableColumn id="17" name="Top Auction Bu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Keepers2025" displayName="Keepers2025" ref="A6:H28" headerRowCount="1" totalsRowCount="0" totalsRowShown="0">
  <x:autoFilter ref="A6:H28"/>
  <x:tableColumns count="8">
    <x:tableColumn id="1" name="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Keeper Cos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2" name="Draft2025" displayName="Draft2025" ref="A33:H179" headerRowCount="1" totalsRowCount="0" totalsRowShown="0">
  <x:autoFilter ref="A33:H179"/>
  <x:tableColumns count="8">
    <x:tableColumn id="1" name="Auction 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Keepers2024" displayName="Keepers2024" ref="A6:H29" headerRowCount="1" totalsRowCount="0" totalsRowShown="0">
  <x:autoFilter ref="A6:H29"/>
  <x:tableColumns count="8">
    <x:tableColumn id="1" name="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Keeper Cos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4" name="Draft2024" displayName="Draft2024" ref="A33:H178" headerRowCount="1" totalsRowCount="0" totalsRowShown="0">
  <x:autoFilter ref="A33:H178"/>
  <x:tableColumns count="8">
    <x:tableColumn id="1" name="Auction 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Keepers2023" displayName="Keepers2023" ref="A6:H30" headerRowCount="1" totalsRowCount="0" totalsRowShown="0">
  <x:autoFilter ref="A6:H30"/>
  <x:tableColumns count="8">
    <x:tableColumn id="1" name="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Keeper Cost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6" name="Draft2023" displayName="Draft2023" ref="A33:H177" headerRowCount="1" totalsRowCount="0" totalsRowShown="0">
  <x:autoFilter ref="A33:H177"/>
  <x:tableColumns count="8">
    <x:tableColumn id="1" name="Auction 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29313fb7d148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99220f7c8654aa9" /><Relationship Type="http://schemas.openxmlformats.org/officeDocument/2006/relationships/table" Target="/xl/tables/table3.xml" Id="R1e6e7b3d4b9a4d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d92915147bd4390" /><Relationship Type="http://schemas.openxmlformats.org/officeDocument/2006/relationships/table" Target="/xl/tables/table5.xml" Id="R24723e19be9a44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cd1d2c9ee9bc45e8" /><Relationship Type="http://schemas.openxmlformats.org/officeDocument/2006/relationships/table" Target="/xl/tables/table7.xml" Id="R27a386f7eb2745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30" hidden="0" customWidth="1"/>
    <x:col min="4" max="4" width="8" hidden="0" customWidth="1"/>
    <x:col min="5" max="5" width="13" hidden="0" customWidth="1"/>
    <x:col min="6" max="6" width="12" hidden="0" customWidth="1"/>
    <x:col min="7" max="7" width="10" hidden="0" customWidth="1"/>
    <x:col min="8" max="8" width="10" hidden="0" customWidth="1"/>
    <x:col min="9" max="9" width="11" hidden="0" customWidth="1"/>
    <x:col min="10" max="10" width="14" hidden="0" customWidth="1"/>
    <x:col min="11" max="11" width="12" hidden="0" customWidth="1"/>
    <x:col min="12" max="12" width="58" hidden="0" customWidth="1"/>
  </x:cols>
  <x:sheetData>
    <x:row r="1" ht="32" customHeight="1">
      <x:c r="A1" s="75" t="str">
        <x:v>FFB Auction Draft Analysis — 2023 to 2025</x:v>
      </x:c>
      <x:c r="B1" s="75" t="str">
        <x:v>FFB Auction Draft Analysis — 2023 to 2025</x:v>
      </x:c>
      <x:c r="C1" s="75" t="str">
        <x:v>FFB Auction Draft Analysis — 2023 to 2025</x:v>
      </x:c>
      <x:c r="D1" s="75" t="str">
        <x:v>FFB Auction Draft Analysis — 2023 to 2025</x:v>
      </x:c>
      <x:c r="E1" s="75" t="str">
        <x:v>FFB Auction Draft Analysis — 2023 to 2025</x:v>
      </x:c>
      <x:c r="F1" s="75" t="str">
        <x:v>FFB Auction Draft Analysis — 2023 to 2025</x:v>
      </x:c>
      <x:c r="G1" s="75" t="str">
        <x:v>FFB Auction Draft Analysis — 2023 to 2025</x:v>
      </x:c>
      <x:c r="H1" s="75" t="str">
        <x:v>FFB Auction Draft Analysis — 2023 to 2025</x:v>
      </x:c>
      <x:c r="I1" s="75" t="str">
        <x:v>FFB Auction Draft Analysis — 2023 to 2025</x:v>
      </x:c>
      <x:c r="J1" s="75" t="str">
        <x:v>FFB Auction Draft Analysis — 2023 to 2025</x:v>
      </x:c>
      <x:c r="K1" s="75" t="str">
        <x:v>FFB Auction Draft Analysis — 2023 to 2025</x:v>
      </x:c>
      <x:c r="L1" s="75" t="str">
        <x:v>FFB Auction Draft Analysis — 2023 to 2025</x:v>
      </x:c>
    </x:row>
    <x:row r="2">
      <x:c r="A2" s="76" t="str">
        <x:v>Chronological auction results, keeper summaries, and observed manager tendencies from ESPN Draft Recap data.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</x:row>
    <x:row r="4" ht="23" customHeight="1">
      <x:c r="A4" s="39" t="str">
        <x:v>League-Level Auction Pattern</x:v>
      </x:c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</x:row>
    <x:row r="5" ht="28" customHeight="1">
      <x:c r="A5" s="51" t="str">
        <x:v>Season</x:v>
      </x:c>
      <x:c r="B5" s="52" t="str">
        <x:v>Keepers</x:v>
      </x:c>
      <x:c r="C5" s="52" t="str">
        <x:v>Keeper $</x:v>
      </x:c>
      <x:c r="D5" s="52" t="str">
        <x:v>Auction Picks</x:v>
      </x:c>
      <x:c r="E5" s="52" t="str">
        <x:v>Auction $</x:v>
      </x:c>
      <x:c r="F5" s="52" t="str">
        <x:v>$40+ Buys</x:v>
      </x:c>
      <x:c r="G5" s="52" t="str">
        <x:v>QB $</x:v>
      </x:c>
      <x:c r="H5" s="52" t="str">
        <x:v>RB $</x:v>
      </x:c>
      <x:c r="I5" s="52" t="str">
        <x:v>WR $</x:v>
      </x:c>
      <x:c r="J5" s="52" t="str">
        <x:v>TE $</x:v>
      </x:c>
      <x:c r="K5" s="52" t="str">
        <x:v>RB Share</x:v>
      </x:c>
      <x:c r="L5" s="53" t="str">
        <x:v>WR Share</x:v>
      </x:c>
    </x:row>
    <x:row r="6">
      <x:c r="A6" s="63" t="n">
        <x:v>2023</x:v>
      </x:c>
      <x:c r="B6" s="63" t="n">
        <x:f>COUNTA('2023'!$A$7:$A$30)</x:f>
        <x:v>24</x:v>
      </x:c>
      <x:c r="C6" s="69" t="n">
        <x:f>SUM('2023'!$H$7:$H$30)</x:f>
        <x:v>629</x:v>
      </x:c>
      <x:c r="D6" s="63" t="n">
        <x:f>COUNTA('2023'!$A$34:$A$179)</x:f>
        <x:v>144</x:v>
      </x:c>
      <x:c r="E6" s="69" t="n">
        <x:f>SUM('2023'!$H$34:$H$179)</x:f>
        <x:v>1738</x:v>
      </x:c>
      <x:c r="F6" s="69" t="n">
        <x:f>COUNTIF('2023'!$H$34:$H$179,"&gt;=40")</x:f>
        <x:v>10</x:v>
      </x:c>
      <x:c r="G6" s="69" t="n">
        <x:f>SUMIF('2023'!$G$34:$G$179,"QB",'2023'!$H$34:$H$179)</x:f>
        <x:v>216</x:v>
      </x:c>
      <x:c r="H6" s="69" t="n">
        <x:f>SUMIF('2023'!$G$34:$G$179,"RB",'2023'!$H$34:$H$179)</x:f>
        <x:v>741</x:v>
      </x:c>
      <x:c r="I6" s="69" t="n">
        <x:f>SUMIF('2023'!$G$34:$G$179,"WR",'2023'!$H$34:$H$179)</x:f>
        <x:v>618</x:v>
      </x:c>
      <x:c r="J6" s="69" t="n">
        <x:f>SUMIF('2023'!$G$34:$G$179,"TE",'2023'!$H$34:$H$179)</x:f>
        <x:v>95</x:v>
      </x:c>
      <x:c r="K6" s="79" t="n">
        <x:f>IF(E6=0,0,H6/E6)</x:f>
        <x:v>0.42635212888377444</x:v>
      </x:c>
      <x:c r="L6" s="79" t="n">
        <x:f>IF(E6=0,0,I6/E6)</x:f>
        <x:v>0.35558112773302647</x:v>
      </x:c>
    </x:row>
    <x:row r="7">
      <x:c r="A7" s="64" t="n">
        <x:v>2024</x:v>
      </x:c>
      <x:c r="B7" s="64" t="n">
        <x:f>COUNTA('2024'!$A$7:$A$30)</x:f>
        <x:v>23</x:v>
      </x:c>
      <x:c r="C7" s="72" t="n">
        <x:f>SUM('2024'!$H$7:$H$30)</x:f>
        <x:v>519</x:v>
      </x:c>
      <x:c r="D7" s="64" t="n">
        <x:f>COUNTA('2024'!$A$34:$A$179)</x:f>
        <x:v>145</x:v>
      </x:c>
      <x:c r="E7" s="72" t="n">
        <x:f>SUM('2024'!$H$34:$H$179)</x:f>
        <x:v>1863</x:v>
      </x:c>
      <x:c r="F7" s="72" t="n">
        <x:f>COUNTIF('2024'!$H$34:$H$179,"&gt;=40")</x:f>
        <x:v>10</x:v>
      </x:c>
      <x:c r="G7" s="72" t="n">
        <x:f>SUMIF('2024'!$G$34:$G$179,"QB",'2024'!$H$34:$H$179)</x:f>
        <x:v>173</x:v>
      </x:c>
      <x:c r="H7" s="72" t="n">
        <x:f>SUMIF('2024'!$G$34:$G$179,"RB",'2024'!$H$34:$H$179)</x:f>
        <x:v>710</x:v>
      </x:c>
      <x:c r="I7" s="72" t="n">
        <x:f>SUMIF('2024'!$G$34:$G$179,"WR",'2024'!$H$34:$H$179)</x:f>
        <x:v>743</x:v>
      </x:c>
      <x:c r="J7" s="72" t="n">
        <x:f>SUMIF('2024'!$G$34:$G$179,"TE",'2024'!$H$34:$H$179)</x:f>
        <x:v>168</x:v>
      </x:c>
      <x:c r="K7" s="80" t="n">
        <x:f>IF(E7=0,0,H7/E7)</x:f>
        <x:v>0.38110574342458403</x:v>
      </x:c>
      <x:c r="L7" s="80" t="n">
        <x:f>IF(E7=0,0,I7/E7)</x:f>
        <x:v>0.3988191089640365</x:v>
      </x:c>
    </x:row>
    <x:row r="8">
      <x:c r="A8" s="64" t="n">
        <x:v>2025</x:v>
      </x:c>
      <x:c r="B8" s="64" t="n">
        <x:f>COUNTA('2025'!$A$7:$A$30)</x:f>
        <x:v>22</x:v>
      </x:c>
      <x:c r="C8" s="72" t="n">
        <x:f>SUM('2025'!$H$7:$H$30)</x:f>
        <x:v>485</x:v>
      </x:c>
      <x:c r="D8" s="64" t="n">
        <x:f>COUNTA('2025'!$A$34:$A$179)</x:f>
        <x:v>146</x:v>
      </x:c>
      <x:c r="E8" s="72" t="n">
        <x:f>SUM('2025'!$H$34:$H$179)</x:f>
        <x:v>1910</x:v>
      </x:c>
      <x:c r="F8" s="72" t="n">
        <x:f>COUNTIF('2025'!$H$34:$H$179,"&gt;=40")</x:f>
        <x:v>11</x:v>
      </x:c>
      <x:c r="G8" s="72" t="n">
        <x:f>SUMIF('2025'!$G$34:$G$179,"QB",'2025'!$H$34:$H$179)</x:f>
        <x:v>153</x:v>
      </x:c>
      <x:c r="H8" s="72" t="n">
        <x:f>SUMIF('2025'!$G$34:$G$179,"RB",'2025'!$H$34:$H$179)</x:f>
        <x:v>869</x:v>
      </x:c>
      <x:c r="I8" s="72" t="n">
        <x:f>SUMIF('2025'!$G$34:$G$179,"WR",'2025'!$H$34:$H$179)</x:f>
        <x:v>757</x:v>
      </x:c>
      <x:c r="J8" s="72" t="n">
        <x:f>SUMIF('2025'!$G$34:$G$179,"TE",'2025'!$H$34:$H$179)</x:f>
        <x:v>71</x:v>
      </x:c>
      <x:c r="K8" s="80" t="n">
        <x:f>IF(E8=0,0,H8/E8)</x:f>
        <x:v>0.4549738219895288</x:v>
      </x:c>
      <x:c r="L8" s="80" t="n">
        <x:f>IF(E8=0,0,I8/E8)</x:f>
        <x:v>0.39633507853403144</x:v>
      </x:c>
    </x:row>
    <x:row r="10" ht="34" customHeight="1">
      <x:c r="A10" s="86" t="str">
        <x:v>Team ID 9 continuity: Samir Gandhi managed Old Money (2023) and Messenger Pigeons (2024). Kevin Kurian took over in 2025 as Torsades de PAT, so Kevin's trend profile uses 2025 only.</x:v>
      </x:c>
      <x:c r="B10" s="87"/>
      <x:c r="C10" s="87"/>
      <x:c r="D10" s="87"/>
      <x:c r="E10" s="87"/>
      <x:c r="F10" s="87"/>
      <x:c r="G10" s="87"/>
      <x:c r="H10" s="87"/>
      <x:c r="I10" s="87"/>
      <x:c r="J10" s="87"/>
      <x:c r="K10" s="87"/>
      <x:c r="L10" s="88"/>
    </x:row>
    <x:row r="12" ht="23" customHeight="1">
      <x:c r="A12" s="89" t="str">
        <x:v>Manager Profiles</x:v>
      </x:c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</x:row>
    <x:row r="13" ht="28" customHeight="1">
      <x:c r="A13" s="51" t="str">
        <x:v>Manager</x:v>
      </x:c>
      <x:c r="B13" s="52" t="str">
        <x:v>Team ID</x:v>
      </x:c>
      <x:c r="C13" s="52" t="str">
        <x:v>Current / Last Team</x:v>
      </x:c>
      <x:c r="D13" s="52" t="str">
        <x:v>Years</x:v>
      </x:c>
      <x:c r="E13" s="52" t="str">
        <x:v>Auction $</x:v>
      </x:c>
      <x:c r="F13" s="52" t="str">
        <x:v>Avg $/Pick</x:v>
      </x:c>
      <x:c r="G13" s="52" t="str">
        <x:v>RB Share</x:v>
      </x:c>
      <x:c r="H13" s="52" t="str">
        <x:v>WR Share</x:v>
      </x:c>
      <x:c r="I13" s="52" t="str">
        <x:v>$40+ / Yr</x:v>
      </x:c>
      <x:c r="J13" s="52" t="str">
        <x:v>Avg First No.</x:v>
      </x:c>
      <x:c r="K13" s="52" t="str">
        <x:v>Avg Keepers</x:v>
      </x:c>
      <x:c r="L13" s="53" t="str">
        <x:v>Observed Pattern</x:v>
      </x:c>
    </x:row>
    <x:row r="14">
      <x:c r="A14" s="31" t="str">
        <x:v>Brett McKnight</x:v>
      </x:c>
      <x:c r="B14" s="63" t="n">
        <x:v>1</x:v>
      </x:c>
      <x:c r="C14" s="63" t="str">
        <x:v>Goff My Lawn</x:v>
      </x:c>
      <x:c r="D14" s="63" t="n">
        <x:f>COUNTIF('Manager Trends'!$A$5:$A$40,$A14)</x:f>
        <x:v>3</x:v>
      </x:c>
      <x:c r="E14" s="69" t="n">
        <x:f>SUMIF('Manager Trends'!$A$5:$A$40,$A14,'Manager Trends'!$H$5:$H$40)</x:f>
        <x:v>455</x:v>
      </x:c>
      <x:c r="F14" s="71" t="n">
        <x:f>IF(SUMIF('Manager Trends'!$A$5:$A$40,$A14,'Manager Trends'!$G$5:$G$40)=0,0,E14/SUMIF('Manager Trends'!$A$5:$A$40,$A14,'Manager Trends'!$G$5:$G$40))</x:f>
        <x:v>12.63888888888889</x:v>
      </x:c>
      <x:c r="G14" s="79" t="n">
        <x:f>IF(E14=0,0,SUMIF('Manager Trends'!$A$5:$A$40,$A14,'Manager Trends'!$L$5:$L$40)/E14)</x:f>
        <x:v>0.45494505494505494</x:v>
      </x:c>
      <x:c r="H14" s="79" t="n">
        <x:f>IF(E14=0,0,SUMIF('Manager Trends'!$A$5:$A$40,$A14,'Manager Trends'!$M$5:$M$40)/E14)</x:f>
        <x:v>0.25274725274725274</x:v>
      </x:c>
      <x:c r="I14" s="94" t="n">
        <x:f>IF(D14=0,0,SUMIF('Manager Trends'!$A$5:$A$40,$A14,'Manager Trends'!$O$5:$O$40)/D14)</x:f>
        <x:v>0.3333333333333333</x:v>
      </x:c>
      <x:c r="J14" s="94" t="n">
        <x:f>AVERAGEIF('Manager Trends'!$A$5:$A$40,$A14,'Manager Trends'!$P$5:$P$40)</x:f>
        <x:v>31.666666666666668</x:v>
      </x:c>
      <x:c r="K14" s="94" t="n">
        <x:f>AVERAGEIF('Manager Trends'!$A$5:$A$40,$A14,'Manager Trends'!$E$5:$E$40)</x:f>
        <x:v>2</x:v>
      </x:c>
      <x:c r="L14" s="92" t="str">
        <x:v>RB received 45% of auction spend. Lead position: 2023 RB → 2024 RB → 2025 RB. Largest auction buy: Ashton Jeanty ($55, 2025).</x:v>
      </x:c>
    </x:row>
    <x:row r="15">
      <x:c r="A15" s="32" t="str">
        <x:v>Kendall Bicknell</x:v>
      </x:c>
      <x:c r="B15" s="64" t="n">
        <x:v>4</x:v>
      </x:c>
      <x:c r="C15" s="64" t="str">
        <x:v>Creatine Caucasians</x:v>
      </x:c>
      <x:c r="D15" s="64" t="n">
        <x:f>COUNTIF('Manager Trends'!$A$5:$A$40,$A15)</x:f>
        <x:v>3</x:v>
      </x:c>
      <x:c r="E15" s="72" t="n">
        <x:f>SUMIF('Manager Trends'!$A$5:$A$40,$A15,'Manager Trends'!$H$5:$H$40)</x:f>
        <x:v>479</x:v>
      </x:c>
      <x:c r="F15" s="74" t="n">
        <x:f>IF(SUMIF('Manager Trends'!$A$5:$A$40,$A15,'Manager Trends'!$G$5:$G$40)=0,0,E15/SUMIF('Manager Trends'!$A$5:$A$40,$A15,'Manager Trends'!$G$5:$G$40))</x:f>
        <x:v>13.305555555555555</x:v>
      </x:c>
      <x:c r="G15" s="80" t="n">
        <x:f>IF(E15=0,0,SUMIF('Manager Trends'!$A$5:$A$40,$A15,'Manager Trends'!$L$5:$L$40)/E15)</x:f>
        <x:v>0.2797494780793319</x:v>
      </x:c>
      <x:c r="H15" s="80" t="n">
        <x:f>IF(E15=0,0,SUMIF('Manager Trends'!$A$5:$A$40,$A15,'Manager Trends'!$M$5:$M$40)/E15)</x:f>
        <x:v>0.4759916492693111</x:v>
      </x:c>
      <x:c r="I15" s="95" t="n">
        <x:f>IF(D15=0,0,SUMIF('Manager Trends'!$A$5:$A$40,$A15,'Manager Trends'!$O$5:$O$40)/D15)</x:f>
        <x:v>0.3333333333333333</x:v>
      </x:c>
      <x:c r="J15" s="95" t="n">
        <x:f>AVERAGEIF('Manager Trends'!$A$5:$A$40,$A15,'Manager Trends'!$P$5:$P$40)</x:f>
        <x:v>26.333333333333332</x:v>
      </x:c>
      <x:c r="K15" s="95" t="n">
        <x:f>AVERAGEIF('Manager Trends'!$A$5:$A$40,$A15,'Manager Trends'!$E$5:$E$40)</x:f>
        <x:v>2</x:v>
      </x:c>
      <x:c r="L15" s="93" t="str">
        <x:v>WR received 48% of auction spend. Lead position: 2023 WR → 2024 WR → 2025 WR. Largest auction buy: Omarion Hampton ($43, 2025).</x:v>
      </x:c>
    </x:row>
    <x:row r="16">
      <x:c r="A16" s="32" t="str">
        <x:v>George Rakkar</x:v>
      </x:c>
      <x:c r="B16" s="64" t="n">
        <x:v>5</x:v>
      </x:c>
      <x:c r="C16" s="64" t="str">
        <x:v>8==== D</x:v>
      </x:c>
      <x:c r="D16" s="64" t="n">
        <x:f>COUNTIF('Manager Trends'!$A$5:$A$40,$A16)</x:f>
        <x:v>3</x:v>
      </x:c>
      <x:c r="E16" s="72" t="n">
        <x:f>SUMIF('Manager Trends'!$A$5:$A$40,$A16,'Manager Trends'!$H$5:$H$40)</x:f>
        <x:v>398</x:v>
      </x:c>
      <x:c r="F16" s="74" t="n">
        <x:f>IF(SUMIF('Manager Trends'!$A$5:$A$40,$A16,'Manager Trends'!$G$5:$G$40)=0,0,E16/SUMIF('Manager Trends'!$A$5:$A$40,$A16,'Manager Trends'!$G$5:$G$40))</x:f>
        <x:v>11.055555555555555</x:v>
      </x:c>
      <x:c r="G16" s="80" t="n">
        <x:f>IF(E16=0,0,SUMIF('Manager Trends'!$A$5:$A$40,$A16,'Manager Trends'!$L$5:$L$40)/E16)</x:f>
        <x:v>0.46984924623115576</x:v>
      </x:c>
      <x:c r="H16" s="80" t="n">
        <x:f>IF(E16=0,0,SUMIF('Manager Trends'!$A$5:$A$40,$A16,'Manager Trends'!$M$5:$M$40)/E16)</x:f>
        <x:v>0.38190954773869346</x:v>
      </x:c>
      <x:c r="I16" s="95" t="n">
        <x:f>IF(D16=0,0,SUMIF('Manager Trends'!$A$5:$A$40,$A16,'Manager Trends'!$O$5:$O$40)/D16)</x:f>
        <x:v>1</x:v>
      </x:c>
      <x:c r="J16" s="95" t="n">
        <x:f>AVERAGEIF('Manager Trends'!$A$5:$A$40,$A16,'Manager Trends'!$P$5:$P$40)</x:f>
        <x:v>35.333333333333336</x:v>
      </x:c>
      <x:c r="K16" s="95" t="n">
        <x:f>AVERAGEIF('Manager Trends'!$A$5:$A$40,$A16,'Manager Trends'!$E$5:$E$40)</x:f>
        <x:v>2</x:v>
      </x:c>
      <x:c r="L16" s="93" t="str">
        <x:v>RB received 47% of auction spend. Lead position: 2023 WR → 2024 RB → 2025 RB. Largest auction buy: Christian McCaffrey ($61, 2025).</x:v>
      </x:c>
    </x:row>
    <x:row r="17">
      <x:c r="A17" s="32" t="str">
        <x:v>sangfroid bang</x:v>
      </x:c>
      <x:c r="B17" s="64" t="n">
        <x:v>6</x:v>
      </x:c>
      <x:c r="C17" s="64" t="str">
        <x:v>Moaning Myrtle</x:v>
      </x:c>
      <x:c r="D17" s="64" t="n">
        <x:f>COUNTIF('Manager Trends'!$A$5:$A$40,$A17)</x:f>
        <x:v>3</x:v>
      </x:c>
      <x:c r="E17" s="72" t="n">
        <x:f>SUMIF('Manager Trends'!$A$5:$A$40,$A17,'Manager Trends'!$H$5:$H$40)</x:f>
        <x:v>433</x:v>
      </x:c>
      <x:c r="F17" s="74" t="n">
        <x:f>IF(SUMIF('Manager Trends'!$A$5:$A$40,$A17,'Manager Trends'!$G$5:$G$40)=0,0,E17/SUMIF('Manager Trends'!$A$5:$A$40,$A17,'Manager Trends'!$G$5:$G$40))</x:f>
        <x:v>12.027777777777779</x:v>
      </x:c>
      <x:c r="G17" s="80" t="n">
        <x:f>IF(E17=0,0,SUMIF('Manager Trends'!$A$5:$A$40,$A17,'Manager Trends'!$L$5:$L$40)/E17)</x:f>
        <x:v>0.5519630484988453</x:v>
      </x:c>
      <x:c r="H17" s="80" t="n">
        <x:f>IF(E17=0,0,SUMIF('Manager Trends'!$A$5:$A$40,$A17,'Manager Trends'!$M$5:$M$40)/E17)</x:f>
        <x:v>0.3117782909930716</x:v>
      </x:c>
      <x:c r="I17" s="95" t="n">
        <x:f>IF(D17=0,0,SUMIF('Manager Trends'!$A$5:$A$40,$A17,'Manager Trends'!$O$5:$O$40)/D17)</x:f>
        <x:v>1</x:v>
      </x:c>
      <x:c r="J17" s="95" t="n">
        <x:f>AVERAGEIF('Manager Trends'!$A$5:$A$40,$A17,'Manager Trends'!$P$5:$P$40)</x:f>
        <x:v>31.666666666666668</x:v>
      </x:c>
      <x:c r="K17" s="95" t="n">
        <x:f>AVERAGEIF('Manager Trends'!$A$5:$A$40,$A17,'Manager Trends'!$E$5:$E$40)</x:f>
        <x:v>2</x:v>
      </x:c>
      <x:c r="L17" s="93" t="str">
        <x:v>RB received 55% of auction spend. Lead position: 2023 RB → 2024 RB → 2025 RB. Largest auction buy: Bijan Robinson ($61, 2023).</x:v>
      </x:c>
    </x:row>
    <x:row r="18">
      <x:c r="A18" s="32" t="str">
        <x:v>Ebby Kurian</x:v>
      </x:c>
      <x:c r="B18" s="64" t="n">
        <x:v>7</x:v>
      </x:c>
      <x:c r="C18" s="64" t="str">
        <x:v>The Splenic Flexture</x:v>
      </x:c>
      <x:c r="D18" s="64" t="n">
        <x:f>COUNTIF('Manager Trends'!$A$5:$A$40,$A18)</x:f>
        <x:v>3</x:v>
      </x:c>
      <x:c r="E18" s="72" t="n">
        <x:f>SUMIF('Manager Trends'!$A$5:$A$40,$A18,'Manager Trends'!$H$5:$H$40)</x:f>
        <x:v>502</x:v>
      </x:c>
      <x:c r="F18" s="74" t="n">
        <x:f>IF(SUMIF('Manager Trends'!$A$5:$A$40,$A18,'Manager Trends'!$G$5:$G$40)=0,0,E18/SUMIF('Manager Trends'!$A$5:$A$40,$A18,'Manager Trends'!$G$5:$G$40))</x:f>
        <x:v>13.944444444444445</x:v>
      </x:c>
      <x:c r="G18" s="80" t="n">
        <x:f>IF(E18=0,0,SUMIF('Manager Trends'!$A$5:$A$40,$A18,'Manager Trends'!$L$5:$L$40)/E18)</x:f>
        <x:v>0.46215139442231074</x:v>
      </x:c>
      <x:c r="H18" s="80" t="n">
        <x:f>IF(E18=0,0,SUMIF('Manager Trends'!$A$5:$A$40,$A18,'Manager Trends'!$M$5:$M$40)/E18)</x:f>
        <x:v>0.35258964143426297</x:v>
      </x:c>
      <x:c r="I18" s="95" t="n">
        <x:f>IF(D18=0,0,SUMIF('Manager Trends'!$A$5:$A$40,$A18,'Manager Trends'!$O$5:$O$40)/D18)</x:f>
        <x:v>1</x:v>
      </x:c>
      <x:c r="J18" s="95" t="n">
        <x:f>AVERAGEIF('Manager Trends'!$A$5:$A$40,$A18,'Manager Trends'!$P$5:$P$40)</x:f>
        <x:v>32.666666666666664</x:v>
      </x:c>
      <x:c r="K18" s="95" t="n">
        <x:f>AVERAGEIF('Manager Trends'!$A$5:$A$40,$A18,'Manager Trends'!$E$5:$E$40)</x:f>
        <x:v>2</x:v>
      </x:c>
      <x:c r="L18" s="93" t="str">
        <x:v>RB received 46% of auction spend. Lead position: 2023 WR → 2024 RB → 2025 RB. Largest auction buy: Saquon Barkley ($62, 2025).</x:v>
      </x:c>
    </x:row>
    <x:row r="19">
      <x:c r="A19" s="32" t="str">
        <x:v>Kevin Kurian</x:v>
      </x:c>
      <x:c r="B19" s="64" t="n">
        <x:v>9</x:v>
      </x:c>
      <x:c r="C19" s="64" t="str">
        <x:v>Torsades de PAT</x:v>
      </x:c>
      <x:c r="D19" s="64" t="n">
        <x:f>COUNTIF('Manager Trends'!$A$5:$A$40,$A19)</x:f>
        <x:v>1</x:v>
      </x:c>
      <x:c r="E19" s="72" t="n">
        <x:f>SUMIF('Manager Trends'!$A$5:$A$40,$A19,'Manager Trends'!$H$5:$H$40)</x:f>
        <x:v>197</x:v>
      </x:c>
      <x:c r="F19" s="74" t="n">
        <x:f>IF(SUMIF('Manager Trends'!$A$5:$A$40,$A19,'Manager Trends'!$G$5:$G$40)=0,0,E19/SUMIF('Manager Trends'!$A$5:$A$40,$A19,'Manager Trends'!$G$5:$G$40))</x:f>
        <x:v>14.071428571428571</x:v>
      </x:c>
      <x:c r="G19" s="80" t="n">
        <x:f>IF(E19=0,0,SUMIF('Manager Trends'!$A$5:$A$40,$A19,'Manager Trends'!$L$5:$L$40)/E19)</x:f>
        <x:v>0.5482233502538071</x:v>
      </x:c>
      <x:c r="H19" s="80" t="n">
        <x:f>IF(E19=0,0,SUMIF('Manager Trends'!$A$5:$A$40,$A19,'Manager Trends'!$M$5:$M$40)/E19)</x:f>
        <x:v>0.2893401015228426</x:v>
      </x:c>
      <x:c r="I19" s="95" t="n">
        <x:f>IF(D19=0,0,SUMIF('Manager Trends'!$A$5:$A$40,$A19,'Manager Trends'!$O$5:$O$40)/D19)</x:f>
        <x:v>1</x:v>
      </x:c>
      <x:c r="J19" s="95" t="n">
        <x:f>AVERAGEIF('Manager Trends'!$A$5:$A$40,$A19,'Manager Trends'!$P$5:$P$40)</x:f>
        <x:v>24</x:v>
      </x:c>
      <x:c r="K19" s="95" t="n">
        <x:f>AVERAGEIF('Manager Trends'!$A$5:$A$40,$A19,'Manager Trends'!$E$5:$E$40)</x:f>
        <x:v>0</x:v>
      </x:c>
      <x:c r="L19" s="93" t="str">
        <x:v>One-year sample. RB received 55% of auction spend. Lead position: 2025 RB. Largest auction buy: Bijan Robinson ($76, 2025).</x:v>
      </x:c>
    </x:row>
    <x:row r="20">
      <x:c r="A20" s="32" t="str">
        <x:v>David Richards</x:v>
      </x:c>
      <x:c r="B20" s="64" t="n">
        <x:v>14</x:v>
      </x:c>
      <x:c r="C20" s="64" t="str">
        <x:v>Let JOSH Cook</x:v>
      </x:c>
      <x:c r="D20" s="64" t="n">
        <x:f>COUNTIF('Manager Trends'!$A$5:$A$40,$A20)</x:f>
        <x:v>3</x:v>
      </x:c>
      <x:c r="E20" s="72" t="n">
        <x:f>SUMIF('Manager Trends'!$A$5:$A$40,$A20,'Manager Trends'!$H$5:$H$40)</x:f>
        <x:v>454</x:v>
      </x:c>
      <x:c r="F20" s="74" t="n">
        <x:f>IF(SUMIF('Manager Trends'!$A$5:$A$40,$A20,'Manager Trends'!$G$5:$G$40)=0,0,E20/SUMIF('Manager Trends'!$A$5:$A$40,$A20,'Manager Trends'!$G$5:$G$40))</x:f>
        <x:v>12.61111111111111</x:v>
      </x:c>
      <x:c r="G20" s="80" t="n">
        <x:f>IF(E20=0,0,SUMIF('Manager Trends'!$A$5:$A$40,$A20,'Manager Trends'!$L$5:$L$40)/E20)</x:f>
        <x:v>0.381057268722467</x:v>
      </x:c>
      <x:c r="H20" s="80" t="n">
        <x:f>IF(E20=0,0,SUMIF('Manager Trends'!$A$5:$A$40,$A20,'Manager Trends'!$M$5:$M$40)/E20)</x:f>
        <x:v>0.44052863436123346</x:v>
      </x:c>
      <x:c r="I20" s="95" t="n">
        <x:f>IF(D20=0,0,SUMIF('Manager Trends'!$A$5:$A$40,$A20,'Manager Trends'!$O$5:$O$40)/D20)</x:f>
        <x:v>1</x:v>
      </x:c>
      <x:c r="J20" s="95" t="n">
        <x:f>AVERAGEIF('Manager Trends'!$A$5:$A$40,$A20,'Manager Trends'!$P$5:$P$40)</x:f>
        <x:v>25.666666666666668</x:v>
      </x:c>
      <x:c r="K20" s="95" t="n">
        <x:f>AVERAGEIF('Manager Trends'!$A$5:$A$40,$A20,'Manager Trends'!$E$5:$E$40)</x:f>
        <x:v>2</x:v>
      </x:c>
      <x:c r="L20" s="93" t="str">
        <x:v>WR received 44% of auction spend. Lead position: 2023 RB → 2024 WR → 2025 WR. Largest auction buy: Saquon Barkley ($60, 2023).</x:v>
      </x:c>
    </x:row>
    <x:row r="21">
      <x:c r="A21" s="32" t="str">
        <x:v>Ian Bates</x:v>
      </x:c>
      <x:c r="B21" s="64" t="n">
        <x:v>15</x:v>
      </x:c>
      <x:c r="C21" s="64" t="str">
        <x:v>Mr Rogers' Naberless Naberhood</x:v>
      </x:c>
      <x:c r="D21" s="64" t="n">
        <x:f>COUNTIF('Manager Trends'!$A$5:$A$40,$A21)</x:f>
        <x:v>3</x:v>
      </x:c>
      <x:c r="E21" s="72" t="n">
        <x:f>SUMIF('Manager Trends'!$A$5:$A$40,$A21,'Manager Trends'!$H$5:$H$40)</x:f>
        <x:v>431</x:v>
      </x:c>
      <x:c r="F21" s="74" t="n">
        <x:f>IF(SUMIF('Manager Trends'!$A$5:$A$40,$A21,'Manager Trends'!$G$5:$G$40)=0,0,E21/SUMIF('Manager Trends'!$A$5:$A$40,$A21,'Manager Trends'!$G$5:$G$40))</x:f>
        <x:v>11.972222222222221</x:v>
      </x:c>
      <x:c r="G21" s="80" t="n">
        <x:f>IF(E21=0,0,SUMIF('Manager Trends'!$A$5:$A$40,$A21,'Manager Trends'!$L$5:$L$40)/E21)</x:f>
        <x:v>0.33642691415313225</x:v>
      </x:c>
      <x:c r="H21" s="80" t="n">
        <x:f>IF(E21=0,0,SUMIF('Manager Trends'!$A$5:$A$40,$A21,'Manager Trends'!$M$5:$M$40)/E21)</x:f>
        <x:v>0.4431554524361949</x:v>
      </x:c>
      <x:c r="I21" s="95" t="n">
        <x:f>IF(D21=0,0,SUMIF('Manager Trends'!$A$5:$A$40,$A21,'Manager Trends'!$O$5:$O$40)/D21)</x:f>
        <x:v>1.3333333333333333</x:v>
      </x:c>
      <x:c r="J21" s="95" t="n">
        <x:f>AVERAGEIF('Manager Trends'!$A$5:$A$40,$A21,'Manager Trends'!$P$5:$P$40)</x:f>
        <x:v>34.333333333333336</x:v>
      </x:c>
      <x:c r="K21" s="95" t="n">
        <x:f>AVERAGEIF('Manager Trends'!$A$5:$A$40,$A21,'Manager Trends'!$E$5:$E$40)</x:f>
        <x:v>2</x:v>
      </x:c>
      <x:c r="L21" s="93" t="str">
        <x:v>WR received 44% of auction spend. Lead position: 2023 WR → 2024 WR → 2025 RB. Largest auction buy: Amon-Ra St. Brown ($63, 2024).</x:v>
      </x:c>
    </x:row>
    <x:row r="22">
      <x:c r="A22" s="32" t="str">
        <x:v>Eric Boudreau</x:v>
      </x:c>
      <x:c r="B22" s="64" t="n">
        <x:v>16</x:v>
      </x:c>
      <x:c r="C22" s="64" t="str">
        <x:v>Blockbuster Promking</x:v>
      </x:c>
      <x:c r="D22" s="64" t="n">
        <x:f>COUNTIF('Manager Trends'!$A$5:$A$40,$A22)</x:f>
        <x:v>3</x:v>
      </x:c>
      <x:c r="E22" s="72" t="n">
        <x:f>SUMIF('Manager Trends'!$A$5:$A$40,$A22,'Manager Trends'!$H$5:$H$40)</x:f>
        <x:v>494</x:v>
      </x:c>
      <x:c r="F22" s="74" t="n">
        <x:f>IF(SUMIF('Manager Trends'!$A$5:$A$40,$A22,'Manager Trends'!$G$5:$G$40)=0,0,E22/SUMIF('Manager Trends'!$A$5:$A$40,$A22,'Manager Trends'!$G$5:$G$40))</x:f>
        <x:v>13.722222222222221</x:v>
      </x:c>
      <x:c r="G22" s="80" t="n">
        <x:f>IF(E22=0,0,SUMIF('Manager Trends'!$A$5:$A$40,$A22,'Manager Trends'!$L$5:$L$40)/E22)</x:f>
        <x:v>0.48380566801619435</x:v>
      </x:c>
      <x:c r="H22" s="80" t="n">
        <x:f>IF(E22=0,0,SUMIF('Manager Trends'!$A$5:$A$40,$A22,'Manager Trends'!$M$5:$M$40)/E22)</x:f>
        <x:v>0.4089068825910931</x:v>
      </x:c>
      <x:c r="I22" s="95" t="n">
        <x:f>IF(D22=0,0,SUMIF('Manager Trends'!$A$5:$A$40,$A22,'Manager Trends'!$O$5:$O$40)/D22)</x:f>
        <x:v>1</x:v>
      </x:c>
      <x:c r="J22" s="95" t="n">
        <x:f>AVERAGEIF('Manager Trends'!$A$5:$A$40,$A22,'Manager Trends'!$P$5:$P$40)</x:f>
        <x:v>35.333333333333336</x:v>
      </x:c>
      <x:c r="K22" s="95" t="n">
        <x:f>AVERAGEIF('Manager Trends'!$A$5:$A$40,$A22,'Manager Trends'!$E$5:$E$40)</x:f>
        <x:v>2</x:v>
      </x:c>
      <x:c r="L22" s="93" t="str">
        <x:v>RB received 48% of auction spend. Lead position: 2023 RB → 2024 RB → 2025 WR. Largest auction buy: Joe Mixon ($55, 2023).</x:v>
      </x:c>
    </x:row>
    <x:row r="23">
      <x:c r="A23" s="32" t="str">
        <x:v>Scott McKnight</x:v>
      </x:c>
      <x:c r="B23" s="64" t="n">
        <x:v>17</x:v>
      </x:c>
      <x:c r="C23" s="64" t="str">
        <x:v>Mahomeless</x:v>
      </x:c>
      <x:c r="D23" s="64" t="n">
        <x:f>COUNTIF('Manager Trends'!$A$5:$A$40,$A23)</x:f>
        <x:v>3</x:v>
      </x:c>
      <x:c r="E23" s="72" t="n">
        <x:f>SUMIF('Manager Trends'!$A$5:$A$40,$A23,'Manager Trends'!$H$5:$H$40)</x:f>
        <x:v>438</x:v>
      </x:c>
      <x:c r="F23" s="74" t="n">
        <x:f>IF(SUMIF('Manager Trends'!$A$5:$A$40,$A23,'Manager Trends'!$G$5:$G$40)=0,0,E23/SUMIF('Manager Trends'!$A$5:$A$40,$A23,'Manager Trends'!$G$5:$G$40))</x:f>
        <x:v>12.166666666666666</x:v>
      </x:c>
      <x:c r="G23" s="80" t="n">
        <x:f>IF(E23=0,0,SUMIF('Manager Trends'!$A$5:$A$40,$A23,'Manager Trends'!$L$5:$L$40)/E23)</x:f>
        <x:v>0.3858447488584475</x:v>
      </x:c>
      <x:c r="H23" s="80" t="n">
        <x:f>IF(E23=0,0,SUMIF('Manager Trends'!$A$5:$A$40,$A23,'Manager Trends'!$M$5:$M$40)/E23)</x:f>
        <x:v>0.410958904109589</x:v>
      </x:c>
      <x:c r="I23" s="95" t="n">
        <x:f>IF(D23=0,0,SUMIF('Manager Trends'!$A$5:$A$40,$A23,'Manager Trends'!$O$5:$O$40)/D23)</x:f>
        <x:v>1</x:v>
      </x:c>
      <x:c r="J23" s="95" t="n">
        <x:f>AVERAGEIF('Manager Trends'!$A$5:$A$40,$A23,'Manager Trends'!$P$5:$P$40)</x:f>
        <x:v>32.666666666666664</x:v>
      </x:c>
      <x:c r="K23" s="95" t="n">
        <x:f>AVERAGEIF('Manager Trends'!$A$5:$A$40,$A23,'Manager Trends'!$E$5:$E$40)</x:f>
        <x:v>2</x:v>
      </x:c>
      <x:c r="L23" s="93" t="str">
        <x:v>WR received 41% of auction spend. Lead position: 2023 RB → 2024 WR → 2025 WR. Largest auction buy: A.J. Brown ($57, 2024).</x:v>
      </x:c>
    </x:row>
    <x:row r="24">
      <x:c r="A24" s="32" t="str">
        <x:v>Dan Maland</x:v>
      </x:c>
      <x:c r="B24" s="64" t="n">
        <x:v>18</x:v>
      </x:c>
      <x:c r="C24" s="64" t="str">
        <x:v>New World Order</x:v>
      </x:c>
      <x:c r="D24" s="64" t="n">
        <x:f>COUNTIF('Manager Trends'!$A$5:$A$40,$A24)</x:f>
        <x:v>3</x:v>
      </x:c>
      <x:c r="E24" s="72" t="n">
        <x:f>SUMIF('Manager Trends'!$A$5:$A$40,$A24,'Manager Trends'!$H$5:$H$40)</x:f>
        <x:v>447</x:v>
      </x:c>
      <x:c r="F24" s="74" t="n">
        <x:f>IF(SUMIF('Manager Trends'!$A$5:$A$40,$A24,'Manager Trends'!$G$5:$G$40)=0,0,E24/SUMIF('Manager Trends'!$A$5:$A$40,$A24,'Manager Trends'!$G$5:$G$40))</x:f>
        <x:v>12.416666666666666</x:v>
      </x:c>
      <x:c r="G24" s="80" t="n">
        <x:f>IF(E24=0,0,SUMIF('Manager Trends'!$A$5:$A$40,$A24,'Manager Trends'!$L$5:$L$40)/E24)</x:f>
        <x:v>0.3243847874720358</x:v>
      </x:c>
      <x:c r="H24" s="80" t="n">
        <x:f>IF(E24=0,0,SUMIF('Manager Trends'!$A$5:$A$40,$A24,'Manager Trends'!$M$5:$M$40)/E24)</x:f>
        <x:v>0.41834451901565994</x:v>
      </x:c>
      <x:c r="I24" s="95" t="n">
        <x:f>IF(D24=0,0,SUMIF('Manager Trends'!$A$5:$A$40,$A24,'Manager Trends'!$O$5:$O$40)/D24)</x:f>
        <x:v>0.6666666666666666</x:v>
      </x:c>
      <x:c r="J24" s="95" t="n">
        <x:f>AVERAGEIF('Manager Trends'!$A$5:$A$40,$A24,'Manager Trends'!$P$5:$P$40)</x:f>
        <x:v>27.333333333333332</x:v>
      </x:c>
      <x:c r="K24" s="95" t="n">
        <x:f>AVERAGEIF('Manager Trends'!$A$5:$A$40,$A24,'Manager Trends'!$E$5:$E$40)</x:f>
        <x:v>2</x:v>
      </x:c>
      <x:c r="L24" s="93" t="str">
        <x:v>WR received 42% of auction spend. Lead position: 2023 RB → 2024 WR → 2025 WR. Largest auction buy: Justin Jefferson ($60, 2025).</x:v>
      </x:c>
    </x:row>
    <x:row r="25">
      <x:c r="A25" s="32" t="str">
        <x:v>Thomas Atwater</x:v>
      </x:c>
      <x:c r="B25" s="64" t="n">
        <x:v>19</x:v>
      </x:c>
      <x:c r="C25" s="64" t="str">
        <x:v>The Consensual Cosby</x:v>
      </x:c>
      <x:c r="D25" s="64" t="n">
        <x:f>COUNTIF('Manager Trends'!$A$5:$A$40,$A25)</x:f>
        <x:v>3</x:v>
      </x:c>
      <x:c r="E25" s="72" t="n">
        <x:f>SUMIF('Manager Trends'!$A$5:$A$40,$A25,'Manager Trends'!$H$5:$H$40)</x:f>
        <x:v>449</x:v>
      </x:c>
      <x:c r="F25" s="74" t="n">
        <x:f>IF(SUMIF('Manager Trends'!$A$5:$A$40,$A25,'Manager Trends'!$G$5:$G$40)=0,0,E25/SUMIF('Manager Trends'!$A$5:$A$40,$A25,'Manager Trends'!$G$5:$G$40))</x:f>
        <x:v>12.472222222222221</x:v>
      </x:c>
      <x:c r="G25" s="80" t="n">
        <x:f>IF(E25=0,0,SUMIF('Manager Trends'!$A$5:$A$40,$A25,'Manager Trends'!$L$5:$L$40)/E25)</x:f>
        <x:v>0.48775055679287305</x:v>
      </x:c>
      <x:c r="H25" s="80" t="n">
        <x:f>IF(E25=0,0,SUMIF('Manager Trends'!$A$5:$A$40,$A25,'Manager Trends'!$M$5:$M$40)/E25)</x:f>
        <x:v>0.3429844097995546</x:v>
      </x:c>
      <x:c r="I25" s="95" t="n">
        <x:f>IF(D25=0,0,SUMIF('Manager Trends'!$A$5:$A$40,$A25,'Manager Trends'!$O$5:$O$40)/D25)</x:f>
        <x:v>0.6666666666666666</x:v>
      </x:c>
      <x:c r="J25" s="95" t="n">
        <x:f>AVERAGEIF('Manager Trends'!$A$5:$A$40,$A25,'Manager Trends'!$P$5:$P$40)</x:f>
        <x:v>36.333333333333336</x:v>
      </x:c>
      <x:c r="K25" s="95" t="n">
        <x:f>AVERAGEIF('Manager Trends'!$A$5:$A$40,$A25,'Manager Trends'!$E$5:$E$40)</x:f>
        <x:v>2</x:v>
      </x:c>
      <x:c r="L25" s="93" t="str">
        <x:v>RB received 49% of auction spend. Lead position: 2023 RB → 2024 RB → 2025 RB. Largest auction buy: Bijan Robinson ($66, 2024).</x:v>
      </x:c>
    </x:row>
    <x:row r="26">
      <x:c r="A26" s="32" t="str">
        <x:v>samir gandhi</x:v>
      </x:c>
      <x:c r="B26" s="64" t="n">
        <x:v>9</x:v>
      </x:c>
      <x:c r="C26" s="64" t="str">
        <x:v>Messenger Pigeons (former)</x:v>
      </x:c>
      <x:c r="D26" s="64" t="n">
        <x:f>COUNTIF('Manager Trends'!$A$5:$A$40,$A26)</x:f>
        <x:v>2</x:v>
      </x:c>
      <x:c r="E26" s="72" t="n">
        <x:f>SUMIF('Manager Trends'!$A$5:$A$40,$A26,'Manager Trends'!$H$5:$H$40)</x:f>
        <x:v>334</x:v>
      </x:c>
      <x:c r="F26" s="74" t="n">
        <x:f>IF(SUMIF('Manager Trends'!$A$5:$A$40,$A26,'Manager Trends'!$G$5:$G$40)=0,0,E26/SUMIF('Manager Trends'!$A$5:$A$40,$A26,'Manager Trends'!$G$5:$G$40))</x:f>
        <x:v>13.36</x:v>
      </x:c>
      <x:c r="G26" s="80" t="n">
        <x:f>IF(E26=0,0,SUMIF('Manager Trends'!$A$5:$A$40,$A26,'Manager Trends'!$L$5:$L$40)/E26)</x:f>
        <x:v>0.36826347305389223</x:v>
      </x:c>
      <x:c r="H26" s="80" t="n">
        <x:f>IF(E26=0,0,SUMIF('Manager Trends'!$A$5:$A$40,$A26,'Manager Trends'!$M$5:$M$40)/E26)</x:f>
        <x:v>0.41916167664670656</x:v>
      </x:c>
      <x:c r="I26" s="95" t="n">
        <x:f>IF(D26=0,0,SUMIF('Manager Trends'!$A$5:$A$40,$A26,'Manager Trends'!$O$5:$O$40)/D26)</x:f>
        <x:v>1</x:v>
      </x:c>
      <x:c r="J26" s="95" t="n">
        <x:f>AVERAGEIF('Manager Trends'!$A$5:$A$40,$A26,'Manager Trends'!$P$5:$P$40)</x:f>
        <x:v>30</x:v>
      </x:c>
      <x:c r="K26" s="95" t="n">
        <x:f>AVERAGEIF('Manager Trends'!$A$5:$A$40,$A26,'Manager Trends'!$E$5:$E$40)</x:f>
        <x:v>1.5</x:v>
      </x:c>
      <x:c r="L26" s="93" t="str">
        <x:v>Former Team 9 manager. WR received 42% of auction spend. Lead position: 2023 WR → 2024 WR. Largest auction buy: Saquon Barkley ($65, 2024).</x:v>
      </x:c>
    </x:row>
    <x:row r="28" ht="23" customHeight="1">
      <x:c r="A28" s="39" t="str">
        <x:v>Methodology and Caveats</x:v>
      </x:c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</x:row>
    <x:row r="29" ht="30" customHeight="1">
      <x:c r="A29" s="98" t="str">
        <x:v>Keeper rule</x:v>
      </x:c>
      <x:c r="B29" s="99" t="str">
        <x:v>Only players carrying ESPN's Keeper marker were treated as keepers; draft-order position alone was not used.</x:v>
      </x:c>
      <x:c r="C29" s="99"/>
      <x:c r="D29" s="99"/>
      <x:c r="E29" s="99"/>
      <x:c r="F29" s="99"/>
      <x:c r="G29" s="99"/>
      <x:c r="H29" s="99"/>
      <x:c r="I29" s="99"/>
      <x:c r="J29" s="99"/>
      <x:c r="K29" s="99"/>
      <x:c r="L29" s="99"/>
    </x:row>
    <x:row r="30" ht="30" customHeight="1">
      <x:c r="A30" s="98" t="str">
        <x:v>Auction ordering</x:v>
      </x:c>
      <x:c r="B30" s="99" t="str">
        <x:v>Each year sheet's auction table excludes keepers and is sorted from the lowest to highest ESPN No. field.</x:v>
      </x:c>
      <x:c r="C30" s="99"/>
      <x:c r="D30" s="99"/>
      <x:c r="E30" s="99"/>
      <x:c r="F30" s="99"/>
      <x:c r="G30" s="99"/>
      <x:c r="H30" s="99"/>
      <x:c r="I30" s="99"/>
      <x:c r="J30" s="99"/>
      <x:c r="K30" s="99"/>
      <x:c r="L30" s="99"/>
    </x:row>
    <x:row r="31" ht="30" customHeight="1">
      <x:c r="A31" s="98" t="str">
        <x:v>Trend lens</x:v>
      </x:c>
      <x:c r="B31" s="99" t="str">
        <x:v>Observed patterns describe spending allocation, timing, and purchase concentration. They are descriptive, not predictions of intent or performance.</x:v>
      </x:c>
      <x:c r="C31" s="99"/>
      <x:c r="D31" s="99"/>
      <x:c r="E31" s="99"/>
      <x:c r="F31" s="99"/>
      <x:c r="G31" s="99"/>
      <x:c r="H31" s="99"/>
      <x:c r="I31" s="99"/>
      <x:c r="J31" s="99"/>
      <x:c r="K31" s="99"/>
      <x:c r="L31" s="99"/>
    </x:row>
    <x:row r="32" ht="30" customHeight="1">
      <x:c r="A32" s="98" t="str">
        <x:v>NFL teams</x:v>
      </x:c>
      <x:c r="B32" s="99" t="str">
        <x:v>Historical pages can display a player's current ESPN NFL affiliation rather than the club at the time of the old draft. Values here reproduce ESPN's displayed abbreviation.</x:v>
      </x:c>
      <x:c r="C32" s="99"/>
      <x:c r="D32" s="99"/>
      <x:c r="E32" s="99"/>
      <x:c r="F32" s="99"/>
      <x:c r="G32" s="99"/>
      <x:c r="H32" s="99"/>
      <x:c r="I32" s="99"/>
      <x:c r="J32" s="99"/>
      <x:c r="K32" s="99"/>
      <x:c r="L32" s="99"/>
    </x:row>
    <x:row r="33" ht="30" customHeight="1">
      <x:c r="A33" s="98" t="str">
        <x:v>Sources</x:v>
      </x:c>
      <x:c r="B33" s="99" t="str">
        <x:v>https://fantasy.espn.com/football/league/draftrecap?seasonId=2025&amp;leagueId=555583 | seasonId also set to 2024 and 2023</x:v>
      </x:c>
      <x:c r="C33" s="99"/>
      <x:c r="D33" s="99"/>
      <x:c r="E33" s="99"/>
      <x:c r="F33" s="99"/>
      <x:c r="G33" s="99"/>
      <x:c r="H33" s="99"/>
      <x:c r="I33" s="99"/>
      <x:c r="J33" s="99"/>
      <x:c r="K33" s="99"/>
      <x:c r="L33" s="99"/>
    </x:row>
  </x:sheetData>
  <x:mergeCells>
    <x:mergeCell ref="A1:L1"/>
    <x:mergeCell ref="A2:L2"/>
    <x:mergeCell ref="A4:L4"/>
    <x:mergeCell ref="A10:L10"/>
    <x:mergeCell ref="A12:L12"/>
    <x:mergeCell ref="A28:L28"/>
    <x:mergeCell ref="B29:L29"/>
    <x:mergeCell ref="B30:L30"/>
    <x:mergeCell ref="B31:L31"/>
    <x:mergeCell ref="B32:L32"/>
    <x:mergeCell ref="B33:L33"/>
  </x:mergeCells>
  <x:conditionalFormatting sqref="G14:H26">
    <x:cfRule type="colorScale" priority="1">
      <x:colorScale>
        <x:cfvo type="min"/>
        <x:cfvo type="percentile" val="50"/>
        <x:cfvo type="max"/>
        <x:color rgb="FFE8F3FA"/>
        <x:color rgb="FF83C5BE"/>
        <x:color rgb="FF0F766E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9" hidden="0" customWidth="1"/>
    <x:col min="4" max="4" width="30" hidden="0" customWidth="1"/>
    <x:col min="5" max="5" width="9" hidden="0" customWidth="1"/>
    <x:col min="6" max="6" width="11" hidden="0" customWidth="1"/>
    <x:col min="7" max="7" width="12" hidden="0" customWidth="1"/>
    <x:col min="8" max="8" width="11" hidden="0" customWidth="1"/>
    <x:col min="9" max="9" width="10" hidden="0" customWidth="1"/>
    <x:col min="10" max="10" width="12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11" hidden="0" customWidth="1"/>
    <x:col min="16" max="16" width="16" hidden="0" customWidth="1"/>
    <x:col min="17" max="17" width="28" hidden="0" customWidth="1"/>
  </x:cols>
  <x:sheetData>
    <x:row r="1" ht="32" customHeight="1">
      <x:c r="A1" s="75" t="str">
        <x:v>Manager Auction Trends by Season</x:v>
      </x:c>
      <x:c r="B1" s="75" t="str">
        <x:v>Manager Auction Trends by Season</x:v>
      </x:c>
      <x:c r="C1" s="75" t="str">
        <x:v>Manager Auction Trends by Season</x:v>
      </x:c>
      <x:c r="D1" s="75" t="str">
        <x:v>Manager Auction Trends by Season</x:v>
      </x:c>
      <x:c r="E1" s="75" t="str">
        <x:v>Manager Auction Trends by Season</x:v>
      </x:c>
      <x:c r="F1" s="75" t="str">
        <x:v>Manager Auction Trends by Season</x:v>
      </x:c>
      <x:c r="G1" s="75" t="str">
        <x:v>Manager Auction Trends by Season</x:v>
      </x:c>
      <x:c r="H1" s="75" t="str">
        <x:v>Manager Auction Trends by Season</x:v>
      </x:c>
      <x:c r="I1" s="75" t="str">
        <x:v>Manager Auction Trends by Season</x:v>
      </x:c>
      <x:c r="J1" s="75" t="str">
        <x:v>Manager Auction Trends by Season</x:v>
      </x:c>
      <x:c r="K1" s="75" t="str">
        <x:v>Manager Auction Trends by Season</x:v>
      </x:c>
      <x:c r="L1" s="75" t="str">
        <x:v>Manager Auction Trends by Season</x:v>
      </x:c>
      <x:c r="M1" s="75" t="str">
        <x:v>Manager Auction Trends by Season</x:v>
      </x:c>
      <x:c r="N1" s="75" t="str">
        <x:v>Manager Auction Trends by Season</x:v>
      </x:c>
      <x:c r="O1" s="75" t="str">
        <x:v>Manager Auction Trends by Season</x:v>
      </x:c>
      <x:c r="P1" s="75" t="str">
        <x:v>Manager Auction Trends by Season</x:v>
      </x:c>
      <x:c r="Q1" s="75" t="str">
        <x:v>Manager Auction Trends by Season</x:v>
      </x:c>
    </x:row>
    <x:row r="2" ht="28" customHeight="1">
      <x:c r="A2" s="8" t="str">
        <x:v>Auction spend excludes keepers. Position spend and counts are calculated from the year sheets; first auction number and top buy are source-derived for readability.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4" ht="28" customHeight="1">
      <x:c r="A4" s="51" t="str">
        <x:v>Manager</x:v>
      </x:c>
      <x:c r="B4" s="52" t="str">
        <x:v>Team ID</x:v>
      </x:c>
      <x:c r="C4" s="52" t="str">
        <x:v>Season</x:v>
      </x:c>
      <x:c r="D4" s="52" t="str">
        <x:v>Team Name</x:v>
      </x:c>
      <x:c r="E4" s="52" t="str">
        <x:v>Keepers</x:v>
      </x:c>
      <x:c r="F4" s="52" t="str">
        <x:v>Keeper $</x:v>
      </x:c>
      <x:c r="G4" s="52" t="str">
        <x:v>Auction Picks</x:v>
      </x:c>
      <x:c r="H4" s="52" t="str">
        <x:v>Auction $</x:v>
      </x:c>
      <x:c r="I4" s="52" t="str">
        <x:v>Total $</x:v>
      </x:c>
      <x:c r="J4" s="52" t="str">
        <x:v>Avg $/Pick</x:v>
      </x:c>
      <x:c r="K4" s="52" t="str">
        <x:v>QB $</x:v>
      </x:c>
      <x:c r="L4" s="52" t="str">
        <x:v>RB $</x:v>
      </x:c>
      <x:c r="M4" s="52" t="str">
        <x:v>WR $</x:v>
      </x:c>
      <x:c r="N4" s="52" t="str">
        <x:v>TE $</x:v>
      </x:c>
      <x:c r="O4" s="52" t="str">
        <x:v>$40+ Buys</x:v>
      </x:c>
      <x:c r="P4" s="52" t="str">
        <x:v>First Auction No.</x:v>
      </x:c>
      <x:c r="Q4" s="53" t="str">
        <x:v>Top Auction Buy</x:v>
      </x:c>
    </x:row>
    <x:row r="5">
      <x:c r="A5" s="31" t="str">
        <x:v>Brett McKnight</x:v>
      </x:c>
      <x:c r="B5" s="63" t="n">
        <x:v>1</x:v>
      </x:c>
      <x:c r="C5" s="63" t="n">
        <x:v>2023</x:v>
      </x:c>
      <x:c r="D5" s="31" t="str">
        <x:v>Ravenclaw Shirt Sunday</x:v>
      </x:c>
      <x:c r="E5" s="63" t="n">
        <x:f>COUNTIF('2023'!$C$7:$C$30,$A5)</x:f>
        <x:v>2</x:v>
      </x:c>
      <x:c r="F5" s="69" t="n">
        <x:f>SUMIF('2023'!$C$7:$C$30,$A5,'2023'!$H$7:$H$30)</x:f>
        <x:v>53</x:v>
      </x:c>
      <x:c r="G5" s="70" t="n">
        <x:f>COUNTIF('2023'!$C$34:$C$179,$A5)</x:f>
        <x:v>12</x:v>
      </x:c>
      <x:c r="H5" s="69" t="n">
        <x:f>SUMIF('2023'!$C$34:$C$179,$A5,'2023'!$H$34:$H$179)</x:f>
        <x:v>147</x:v>
      </x:c>
      <x:c r="I5" s="69" t="n">
        <x:f>F5+H5</x:f>
        <x:v>200</x:v>
      </x:c>
      <x:c r="J5" s="71" t="n">
        <x:f>IF(G5=0,0,H5/G5)</x:f>
        <x:v>12.25</x:v>
      </x:c>
      <x:c r="K5" s="69" t="n">
        <x:f>SUMIFS('2023'!$H$34:$H$179,'2023'!$C$34:$C$179,$A5,'2023'!$G$34:$G$179,"QB")</x:f>
        <x:v>31</x:v>
      </x:c>
      <x:c r="L5" s="69" t="n">
        <x:f>SUMIFS('2023'!$H$34:$H$179,'2023'!$C$34:$C$179,$A5,'2023'!$G$34:$G$179,"RB")</x:f>
        <x:v>73</x:v>
      </x:c>
      <x:c r="M5" s="69" t="n">
        <x:f>SUMIFS('2023'!$H$34:$H$179,'2023'!$C$34:$C$179,$A5,'2023'!$G$34:$G$179,"WR")</x:f>
        <x:v>14</x:v>
      </x:c>
      <x:c r="N5" s="69" t="n">
        <x:f>SUMIFS('2023'!$H$34:$H$179,'2023'!$C$34:$C$179,$A5,'2023'!$G$34:$G$179,"TE")</x:f>
        <x:v>20</x:v>
      </x:c>
      <x:c r="O5" s="63" t="n">
        <x:f>COUNTIFS('2023'!$C$34:$C$179,$A5,'2023'!$H$34:$H$179,"&gt;=40")</x:f>
        <x:v>0</x:v>
      </x:c>
      <x:c r="P5" s="63" t="n">
        <x:v>37</x:v>
      </x:c>
      <x:c r="Q5" s="31" t="str">
        <x:v>Breece Hall ($32)</x:v>
      </x:c>
    </x:row>
    <x:row r="6">
      <x:c r="A6" s="32" t="str">
        <x:v>Brett McKnight</x:v>
      </x:c>
      <x:c r="B6" s="64" t="n">
        <x:v>1</x:v>
      </x:c>
      <x:c r="C6" s="64" t="n">
        <x:v>2024</x:v>
      </x:c>
      <x:c r="D6" s="32" t="str">
        <x:v>Limp Brisket</x:v>
      </x:c>
      <x:c r="E6" s="64" t="n">
        <x:f>COUNTIF('2024'!$C$7:$C$30,$A6)</x:f>
        <x:v>2</x:v>
      </x:c>
      <x:c r="F6" s="72" t="n">
        <x:f>SUMIF('2024'!$C$7:$C$30,$A6,'2024'!$H$7:$H$30)</x:f>
        <x:v>48</x:v>
      </x:c>
      <x:c r="G6" s="73" t="n">
        <x:f>COUNTIF('2024'!$C$34:$C$179,$A6)</x:f>
        <x:v>12</x:v>
      </x:c>
      <x:c r="H6" s="72" t="n">
        <x:f>SUMIF('2024'!$C$34:$C$179,$A6,'2024'!$H$34:$H$179)</x:f>
        <x:v>152</x:v>
      </x:c>
      <x:c r="I6" s="72" t="n">
        <x:f>F6+H6</x:f>
        <x:v>200</x:v>
      </x:c>
      <x:c r="J6" s="74" t="n">
        <x:f>IF(G6=0,0,H6/G6)</x:f>
        <x:v>12.666666666666666</x:v>
      </x:c>
      <x:c r="K6" s="72" t="n">
        <x:f>SUMIFS('2024'!$H$34:$H$179,'2024'!$C$34:$C$179,$A6,'2024'!$G$34:$G$179,"QB")</x:f>
        <x:v>23</x:v>
      </x:c>
      <x:c r="L6" s="72" t="n">
        <x:f>SUMIFS('2024'!$H$34:$H$179,'2024'!$C$34:$C$179,$A6,'2024'!$G$34:$G$179,"RB")</x:f>
        <x:v>56</x:v>
      </x:c>
      <x:c r="M6" s="72" t="n">
        <x:f>SUMIFS('2024'!$H$34:$H$179,'2024'!$C$34:$C$179,$A6,'2024'!$G$34:$G$179,"WR")</x:f>
        <x:v>33</x:v>
      </x:c>
      <x:c r="N6" s="72" t="n">
        <x:f>SUMIFS('2024'!$H$34:$H$179,'2024'!$C$34:$C$179,$A6,'2024'!$G$34:$G$179,"TE")</x:f>
        <x:v>36</x:v>
      </x:c>
      <x:c r="O6" s="64" t="n">
        <x:f>COUNTIFS('2024'!$C$34:$C$179,$A6,'2024'!$H$34:$H$179,"&gt;=40")</x:f>
        <x:v>0</x:v>
      </x:c>
      <x:c r="P6" s="64" t="n">
        <x:v>29</x:v>
      </x:c>
      <x:c r="Q6" s="32" t="str">
        <x:v>Travis Kelce ($36)</x:v>
      </x:c>
    </x:row>
    <x:row r="7">
      <x:c r="A7" s="32" t="str">
        <x:v>Brett McKnight</x:v>
      </x:c>
      <x:c r="B7" s="64" t="n">
        <x:v>1</x:v>
      </x:c>
      <x:c r="C7" s="64" t="n">
        <x:v>2025</x:v>
      </x:c>
      <x:c r="D7" s="32" t="str">
        <x:v>Goff My Lawn</x:v>
      </x:c>
      <x:c r="E7" s="64" t="n">
        <x:f>COUNTIF('2025'!$C$7:$C$30,$A7)</x:f>
        <x:v>2</x:v>
      </x:c>
      <x:c r="F7" s="72" t="n">
        <x:f>SUMIF('2025'!$C$7:$C$30,$A7,'2025'!$H$7:$H$30)</x:f>
        <x:v>44</x:v>
      </x:c>
      <x:c r="G7" s="73" t="n">
        <x:f>COUNTIF('2025'!$C$34:$C$179,$A7)</x:f>
        <x:v>12</x:v>
      </x:c>
      <x:c r="H7" s="72" t="n">
        <x:f>SUMIF('2025'!$C$34:$C$179,$A7,'2025'!$H$34:$H$179)</x:f>
        <x:v>156</x:v>
      </x:c>
      <x:c r="I7" s="72" t="n">
        <x:f>F7+H7</x:f>
        <x:v>200</x:v>
      </x:c>
      <x:c r="J7" s="74" t="n">
        <x:f>IF(G7=0,0,H7/G7)</x:f>
        <x:v>13</x:v>
      </x:c>
      <x:c r="K7" s="72" t="n">
        <x:f>SUMIFS('2025'!$H$34:$H$179,'2025'!$C$34:$C$179,$A7,'2025'!$G$34:$G$179,"QB")</x:f>
        <x:v>0</x:v>
      </x:c>
      <x:c r="L7" s="72" t="n">
        <x:f>SUMIFS('2025'!$H$34:$H$179,'2025'!$C$34:$C$179,$A7,'2025'!$G$34:$G$179,"RB")</x:f>
        <x:v>78</x:v>
      </x:c>
      <x:c r="M7" s="72" t="n">
        <x:f>SUMIFS('2025'!$H$34:$H$179,'2025'!$C$34:$C$179,$A7,'2025'!$G$34:$G$179,"WR")</x:f>
        <x:v>68</x:v>
      </x:c>
      <x:c r="N7" s="72" t="n">
        <x:f>SUMIFS('2025'!$H$34:$H$179,'2025'!$C$34:$C$179,$A7,'2025'!$G$34:$G$179,"TE")</x:f>
        <x:v>8</x:v>
      </x:c>
      <x:c r="O7" s="64" t="n">
        <x:f>COUNTIFS('2025'!$C$34:$C$179,$A7,'2025'!$H$34:$H$179,"&gt;=40")</x:f>
        <x:v>1</x:v>
      </x:c>
      <x:c r="P7" s="64" t="n">
        <x:v>29</x:v>
      </x:c>
      <x:c r="Q7" s="32" t="str">
        <x:v>Ashton Jeanty ($55)</x:v>
      </x:c>
    </x:row>
    <x:row r="8">
      <x:c r="A8" s="32" t="str">
        <x:v>Dan Maland</x:v>
      </x:c>
      <x:c r="B8" s="64" t="n">
        <x:v>18</x:v>
      </x:c>
      <x:c r="C8" s="64" t="n">
        <x:v>2023</x:v>
      </x:c>
      <x:c r="D8" s="32" t="str">
        <x:v>Fecal Fiasco</x:v>
      </x:c>
      <x:c r="E8" s="64" t="n">
        <x:f>COUNTIF('2023'!$C$7:$C$30,$A8)</x:f>
        <x:v>2</x:v>
      </x:c>
      <x:c r="F8" s="72" t="n">
        <x:f>SUMIF('2023'!$C$7:$C$30,$A8,'2023'!$H$7:$H$30)</x:f>
        <x:v>58</x:v>
      </x:c>
      <x:c r="G8" s="73" t="n">
        <x:f>COUNTIF('2023'!$C$34:$C$179,$A8)</x:f>
        <x:v>12</x:v>
      </x:c>
      <x:c r="H8" s="72" t="n">
        <x:f>SUMIF('2023'!$C$34:$C$179,$A8,'2023'!$H$34:$H$179)</x:f>
        <x:v>142</x:v>
      </x:c>
      <x:c r="I8" s="72" t="n">
        <x:f>F8+H8</x:f>
        <x:v>200</x:v>
      </x:c>
      <x:c r="J8" s="74" t="n">
        <x:f>IF(G8=0,0,H8/G8)</x:f>
        <x:v>11.833333333333334</x:v>
      </x:c>
      <x:c r="K8" s="72" t="n">
        <x:f>SUMIFS('2023'!$H$34:$H$179,'2023'!$C$34:$C$179,$A8,'2023'!$G$34:$G$179,"QB")</x:f>
        <x:v>29</x:v>
      </x:c>
      <x:c r="L8" s="72" t="n">
        <x:f>SUMIFS('2023'!$H$34:$H$179,'2023'!$C$34:$C$179,$A8,'2023'!$G$34:$G$179,"RB")</x:f>
        <x:v>42</x:v>
      </x:c>
      <x:c r="M8" s="72" t="n">
        <x:f>SUMIFS('2023'!$H$34:$H$179,'2023'!$C$34:$C$179,$A8,'2023'!$G$34:$G$179,"WR")</x:f>
        <x:v>32</x:v>
      </x:c>
      <x:c r="N8" s="72" t="n">
        <x:f>SUMIFS('2023'!$H$34:$H$179,'2023'!$C$34:$C$179,$A8,'2023'!$G$34:$G$179,"TE")</x:f>
        <x:v>34</x:v>
      </x:c>
      <x:c r="O8" s="64" t="n">
        <x:f>COUNTIFS('2023'!$C$34:$C$179,$A8,'2023'!$H$34:$H$179,"&gt;=40")</x:f>
        <x:v>0</x:v>
      </x:c>
      <x:c r="P8" s="64" t="n">
        <x:v>26</x:v>
      </x:c>
      <x:c r="Q8" s="32" t="str">
        <x:v>Mark Andrews ($34)</x:v>
      </x:c>
    </x:row>
    <x:row r="9">
      <x:c r="A9" s="32" t="str">
        <x:v>Dan Maland</x:v>
      </x:c>
      <x:c r="B9" s="64" t="n">
        <x:v>18</x:v>
      </x:c>
      <x:c r="C9" s="64" t="n">
        <x:v>2024</x:v>
      </x:c>
      <x:c r="D9" s="32" t="str">
        <x:v>The Mile High Club</x:v>
      </x:c>
      <x:c r="E9" s="64" t="n">
        <x:f>COUNTIF('2024'!$C$7:$C$30,$A9)</x:f>
        <x:v>2</x:v>
      </x:c>
      <x:c r="F9" s="72" t="n">
        <x:f>SUMIF('2024'!$C$7:$C$30,$A9,'2024'!$H$7:$H$30)</x:f>
        <x:v>74</x:v>
      </x:c>
      <x:c r="G9" s="73" t="n">
        <x:f>COUNTIF('2024'!$C$34:$C$179,$A9)</x:f>
        <x:v>12</x:v>
      </x:c>
      <x:c r="H9" s="72" t="n">
        <x:f>SUMIF('2024'!$C$34:$C$179,$A9,'2024'!$H$34:$H$179)</x:f>
        <x:v>126</x:v>
      </x:c>
      <x:c r="I9" s="72" t="n">
        <x:f>F9+H9</x:f>
        <x:v>200</x:v>
      </x:c>
      <x:c r="J9" s="74" t="n">
        <x:f>IF(G9=0,0,H9/G9)</x:f>
        <x:v>10.5</x:v>
      </x:c>
      <x:c r="K9" s="72" t="n">
        <x:f>SUMIFS('2024'!$H$34:$H$179,'2024'!$C$34:$C$179,$A9,'2024'!$G$34:$G$179,"QB")</x:f>
        <x:v>8</x:v>
      </x:c>
      <x:c r="L9" s="72" t="n">
        <x:f>SUMIFS('2024'!$H$34:$H$179,'2024'!$C$34:$C$179,$A9,'2024'!$G$34:$G$179,"RB")</x:f>
        <x:v>31</x:v>
      </x:c>
      <x:c r="M9" s="72" t="n">
        <x:f>SUMIFS('2024'!$H$34:$H$179,'2024'!$C$34:$C$179,$A9,'2024'!$G$34:$G$179,"WR")</x:f>
        <x:v>79</x:v>
      </x:c>
      <x:c r="N9" s="72" t="n">
        <x:f>SUMIFS('2024'!$H$34:$H$179,'2024'!$C$34:$C$179,$A9,'2024'!$G$34:$G$179,"TE")</x:f>
        <x:v>6</x:v>
      </x:c>
      <x:c r="O9" s="64" t="n">
        <x:f>COUNTIFS('2024'!$C$34:$C$179,$A9,'2024'!$H$34:$H$179,"&gt;=40")</x:f>
        <x:v>0</x:v>
      </x:c>
      <x:c r="P9" s="64" t="n">
        <x:v>31</x:v>
      </x:c>
      <x:c r="Q9" s="32" t="str">
        <x:v>Mike Evans ($32)</x:v>
      </x:c>
    </x:row>
    <x:row r="10">
      <x:c r="A10" s="32" t="str">
        <x:v>Dan Maland</x:v>
      </x:c>
      <x:c r="B10" s="64" t="n">
        <x:v>18</x:v>
      </x:c>
      <x:c r="C10" s="64" t="n">
        <x:v>2025</x:v>
      </x:c>
      <x:c r="D10" s="32" t="str">
        <x:v>New World Order</x:v>
      </x:c>
      <x:c r="E10" s="64" t="n">
        <x:f>COUNTIF('2025'!$C$7:$C$30,$A10)</x:f>
        <x:v>2</x:v>
      </x:c>
      <x:c r="F10" s="72" t="n">
        <x:f>SUMIF('2025'!$C$7:$C$30,$A10,'2025'!$H$7:$H$30)</x:f>
        <x:v>21</x:v>
      </x:c>
      <x:c r="G10" s="73" t="n">
        <x:f>COUNTIF('2025'!$C$34:$C$179,$A10)</x:f>
        <x:v>12</x:v>
      </x:c>
      <x:c r="H10" s="72" t="n">
        <x:f>SUMIF('2025'!$C$34:$C$179,$A10,'2025'!$H$34:$H$179)</x:f>
        <x:v>179</x:v>
      </x:c>
      <x:c r="I10" s="72" t="n">
        <x:f>F10+H10</x:f>
        <x:v>200</x:v>
      </x:c>
      <x:c r="J10" s="74" t="n">
        <x:f>IF(G10=0,0,H10/G10)</x:f>
        <x:v>14.916666666666666</x:v>
      </x:c>
      <x:c r="K10" s="72" t="n">
        <x:f>SUMIFS('2025'!$H$34:$H$179,'2025'!$C$34:$C$179,$A10,'2025'!$G$34:$G$179,"QB")</x:f>
        <x:v>29</x:v>
      </x:c>
      <x:c r="L10" s="72" t="n">
        <x:f>SUMIFS('2025'!$H$34:$H$179,'2025'!$C$34:$C$179,$A10,'2025'!$G$34:$G$179,"RB")</x:f>
        <x:v>72</x:v>
      </x:c>
      <x:c r="M10" s="72" t="n">
        <x:f>SUMIFS('2025'!$H$34:$H$179,'2025'!$C$34:$C$179,$A10,'2025'!$G$34:$G$179,"WR")</x:f>
        <x:v>76</x:v>
      </x:c>
      <x:c r="N10" s="72" t="n">
        <x:f>SUMIFS('2025'!$H$34:$H$179,'2025'!$C$34:$C$179,$A10,'2025'!$G$34:$G$179,"TE")</x:f>
        <x:v>0</x:v>
      </x:c>
      <x:c r="O10" s="64" t="n">
        <x:f>COUNTIFS('2025'!$C$34:$C$179,$A10,'2025'!$H$34:$H$179,"&gt;=40")</x:f>
        <x:v>2</x:v>
      </x:c>
      <x:c r="P10" s="64" t="n">
        <x:v>25</x:v>
      </x:c>
      <x:c r="Q10" s="32" t="str">
        <x:v>Justin Jefferson ($60)</x:v>
      </x:c>
    </x:row>
    <x:row r="11">
      <x:c r="A11" s="32" t="str">
        <x:v>David Richards</x:v>
      </x:c>
      <x:c r="B11" s="64" t="n">
        <x:v>14</x:v>
      </x:c>
      <x:c r="C11" s="64" t="n">
        <x:v>2023</x:v>
      </x:c>
      <x:c r="D11" s="32" t="str">
        <x:v>Rode and Dode</x:v>
      </x:c>
      <x:c r="E11" s="64" t="n">
        <x:f>COUNTIF('2023'!$C$7:$C$30,$A11)</x:f>
        <x:v>2</x:v>
      </x:c>
      <x:c r="F11" s="72" t="n">
        <x:f>SUMIF('2023'!$C$7:$C$30,$A11,'2023'!$H$7:$H$30)</x:f>
        <x:v>63</x:v>
      </x:c>
      <x:c r="G11" s="73" t="n">
        <x:f>COUNTIF('2023'!$C$34:$C$179,$A11)</x:f>
        <x:v>12</x:v>
      </x:c>
      <x:c r="H11" s="72" t="n">
        <x:f>SUMIF('2023'!$C$34:$C$179,$A11,'2023'!$H$34:$H$179)</x:f>
        <x:v>136</x:v>
      </x:c>
      <x:c r="I11" s="72" t="n">
        <x:f>F11+H11</x:f>
        <x:v>199</x:v>
      </x:c>
      <x:c r="J11" s="74" t="n">
        <x:f>IF(G11=0,0,H11/G11)</x:f>
        <x:v>11.333333333333334</x:v>
      </x:c>
      <x:c r="K11" s="72" t="n">
        <x:f>SUMIFS('2023'!$H$34:$H$179,'2023'!$C$34:$C$179,$A11,'2023'!$G$34:$G$179,"QB")</x:f>
        <x:v>1</x:v>
      </x:c>
      <x:c r="L11" s="72" t="n">
        <x:f>SUMIFS('2023'!$H$34:$H$179,'2023'!$C$34:$C$179,$A11,'2023'!$G$34:$G$179,"RB")</x:f>
        <x:v>96</x:v>
      </x:c>
      <x:c r="M11" s="72" t="n">
        <x:f>SUMIFS('2023'!$H$34:$H$179,'2023'!$C$34:$C$179,$A11,'2023'!$G$34:$G$179,"WR")</x:f>
        <x:v>34</x:v>
      </x:c>
      <x:c r="N11" s="72" t="n">
        <x:f>SUMIFS('2023'!$H$34:$H$179,'2023'!$C$34:$C$179,$A11,'2023'!$G$34:$G$179,"TE")</x:f>
        <x:v>1</x:v>
      </x:c>
      <x:c r="O11" s="64" t="n">
        <x:f>COUNTIFS('2023'!$C$34:$C$179,$A11,'2023'!$H$34:$H$179,"&gt;=40")</x:f>
        <x:v>1</x:v>
      </x:c>
      <x:c r="P11" s="64" t="n">
        <x:v>27</x:v>
      </x:c>
      <x:c r="Q11" s="32" t="str">
        <x:v>Saquon Barkley ($60)</x:v>
      </x:c>
    </x:row>
    <x:row r="12">
      <x:c r="A12" s="32" t="str">
        <x:v>David Richards</x:v>
      </x:c>
      <x:c r="B12" s="64" t="n">
        <x:v>14</x:v>
      </x:c>
      <x:c r="C12" s="64" t="n">
        <x:v>2024</x:v>
      </x:c>
      <x:c r="D12" s="32" t="str">
        <x:v>Knuckles 🫵🏻🤜🏻</x:v>
      </x:c>
      <x:c r="E12" s="64" t="n">
        <x:f>COUNTIF('2024'!$C$7:$C$30,$A12)</x:f>
        <x:v>2</x:v>
      </x:c>
      <x:c r="F12" s="72" t="n">
        <x:f>SUMIF('2024'!$C$7:$C$30,$A12,'2024'!$H$7:$H$30)</x:f>
        <x:v>48</x:v>
      </x:c>
      <x:c r="G12" s="73" t="n">
        <x:f>COUNTIF('2024'!$C$34:$C$179,$A12)</x:f>
        <x:v>12</x:v>
      </x:c>
      <x:c r="H12" s="72" t="n">
        <x:f>SUMIF('2024'!$C$34:$C$179,$A12,'2024'!$H$34:$H$179)</x:f>
        <x:v>152</x:v>
      </x:c>
      <x:c r="I12" s="72" t="n">
        <x:f>F12+H12</x:f>
        <x:v>200</x:v>
      </x:c>
      <x:c r="J12" s="74" t="n">
        <x:f>IF(G12=0,0,H12/G12)</x:f>
        <x:v>12.666666666666666</x:v>
      </x:c>
      <x:c r="K12" s="72" t="n">
        <x:f>SUMIFS('2024'!$H$34:$H$179,'2024'!$C$34:$C$179,$A12,'2024'!$G$34:$G$179,"QB")</x:f>
        <x:v>17</x:v>
      </x:c>
      <x:c r="L12" s="72" t="n">
        <x:f>SUMIFS('2024'!$H$34:$H$179,'2024'!$C$34:$C$179,$A12,'2024'!$G$34:$G$179,"RB")</x:f>
        <x:v>53</x:v>
      </x:c>
      <x:c r="M12" s="72" t="n">
        <x:f>SUMIFS('2024'!$H$34:$H$179,'2024'!$C$34:$C$179,$A12,'2024'!$G$34:$G$179,"WR")</x:f>
        <x:v>64</x:v>
      </x:c>
      <x:c r="N12" s="72" t="n">
        <x:f>SUMIFS('2024'!$H$34:$H$179,'2024'!$C$34:$C$179,$A12,'2024'!$G$34:$G$179,"TE")</x:f>
        <x:v>8</x:v>
      </x:c>
      <x:c r="O12" s="64" t="n">
        <x:f>COUNTIFS('2024'!$C$34:$C$179,$A12,'2024'!$H$34:$H$179,"&gt;=40")</x:f>
        <x:v>1</x:v>
      </x:c>
      <x:c r="P12" s="64" t="n">
        <x:v>24</x:v>
      </x:c>
      <x:c r="Q12" s="32" t="str">
        <x:v>Justin Jefferson ($57)</x:v>
      </x:c>
    </x:row>
    <x:row r="13">
      <x:c r="A13" s="32" t="str">
        <x:v>David Richards</x:v>
      </x:c>
      <x:c r="B13" s="64" t="n">
        <x:v>14</x:v>
      </x:c>
      <x:c r="C13" s="64" t="n">
        <x:v>2025</x:v>
      </x:c>
      <x:c r="D13" s="32" t="str">
        <x:v>Let JOSH Cook</x:v>
      </x:c>
      <x:c r="E13" s="64" t="n">
        <x:f>COUNTIF('2025'!$C$7:$C$30,$A13)</x:f>
        <x:v>2</x:v>
      </x:c>
      <x:c r="F13" s="72" t="n">
        <x:f>SUMIF('2025'!$C$7:$C$30,$A13,'2025'!$H$7:$H$30)</x:f>
        <x:v>33</x:v>
      </x:c>
      <x:c r="G13" s="73" t="n">
        <x:f>COUNTIF('2025'!$C$34:$C$179,$A13)</x:f>
        <x:v>12</x:v>
      </x:c>
      <x:c r="H13" s="72" t="n">
        <x:f>SUMIF('2025'!$C$34:$C$179,$A13,'2025'!$H$34:$H$179)</x:f>
        <x:v>166</x:v>
      </x:c>
      <x:c r="I13" s="72" t="n">
        <x:f>F13+H13</x:f>
        <x:v>199</x:v>
      </x:c>
      <x:c r="J13" s="74" t="n">
        <x:f>IF(G13=0,0,H13/G13)</x:f>
        <x:v>13.833333333333334</x:v>
      </x:c>
      <x:c r="K13" s="72" t="n">
        <x:f>SUMIFS('2025'!$H$34:$H$179,'2025'!$C$34:$C$179,$A13,'2025'!$G$34:$G$179,"QB")</x:f>
        <x:v>36</x:v>
      </x:c>
      <x:c r="L13" s="72" t="n">
        <x:f>SUMIFS('2025'!$H$34:$H$179,'2025'!$C$34:$C$179,$A13,'2025'!$G$34:$G$179,"RB")</x:f>
        <x:v>24</x:v>
      </x:c>
      <x:c r="M13" s="72" t="n">
        <x:f>SUMIFS('2025'!$H$34:$H$179,'2025'!$C$34:$C$179,$A13,'2025'!$G$34:$G$179,"WR")</x:f>
        <x:v>102</x:v>
      </x:c>
      <x:c r="N13" s="72" t="n">
        <x:f>SUMIFS('2025'!$H$34:$H$179,'2025'!$C$34:$C$179,$A13,'2025'!$G$34:$G$179,"TE")</x:f>
        <x:v>0</x:v>
      </x:c>
      <x:c r="O13" s="64" t="n">
        <x:f>COUNTIFS('2025'!$C$34:$C$179,$A13,'2025'!$H$34:$H$179,"&gt;=40")</x:f>
        <x:v>1</x:v>
      </x:c>
      <x:c r="P13" s="64" t="n">
        <x:v>26</x:v>
      </x:c>
      <x:c r="Q13" s="32" t="str">
        <x:v>Amon-Ra St. Brown ($53)</x:v>
      </x:c>
    </x:row>
    <x:row r="14">
      <x:c r="A14" s="32" t="str">
        <x:v>Ebby Kurian</x:v>
      </x:c>
      <x:c r="B14" s="64" t="n">
        <x:v>7</x:v>
      </x:c>
      <x:c r="C14" s="64" t="n">
        <x:v>2023</x:v>
      </x:c>
      <x:c r="D14" s="32" t="str">
        <x:v>The Splenic Flexture</x:v>
      </x:c>
      <x:c r="E14" s="64" t="n">
        <x:f>COUNTIF('2023'!$C$7:$C$30,$A14)</x:f>
        <x:v>2</x:v>
      </x:c>
      <x:c r="F14" s="72" t="n">
        <x:f>SUMIF('2023'!$C$7:$C$30,$A14,'2023'!$H$7:$H$30)</x:f>
        <x:v>37</x:v>
      </x:c>
      <x:c r="G14" s="73" t="n">
        <x:f>COUNTIF('2023'!$C$34:$C$179,$A14)</x:f>
        <x:v>12</x:v>
      </x:c>
      <x:c r="H14" s="72" t="n">
        <x:f>SUMIF('2023'!$C$34:$C$179,$A14,'2023'!$H$34:$H$179)</x:f>
        <x:v>163</x:v>
      </x:c>
      <x:c r="I14" s="72" t="n">
        <x:f>F14+H14</x:f>
        <x:v>200</x:v>
      </x:c>
      <x:c r="J14" s="74" t="n">
        <x:f>IF(G14=0,0,H14/G14)</x:f>
        <x:v>13.583333333333334</x:v>
      </x:c>
      <x:c r="K14" s="72" t="n">
        <x:f>SUMIFS('2023'!$H$34:$H$179,'2023'!$C$34:$C$179,$A14,'2023'!$G$34:$G$179,"QB")</x:f>
        <x:v>0</x:v>
      </x:c>
      <x:c r="L14" s="72" t="n">
        <x:f>SUMIFS('2023'!$H$34:$H$179,'2023'!$C$34:$C$179,$A14,'2023'!$G$34:$G$179,"RB")</x:f>
        <x:v>43</x:v>
      </x:c>
      <x:c r="M14" s="72" t="n">
        <x:f>SUMIFS('2023'!$H$34:$H$179,'2023'!$C$34:$C$179,$A14,'2023'!$G$34:$G$179,"WR")</x:f>
        <x:v>102</x:v>
      </x:c>
      <x:c r="N14" s="72" t="n">
        <x:f>SUMIFS('2023'!$H$34:$H$179,'2023'!$C$34:$C$179,$A14,'2023'!$G$34:$G$179,"TE")</x:f>
        <x:v>6</x:v>
      </x:c>
      <x:c r="O14" s="64" t="n">
        <x:f>COUNTIFS('2023'!$C$34:$C$179,$A14,'2023'!$H$34:$H$179,"&gt;=40")</x:f>
        <x:v>1</x:v>
      </x:c>
      <x:c r="P14" s="64" t="n">
        <x:v>29</x:v>
      </x:c>
      <x:c r="Q14" s="32" t="str">
        <x:v>Davante Adams ($46)</x:v>
      </x:c>
    </x:row>
    <x:row r="15">
      <x:c r="A15" s="32" t="str">
        <x:v>Ebby Kurian</x:v>
      </x:c>
      <x:c r="B15" s="64" t="n">
        <x:v>7</x:v>
      </x:c>
      <x:c r="C15" s="64" t="n">
        <x:v>2024</x:v>
      </x:c>
      <x:c r="D15" s="32" t="str">
        <x:v>The Splenic Flexture</x:v>
      </x:c>
      <x:c r="E15" s="64" t="n">
        <x:f>COUNTIF('2024'!$C$7:$C$30,$A15)</x:f>
        <x:v>2</x:v>
      </x:c>
      <x:c r="F15" s="72" t="n">
        <x:f>SUMIF('2024'!$C$7:$C$30,$A15,'2024'!$H$7:$H$30)</x:f>
        <x:v>36</x:v>
      </x:c>
      <x:c r="G15" s="73" t="n">
        <x:f>COUNTIF('2024'!$C$34:$C$179,$A15)</x:f>
        <x:v>12</x:v>
      </x:c>
      <x:c r="H15" s="72" t="n">
        <x:f>SUMIF('2024'!$C$34:$C$179,$A15,'2024'!$H$34:$H$179)</x:f>
        <x:v>163</x:v>
      </x:c>
      <x:c r="I15" s="72" t="n">
        <x:f>F15+H15</x:f>
        <x:v>199</x:v>
      </x:c>
      <x:c r="J15" s="74" t="n">
        <x:f>IF(G15=0,0,H15/G15)</x:f>
        <x:v>13.583333333333334</x:v>
      </x:c>
      <x:c r="K15" s="72" t="n">
        <x:f>SUMIFS('2024'!$H$34:$H$179,'2024'!$C$34:$C$179,$A15,'2024'!$G$34:$G$179,"QB")</x:f>
        <x:v>31</x:v>
      </x:c>
      <x:c r="L15" s="72" t="n">
        <x:f>SUMIFS('2024'!$H$34:$H$179,'2024'!$C$34:$C$179,$A15,'2024'!$G$34:$G$179,"RB")</x:f>
        <x:v>97</x:v>
      </x:c>
      <x:c r="M15" s="72" t="n">
        <x:f>SUMIFS('2024'!$H$34:$H$179,'2024'!$C$34:$C$179,$A15,'2024'!$G$34:$G$179,"WR")</x:f>
        <x:v>3</x:v>
      </x:c>
      <x:c r="N15" s="72" t="n">
        <x:f>SUMIFS('2024'!$H$34:$H$179,'2024'!$C$34:$C$179,$A15,'2024'!$G$34:$G$179,"TE")</x:f>
        <x:v>24</x:v>
      </x:c>
      <x:c r="O15" s="64" t="n">
        <x:f>COUNTIFS('2024'!$C$34:$C$179,$A15,'2024'!$H$34:$H$179,"&gt;=40")</x:f>
        <x:v>1</x:v>
      </x:c>
      <x:c r="P15" s="64" t="n">
        <x:v>39</x:v>
      </x:c>
      <x:c r="Q15" s="32" t="str">
        <x:v>Kyren Williams ($50)</x:v>
      </x:c>
    </x:row>
    <x:row r="16">
      <x:c r="A16" s="32" t="str">
        <x:v>Ebby Kurian</x:v>
      </x:c>
      <x:c r="B16" s="64" t="n">
        <x:v>7</x:v>
      </x:c>
      <x:c r="C16" s="64" t="n">
        <x:v>2025</x:v>
      </x:c>
      <x:c r="D16" s="32" t="str">
        <x:v>The Splenic Flexture</x:v>
      </x:c>
      <x:c r="E16" s="64" t="n">
        <x:f>COUNTIF('2025'!$C$7:$C$30,$A16)</x:f>
        <x:v>2</x:v>
      </x:c>
      <x:c r="F16" s="72" t="n">
        <x:f>SUMIF('2025'!$C$7:$C$30,$A16,'2025'!$H$7:$H$30)</x:f>
        <x:v>24</x:v>
      </x:c>
      <x:c r="G16" s="73" t="n">
        <x:f>COUNTIF('2025'!$C$34:$C$179,$A16)</x:f>
        <x:v>12</x:v>
      </x:c>
      <x:c r="H16" s="72" t="n">
        <x:f>SUMIF('2025'!$C$34:$C$179,$A16,'2025'!$H$34:$H$179)</x:f>
        <x:v>176</x:v>
      </x:c>
      <x:c r="I16" s="72" t="n">
        <x:f>F16+H16</x:f>
        <x:v>200</x:v>
      </x:c>
      <x:c r="J16" s="74" t="n">
        <x:f>IF(G16=0,0,H16/G16)</x:f>
        <x:v>14.666666666666666</x:v>
      </x:c>
      <x:c r="K16" s="72" t="n">
        <x:f>SUMIFS('2025'!$H$34:$H$179,'2025'!$C$34:$C$179,$A16,'2025'!$G$34:$G$179,"QB")</x:f>
        <x:v>0</x:v>
      </x:c>
      <x:c r="L16" s="72" t="n">
        <x:f>SUMIFS('2025'!$H$34:$H$179,'2025'!$C$34:$C$179,$A16,'2025'!$G$34:$G$179,"RB")</x:f>
        <x:v>92</x:v>
      </x:c>
      <x:c r="M16" s="72" t="n">
        <x:f>SUMIFS('2025'!$H$34:$H$179,'2025'!$C$34:$C$179,$A16,'2025'!$G$34:$G$179,"WR")</x:f>
        <x:v>72</x:v>
      </x:c>
      <x:c r="N16" s="72" t="n">
        <x:f>SUMIFS('2025'!$H$34:$H$179,'2025'!$C$34:$C$179,$A16,'2025'!$G$34:$G$179,"TE")</x:f>
        <x:v>9</x:v>
      </x:c>
      <x:c r="O16" s="64" t="n">
        <x:f>COUNTIFS('2025'!$C$34:$C$179,$A16,'2025'!$H$34:$H$179,"&gt;=40")</x:f>
        <x:v>1</x:v>
      </x:c>
      <x:c r="P16" s="64" t="n">
        <x:v>30</x:v>
      </x:c>
      <x:c r="Q16" s="32" t="str">
        <x:v>Saquon Barkley ($62)</x:v>
      </x:c>
    </x:row>
    <x:row r="17">
      <x:c r="A17" s="32" t="str">
        <x:v>Eric Boudreau</x:v>
      </x:c>
      <x:c r="B17" s="64" t="n">
        <x:v>16</x:v>
      </x:c>
      <x:c r="C17" s="64" t="n">
        <x:v>2023</x:v>
      </x:c>
      <x:c r="D17" s="32" t="str">
        <x:v>Corn-fed Masseuses</x:v>
      </x:c>
      <x:c r="E17" s="64" t="n">
        <x:f>COUNTIF('2023'!$C$7:$C$30,$A17)</x:f>
        <x:v>2</x:v>
      </x:c>
      <x:c r="F17" s="72" t="n">
        <x:f>SUMIF('2023'!$C$7:$C$30,$A17,'2023'!$H$7:$H$30)</x:f>
        <x:v>30</x:v>
      </x:c>
      <x:c r="G17" s="73" t="n">
        <x:f>COUNTIF('2023'!$C$34:$C$179,$A17)</x:f>
        <x:v>12</x:v>
      </x:c>
      <x:c r="H17" s="72" t="n">
        <x:f>SUMIF('2023'!$C$34:$C$179,$A17,'2023'!$H$34:$H$179)</x:f>
        <x:v>166</x:v>
      </x:c>
      <x:c r="I17" s="72" t="n">
        <x:f>F17+H17</x:f>
        <x:v>196</x:v>
      </x:c>
      <x:c r="J17" s="74" t="n">
        <x:f>IF(G17=0,0,H17/G17)</x:f>
        <x:v>13.833333333333334</x:v>
      </x:c>
      <x:c r="K17" s="72" t="n">
        <x:f>SUMIFS('2023'!$H$34:$H$179,'2023'!$C$34:$C$179,$A17,'2023'!$G$34:$G$179,"QB")</x:f>
        <x:v>9</x:v>
      </x:c>
      <x:c r="L17" s="72" t="n">
        <x:f>SUMIFS('2023'!$H$34:$H$179,'2023'!$C$34:$C$179,$A17,'2023'!$G$34:$G$179,"RB")</x:f>
        <x:v>90</x:v>
      </x:c>
      <x:c r="M17" s="72" t="n">
        <x:f>SUMIFS('2023'!$H$34:$H$179,'2023'!$C$34:$C$179,$A17,'2023'!$G$34:$G$179,"WR")</x:f>
        <x:v>55</x:v>
      </x:c>
      <x:c r="N17" s="72" t="n">
        <x:f>SUMIFS('2023'!$H$34:$H$179,'2023'!$C$34:$C$179,$A17,'2023'!$G$34:$G$179,"TE")</x:f>
        <x:v>5</x:v>
      </x:c>
      <x:c r="O17" s="64" t="n">
        <x:f>COUNTIFS('2023'!$C$34:$C$179,$A17,'2023'!$H$34:$H$179,"&gt;=40")</x:f>
        <x:v>1</x:v>
      </x:c>
      <x:c r="P17" s="64" t="n">
        <x:v>33</x:v>
      </x:c>
      <x:c r="Q17" s="32" t="str">
        <x:v>Joe Mixon ($55)</x:v>
      </x:c>
    </x:row>
    <x:row r="18">
      <x:c r="A18" s="32" t="str">
        <x:v>Eric Boudreau</x:v>
      </x:c>
      <x:c r="B18" s="64" t="n">
        <x:v>16</x:v>
      </x:c>
      <x:c r="C18" s="64" t="n">
        <x:v>2024</x:v>
      </x:c>
      <x:c r="D18" s="32" t="str">
        <x:v>Moody Magic</x:v>
      </x:c>
      <x:c r="E18" s="64" t="n">
        <x:f>COUNTIF('2024'!$C$7:$C$30,$A18)</x:f>
        <x:v>2</x:v>
      </x:c>
      <x:c r="F18" s="72" t="n">
        <x:f>SUMIF('2024'!$C$7:$C$30,$A18,'2024'!$H$7:$H$30)</x:f>
        <x:v>25</x:v>
      </x:c>
      <x:c r="G18" s="73" t="n">
        <x:f>COUNTIF('2024'!$C$34:$C$179,$A18)</x:f>
        <x:v>12</x:v>
      </x:c>
      <x:c r="H18" s="72" t="n">
        <x:f>SUMIF('2024'!$C$34:$C$179,$A18,'2024'!$H$34:$H$179)</x:f>
        <x:v>175</x:v>
      </x:c>
      <x:c r="I18" s="72" t="n">
        <x:f>F18+H18</x:f>
        <x:v>200</x:v>
      </x:c>
      <x:c r="J18" s="74" t="n">
        <x:f>IF(G18=0,0,H18/G18)</x:f>
        <x:v>14.583333333333334</x:v>
      </x:c>
      <x:c r="K18" s="72" t="n">
        <x:f>SUMIFS('2024'!$H$34:$H$179,'2024'!$C$34:$C$179,$A18,'2024'!$G$34:$G$179,"QB")</x:f>
        <x:v>16</x:v>
      </x:c>
      <x:c r="L18" s="72" t="n">
        <x:f>SUMIFS('2024'!$H$34:$H$179,'2024'!$C$34:$C$179,$A18,'2024'!$G$34:$G$179,"RB")</x:f>
        <x:v>90</x:v>
      </x:c>
      <x:c r="M18" s="72" t="n">
        <x:f>SUMIFS('2024'!$H$34:$H$179,'2024'!$C$34:$C$179,$A18,'2024'!$G$34:$G$179,"WR")</x:f>
        <x:v>67</x:v>
      </x:c>
      <x:c r="N18" s="72" t="n">
        <x:f>SUMIFS('2024'!$H$34:$H$179,'2024'!$C$34:$C$179,$A18,'2024'!$G$34:$G$179,"TE")</x:f>
        <x:v>0</x:v>
      </x:c>
      <x:c r="O18" s="64" t="n">
        <x:f>COUNTIFS('2024'!$C$34:$C$179,$A18,'2024'!$H$34:$H$179,"&gt;=40")</x:f>
        <x:v>1</x:v>
      </x:c>
      <x:c r="P18" s="64" t="n">
        <x:v>40</x:v>
      </x:c>
      <x:c r="Q18" s="32" t="str">
        <x:v>Alvin Kamara ($42)</x:v>
      </x:c>
    </x:row>
    <x:row r="19">
      <x:c r="A19" s="32" t="str">
        <x:v>Eric Boudreau</x:v>
      </x:c>
      <x:c r="B19" s="64" t="n">
        <x:v>16</x:v>
      </x:c>
      <x:c r="C19" s="64" t="n">
        <x:v>2025</x:v>
      </x:c>
      <x:c r="D19" s="32" t="str">
        <x:v>Blockbuster Promking</x:v>
      </x:c>
      <x:c r="E19" s="64" t="n">
        <x:f>COUNTIF('2025'!$C$7:$C$30,$A19)</x:f>
        <x:v>2</x:v>
      </x:c>
      <x:c r="F19" s="72" t="n">
        <x:f>SUMIF('2025'!$C$7:$C$30,$A19,'2025'!$H$7:$H$30)</x:f>
        <x:v>47</x:v>
      </x:c>
      <x:c r="G19" s="73" t="n">
        <x:f>COUNTIF('2025'!$C$34:$C$179,$A19)</x:f>
        <x:v>12</x:v>
      </x:c>
      <x:c r="H19" s="72" t="n">
        <x:f>SUMIF('2025'!$C$34:$C$179,$A19,'2025'!$H$34:$H$179)</x:f>
        <x:v>153</x:v>
      </x:c>
      <x:c r="I19" s="72" t="n">
        <x:f>F19+H19</x:f>
        <x:v>200</x:v>
      </x:c>
      <x:c r="J19" s="74" t="n">
        <x:f>IF(G19=0,0,H19/G19)</x:f>
        <x:v>12.75</x:v>
      </x:c>
      <x:c r="K19" s="72" t="n">
        <x:f>SUMIFS('2025'!$H$34:$H$179,'2025'!$C$34:$C$179,$A19,'2025'!$G$34:$G$179,"QB")</x:f>
        <x:v>10</x:v>
      </x:c>
      <x:c r="L19" s="72" t="n">
        <x:f>SUMIFS('2025'!$H$34:$H$179,'2025'!$C$34:$C$179,$A19,'2025'!$G$34:$G$179,"RB")</x:f>
        <x:v>59</x:v>
      </x:c>
      <x:c r="M19" s="72" t="n">
        <x:f>SUMIFS('2025'!$H$34:$H$179,'2025'!$C$34:$C$179,$A19,'2025'!$G$34:$G$179,"WR")</x:f>
        <x:v>80</x:v>
      </x:c>
      <x:c r="N19" s="72" t="n">
        <x:f>SUMIFS('2025'!$H$34:$H$179,'2025'!$C$34:$C$179,$A19,'2025'!$G$34:$G$179,"TE")</x:f>
        <x:v>0</x:v>
      </x:c>
      <x:c r="O19" s="64" t="n">
        <x:f>COUNTIFS('2025'!$C$34:$C$179,$A19,'2025'!$H$34:$H$179,"&gt;=40")</x:f>
        <x:v>1</x:v>
      </x:c>
      <x:c r="P19" s="64" t="n">
        <x:v>33</x:v>
      </x:c>
      <x:c r="Q19" s="32" t="str">
        <x:v>A.J. Brown ($46)</x:v>
      </x:c>
    </x:row>
    <x:row r="20">
      <x:c r="A20" s="32" t="str">
        <x:v>George Rakkar</x:v>
      </x:c>
      <x:c r="B20" s="64" t="n">
        <x:v>5</x:v>
      </x:c>
      <x:c r="C20" s="64" t="n">
        <x:v>2023</x:v>
      </x:c>
      <x:c r="D20" s="32" t="str">
        <x:v>8================ D</x:v>
      </x:c>
      <x:c r="E20" s="64" t="n">
        <x:f>COUNTIF('2023'!$C$7:$C$30,$A20)</x:f>
        <x:v>2</x:v>
      </x:c>
      <x:c r="F20" s="72" t="n">
        <x:f>SUMIF('2023'!$C$7:$C$30,$A20,'2023'!$H$7:$H$30)</x:f>
        <x:v>66</x:v>
      </x:c>
      <x:c r="G20" s="73" t="n">
        <x:f>COUNTIF('2023'!$C$34:$C$179,$A20)</x:f>
        <x:v>12</x:v>
      </x:c>
      <x:c r="H20" s="72" t="n">
        <x:f>SUMIF('2023'!$C$34:$C$179,$A20,'2023'!$H$34:$H$179)</x:f>
        <x:v>132</x:v>
      </x:c>
      <x:c r="I20" s="72" t="n">
        <x:f>F20+H20</x:f>
        <x:v>198</x:v>
      </x:c>
      <x:c r="J20" s="74" t="n">
        <x:f>IF(G20=0,0,H20/G20)</x:f>
        <x:v>11</x:v>
      </x:c>
      <x:c r="K20" s="72" t="n">
        <x:f>SUMIFS('2023'!$H$34:$H$179,'2023'!$C$34:$C$179,$A20,'2023'!$G$34:$G$179,"QB")</x:f>
        <x:v>5</x:v>
      </x:c>
      <x:c r="L20" s="72" t="n">
        <x:f>SUMIFS('2023'!$H$34:$H$179,'2023'!$C$34:$C$179,$A20,'2023'!$G$34:$G$179,"RB")</x:f>
        <x:v>36</x:v>
      </x:c>
      <x:c r="M20" s="72" t="n">
        <x:f>SUMIFS('2023'!$H$34:$H$179,'2023'!$C$34:$C$179,$A20,'2023'!$G$34:$G$179,"WR")</x:f>
        <x:v>82</x:v>
      </x:c>
      <x:c r="N20" s="72" t="n">
        <x:f>SUMIFS('2023'!$H$34:$H$179,'2023'!$C$34:$C$179,$A20,'2023'!$G$34:$G$179,"TE")</x:f>
        <x:v>4</x:v>
      </x:c>
      <x:c r="O20" s="64" t="n">
        <x:f>COUNTIFS('2023'!$C$34:$C$179,$A20,'2023'!$H$34:$H$179,"&gt;=40")</x:f>
        <x:v>1</x:v>
      </x:c>
      <x:c r="P20" s="64" t="n">
        <x:v>30</x:v>
      </x:c>
      <x:c r="Q20" s="32" t="str">
        <x:v>Amon-Ra St. Brown ($48)</x:v>
      </x:c>
    </x:row>
    <x:row r="21">
      <x:c r="A21" s="32" t="str">
        <x:v>George Rakkar</x:v>
      </x:c>
      <x:c r="B21" s="64" t="n">
        <x:v>5</x:v>
      </x:c>
      <x:c r="C21" s="64" t="n">
        <x:v>2024</x:v>
      </x:c>
      <x:c r="D21" s="32" t="str">
        <x:v>Fantasy Tech</x:v>
      </x:c>
      <x:c r="E21" s="64" t="n">
        <x:f>COUNTIF('2024'!$C$7:$C$30,$A21)</x:f>
        <x:v>2</x:v>
      </x:c>
      <x:c r="F21" s="72" t="n">
        <x:f>SUMIF('2024'!$C$7:$C$30,$A21,'2024'!$H$7:$H$30)</x:f>
        <x:v>74</x:v>
      </x:c>
      <x:c r="G21" s="73" t="n">
        <x:f>COUNTIF('2024'!$C$34:$C$179,$A21)</x:f>
        <x:v>12</x:v>
      </x:c>
      <x:c r="H21" s="72" t="n">
        <x:f>SUMIF('2024'!$C$34:$C$179,$A21,'2024'!$H$34:$H$179)</x:f>
        <x:v>125</x:v>
      </x:c>
      <x:c r="I21" s="72" t="n">
        <x:f>F21+H21</x:f>
        <x:v>199</x:v>
      </x:c>
      <x:c r="J21" s="74" t="n">
        <x:f>IF(G21=0,0,H21/G21)</x:f>
        <x:v>10.416666666666666</x:v>
      </x:c>
      <x:c r="K21" s="72" t="n">
        <x:f>SUMIFS('2024'!$H$34:$H$179,'2024'!$C$34:$C$179,$A21,'2024'!$G$34:$G$179,"QB")</x:f>
        <x:v>7</x:v>
      </x:c>
      <x:c r="L21" s="72" t="n">
        <x:f>SUMIFS('2024'!$H$34:$H$179,'2024'!$C$34:$C$179,$A21,'2024'!$G$34:$G$179,"RB")</x:f>
        <x:v>51</x:v>
      </x:c>
      <x:c r="M21" s="72" t="n">
        <x:f>SUMIFS('2024'!$H$34:$H$179,'2024'!$C$34:$C$179,$A21,'2024'!$G$34:$G$179,"WR")</x:f>
        <x:v>49</x:v>
      </x:c>
      <x:c r="N21" s="72" t="n">
        <x:f>SUMIFS('2024'!$H$34:$H$179,'2024'!$C$34:$C$179,$A21,'2024'!$G$34:$G$179,"TE")</x:f>
        <x:v>13</x:v>
      </x:c>
      <x:c r="O21" s="64" t="n">
        <x:f>COUNTIFS('2024'!$C$34:$C$179,$A21,'2024'!$H$34:$H$179,"&gt;=40")</x:f>
        <x:v>1</x:v>
      </x:c>
      <x:c r="P21" s="64" t="n">
        <x:v>49</x:v>
      </x:c>
      <x:c r="Q21" s="32" t="str">
        <x:v>Kenneth Walker III ($47)</x:v>
      </x:c>
    </x:row>
    <x:row r="22">
      <x:c r="A22" s="32" t="str">
        <x:v>George Rakkar</x:v>
      </x:c>
      <x:c r="B22" s="64" t="n">
        <x:v>5</x:v>
      </x:c>
      <x:c r="C22" s="64" t="n">
        <x:v>2025</x:v>
      </x:c>
      <x:c r="D22" s="32" t="str">
        <x:v>8==== D</x:v>
      </x:c>
      <x:c r="E22" s="64" t="n">
        <x:f>COUNTIF('2025'!$C$7:$C$30,$A22)</x:f>
        <x:v>2</x:v>
      </x:c>
      <x:c r="F22" s="72" t="n">
        <x:f>SUMIF('2025'!$C$7:$C$30,$A22,'2025'!$H$7:$H$30)</x:f>
        <x:v>59</x:v>
      </x:c>
      <x:c r="G22" s="73" t="n">
        <x:f>COUNTIF('2025'!$C$34:$C$179,$A22)</x:f>
        <x:v>12</x:v>
      </x:c>
      <x:c r="H22" s="72" t="n">
        <x:f>SUMIF('2025'!$C$34:$C$179,$A22,'2025'!$H$34:$H$179)</x:f>
        <x:v>141</x:v>
      </x:c>
      <x:c r="I22" s="72" t="n">
        <x:f>F22+H22</x:f>
        <x:v>200</x:v>
      </x:c>
      <x:c r="J22" s="74" t="n">
        <x:f>IF(G22=0,0,H22/G22)</x:f>
        <x:v>11.75</x:v>
      </x:c>
      <x:c r="K22" s="72" t="n">
        <x:f>SUMIFS('2025'!$H$34:$H$179,'2025'!$C$34:$C$179,$A22,'2025'!$G$34:$G$179,"QB")</x:f>
        <x:v>14</x:v>
      </x:c>
      <x:c r="L22" s="72" t="n">
        <x:f>SUMIFS('2025'!$H$34:$H$179,'2025'!$C$34:$C$179,$A22,'2025'!$G$34:$G$179,"RB")</x:f>
        <x:v>100</x:v>
      </x:c>
      <x:c r="M22" s="72" t="n">
        <x:f>SUMIFS('2025'!$H$34:$H$179,'2025'!$C$34:$C$179,$A22,'2025'!$G$34:$G$179,"WR")</x:f>
        <x:v>21</x:v>
      </x:c>
      <x:c r="N22" s="72" t="n">
        <x:f>SUMIFS('2025'!$H$34:$H$179,'2025'!$C$34:$C$179,$A22,'2025'!$G$34:$G$179,"TE")</x:f>
        <x:v>1</x:v>
      </x:c>
      <x:c r="O22" s="64" t="n">
        <x:f>COUNTIFS('2025'!$C$34:$C$179,$A22,'2025'!$H$34:$H$179,"&gt;=40")</x:f>
        <x:v>1</x:v>
      </x:c>
      <x:c r="P22" s="64" t="n">
        <x:v>27</x:v>
      </x:c>
      <x:c r="Q22" s="32" t="str">
        <x:v>Christian McCaffrey ($61)</x:v>
      </x:c>
    </x:row>
    <x:row r="23">
      <x:c r="A23" s="32" t="str">
        <x:v>Ian Bates</x:v>
      </x:c>
      <x:c r="B23" s="64" t="n">
        <x:v>15</x:v>
      </x:c>
      <x:c r="C23" s="64" t="n">
        <x:v>2023</x:v>
      </x:c>
      <x:c r="D23" s="32" t="str">
        <x:v>Ai Mike 🤖 From Orlando 🍺🤣</x:v>
      </x:c>
      <x:c r="E23" s="64" t="n">
        <x:f>COUNTIF('2023'!$C$7:$C$30,$A23)</x:f>
        <x:v>2</x:v>
      </x:c>
      <x:c r="F23" s="72" t="n">
        <x:f>SUMIF('2023'!$C$7:$C$30,$A23,'2023'!$H$7:$H$30)</x:f>
        <x:v>72</x:v>
      </x:c>
      <x:c r="G23" s="73" t="n">
        <x:f>COUNTIF('2023'!$C$34:$C$179,$A23)</x:f>
        <x:v>12</x:v>
      </x:c>
      <x:c r="H23" s="72" t="n">
        <x:f>SUMIF('2023'!$C$34:$C$179,$A23,'2023'!$H$34:$H$179)</x:f>
        <x:v>128</x:v>
      </x:c>
      <x:c r="I23" s="72" t="n">
        <x:f>F23+H23</x:f>
        <x:v>200</x:v>
      </x:c>
      <x:c r="J23" s="74" t="n">
        <x:f>IF(G23=0,0,H23/G23)</x:f>
        <x:v>10.666666666666666</x:v>
      </x:c>
      <x:c r="K23" s="72" t="n">
        <x:f>SUMIFS('2023'!$H$34:$H$179,'2023'!$C$34:$C$179,$A23,'2023'!$G$34:$G$179,"QB")</x:f>
        <x:v>26</x:v>
      </x:c>
      <x:c r="L23" s="72" t="n">
        <x:f>SUMIFS('2023'!$H$34:$H$179,'2023'!$C$34:$C$179,$A23,'2023'!$G$34:$G$179,"RB")</x:f>
        <x:v>45</x:v>
      </x:c>
      <x:c r="M23" s="72" t="n">
        <x:f>SUMIFS('2023'!$H$34:$H$179,'2023'!$C$34:$C$179,$A23,'2023'!$G$34:$G$179,"WR")</x:f>
        <x:v>49</x:v>
      </x:c>
      <x:c r="N23" s="72" t="n">
        <x:f>SUMIFS('2023'!$H$34:$H$179,'2023'!$C$34:$C$179,$A23,'2023'!$G$34:$G$179,"TE")</x:f>
        <x:v>3</x:v>
      </x:c>
      <x:c r="O23" s="64" t="n">
        <x:f>COUNTIFS('2023'!$C$34:$C$179,$A23,'2023'!$H$34:$H$179,"&gt;=40")</x:f>
        <x:v>1</x:v>
      </x:c>
      <x:c r="P23" s="64" t="n">
        <x:v>40</x:v>
      </x:c>
      <x:c r="Q23" s="32" t="str">
        <x:v>Alexander Mattison ($43)</x:v>
      </x:c>
    </x:row>
    <x:row r="24">
      <x:c r="A24" s="32" t="str">
        <x:v>Ian Bates</x:v>
      </x:c>
      <x:c r="B24" s="64" t="n">
        <x:v>15</x:v>
      </x:c>
      <x:c r="C24" s="64" t="n">
        <x:v>2024</x:v>
      </x:c>
      <x:c r="D24" s="32" t="str">
        <x:v>Let James COOK 🍳🙏🏻🙏🏻</x:v>
      </x:c>
      <x:c r="E24" s="64" t="n">
        <x:f>COUNTIF('2024'!$C$7:$C$30,$A24)</x:f>
        <x:v>2</x:v>
      </x:c>
      <x:c r="F24" s="72" t="n">
        <x:f>SUMIF('2024'!$C$7:$C$30,$A24,'2024'!$H$7:$H$30)</x:f>
        <x:v>53</x:v>
      </x:c>
      <x:c r="G24" s="73" t="n">
        <x:f>COUNTIF('2024'!$C$34:$C$179,$A24)</x:f>
        <x:v>12</x:v>
      </x:c>
      <x:c r="H24" s="72" t="n">
        <x:f>SUMIF('2024'!$C$34:$C$179,$A24,'2024'!$H$34:$H$179)</x:f>
        <x:v>147</x:v>
      </x:c>
      <x:c r="I24" s="72" t="n">
        <x:f>F24+H24</x:f>
        <x:v>200</x:v>
      </x:c>
      <x:c r="J24" s="74" t="n">
        <x:f>IF(G24=0,0,H24/G24)</x:f>
        <x:v>12.25</x:v>
      </x:c>
      <x:c r="K24" s="72" t="n">
        <x:f>SUMIFS('2024'!$H$34:$H$179,'2024'!$C$34:$C$179,$A24,'2024'!$G$34:$G$179,"QB")</x:f>
        <x:v>10</x:v>
      </x:c>
      <x:c r="L24" s="72" t="n">
        <x:f>SUMIFS('2024'!$H$34:$H$179,'2024'!$C$34:$C$179,$A24,'2024'!$G$34:$G$179,"RB")</x:f>
        <x:v>4</x:v>
      </x:c>
      <x:c r="M24" s="72" t="n">
        <x:f>SUMIFS('2024'!$H$34:$H$179,'2024'!$C$34:$C$179,$A24,'2024'!$G$34:$G$179,"WR")</x:f>
        <x:v>111</x:v>
      </x:c>
      <x:c r="N24" s="72" t="n">
        <x:f>SUMIFS('2024'!$H$34:$H$179,'2024'!$C$34:$C$179,$A24,'2024'!$G$34:$G$179,"TE")</x:f>
        <x:v>14</x:v>
      </x:c>
      <x:c r="O24" s="64" t="n">
        <x:f>COUNTIFS('2024'!$C$34:$C$179,$A24,'2024'!$H$34:$H$179,"&gt;=40")</x:f>
        <x:v>1</x:v>
      </x:c>
      <x:c r="P24" s="64" t="n">
        <x:v>32</x:v>
      </x:c>
      <x:c r="Q24" s="32" t="str">
        <x:v>Amon-Ra St. Brown ($63)</x:v>
      </x:c>
    </x:row>
    <x:row r="25">
      <x:c r="A25" s="32" t="str">
        <x:v>Ian Bates</x:v>
      </x:c>
      <x:c r="B25" s="64" t="n">
        <x:v>15</x:v>
      </x:c>
      <x:c r="C25" s="64" t="n">
        <x:v>2025</x:v>
      </x:c>
      <x:c r="D25" s="32" t="str">
        <x:v>Mr Rogers' Naberless Naberhood</x:v>
      </x:c>
      <x:c r="E25" s="64" t="n">
        <x:f>COUNTIF('2025'!$C$7:$C$30,$A25)</x:f>
        <x:v>2</x:v>
      </x:c>
      <x:c r="F25" s="72" t="n">
        <x:f>SUMIF('2025'!$C$7:$C$30,$A25,'2025'!$H$7:$H$30)</x:f>
        <x:v>44</x:v>
      </x:c>
      <x:c r="G25" s="73" t="n">
        <x:f>COUNTIF('2025'!$C$34:$C$179,$A25)</x:f>
        <x:v>12</x:v>
      </x:c>
      <x:c r="H25" s="72" t="n">
        <x:f>SUMIF('2025'!$C$34:$C$179,$A25,'2025'!$H$34:$H$179)</x:f>
        <x:v>156</x:v>
      </x:c>
      <x:c r="I25" s="72" t="n">
        <x:f>F25+H25</x:f>
        <x:v>200</x:v>
      </x:c>
      <x:c r="J25" s="74" t="n">
        <x:f>IF(G25=0,0,H25/G25)</x:f>
        <x:v>13</x:v>
      </x:c>
      <x:c r="K25" s="72" t="n">
        <x:f>SUMIFS('2025'!$H$34:$H$179,'2025'!$C$34:$C$179,$A25,'2025'!$G$34:$G$179,"QB")</x:f>
        <x:v>15</x:v>
      </x:c>
      <x:c r="L25" s="72" t="n">
        <x:f>SUMIFS('2025'!$H$34:$H$179,'2025'!$C$34:$C$179,$A25,'2025'!$G$34:$G$179,"RB")</x:f>
        <x:v>96</x:v>
      </x:c>
      <x:c r="M25" s="72" t="n">
        <x:f>SUMIFS('2025'!$H$34:$H$179,'2025'!$C$34:$C$179,$A25,'2025'!$G$34:$G$179,"WR")</x:f>
        <x:v>31</x:v>
      </x:c>
      <x:c r="N25" s="72" t="n">
        <x:f>SUMIFS('2025'!$H$34:$H$179,'2025'!$C$34:$C$179,$A25,'2025'!$G$34:$G$179,"TE")</x:f>
        <x:v>3</x:v>
      </x:c>
      <x:c r="O25" s="64" t="n">
        <x:f>COUNTIFS('2025'!$C$34:$C$179,$A25,'2025'!$H$34:$H$179,"&gt;=40")</x:f>
        <x:v>2</x:v>
      </x:c>
      <x:c r="P25" s="64" t="n">
        <x:v>31</x:v>
      </x:c>
      <x:c r="Q25" s="32" t="str">
        <x:v>Josh Jacobs ($47)</x:v>
      </x:c>
    </x:row>
    <x:row r="26">
      <x:c r="A26" s="32" t="str">
        <x:v>Kendall Bicknell</x:v>
      </x:c>
      <x:c r="B26" s="64" t="n">
        <x:v>4</x:v>
      </x:c>
      <x:c r="C26" s="64" t="n">
        <x:v>2023</x:v>
      </x:c>
      <x:c r="D26" s="32" t="str">
        <x:v>The Toothbrush Violater</x:v>
      </x:c>
      <x:c r="E26" s="64" t="n">
        <x:f>COUNTIF('2023'!$C$7:$C$30,$A26)</x:f>
        <x:v>2</x:v>
      </x:c>
      <x:c r="F26" s="72" t="n">
        <x:f>SUMIF('2023'!$C$7:$C$30,$A26,'2023'!$H$7:$H$30)</x:f>
        <x:v>64</x:v>
      </x:c>
      <x:c r="G26" s="73" t="n">
        <x:f>COUNTIF('2023'!$C$34:$C$179,$A26)</x:f>
        <x:v>12</x:v>
      </x:c>
      <x:c r="H26" s="72" t="n">
        <x:f>SUMIF('2023'!$C$34:$C$179,$A26,'2023'!$H$34:$H$179)</x:f>
        <x:v>136</x:v>
      </x:c>
      <x:c r="I26" s="72" t="n">
        <x:f>F26+H26</x:f>
        <x:v>200</x:v>
      </x:c>
      <x:c r="J26" s="74" t="n">
        <x:f>IF(G26=0,0,H26/G26)</x:f>
        <x:v>11.333333333333334</x:v>
      </x:c>
      <x:c r="K26" s="72" t="n">
        <x:f>SUMIFS('2023'!$H$34:$H$179,'2023'!$C$34:$C$179,$A26,'2023'!$G$34:$G$179,"QB")</x:f>
        <x:v>24</x:v>
      </x:c>
      <x:c r="L26" s="72" t="n">
        <x:f>SUMIFS('2023'!$H$34:$H$179,'2023'!$C$34:$C$179,$A26,'2023'!$G$34:$G$179,"RB")</x:f>
        <x:v>19</x:v>
      </x:c>
      <x:c r="M26" s="72" t="n">
        <x:f>SUMIFS('2023'!$H$34:$H$179,'2023'!$C$34:$C$179,$A26,'2023'!$G$34:$G$179,"WR")</x:f>
        <x:v>80</x:v>
      </x:c>
      <x:c r="N26" s="72" t="n">
        <x:f>SUMIFS('2023'!$H$34:$H$179,'2023'!$C$34:$C$179,$A26,'2023'!$G$34:$G$179,"TE")</x:f>
        <x:v>10</x:v>
      </x:c>
      <x:c r="O26" s="64" t="n">
        <x:f>COUNTIFS('2023'!$C$34:$C$179,$A26,'2023'!$H$34:$H$179,"&gt;=40")</x:f>
        <x:v>0</x:v>
      </x:c>
      <x:c r="P26" s="64" t="n">
        <x:v>31</x:v>
      </x:c>
      <x:c r="Q26" s="32" t="str">
        <x:v>Jaylen Waddle ($36)</x:v>
      </x:c>
    </x:row>
    <x:row r="27">
      <x:c r="A27" s="32" t="str">
        <x:v>Kendall Bicknell</x:v>
      </x:c>
      <x:c r="B27" s="64" t="n">
        <x:v>4</x:v>
      </x:c>
      <x:c r="C27" s="64" t="n">
        <x:v>2024</x:v>
      </x:c>
      <x:c r="D27" s="32" t="str">
        <x:v>LaPorta Potty</x:v>
      </x:c>
      <x:c r="E27" s="64" t="n">
        <x:f>COUNTIF('2024'!$C$7:$C$30,$A27)</x:f>
        <x:v>2</x:v>
      </x:c>
      <x:c r="F27" s="72" t="n">
        <x:f>SUMIF('2024'!$C$7:$C$30,$A27,'2024'!$H$7:$H$30)</x:f>
        <x:v>22</x:v>
      </x:c>
      <x:c r="G27" s="73" t="n">
        <x:f>COUNTIF('2024'!$C$34:$C$179,$A27)</x:f>
        <x:v>12</x:v>
      </x:c>
      <x:c r="H27" s="72" t="n">
        <x:f>SUMIF('2024'!$C$34:$C$179,$A27,'2024'!$H$34:$H$179)</x:f>
        <x:v>176</x:v>
      </x:c>
      <x:c r="I27" s="72" t="n">
        <x:f>F27+H27</x:f>
        <x:v>198</x:v>
      </x:c>
      <x:c r="J27" s="74" t="n">
        <x:f>IF(G27=0,0,H27/G27)</x:f>
        <x:v>14.666666666666666</x:v>
      </x:c>
      <x:c r="K27" s="72" t="n">
        <x:f>SUMIFS('2024'!$H$34:$H$179,'2024'!$C$34:$C$179,$A27,'2024'!$G$34:$G$179,"QB")</x:f>
        <x:v>31</x:v>
      </x:c>
      <x:c r="L27" s="72" t="n">
        <x:f>SUMIFS('2024'!$H$34:$H$179,'2024'!$C$34:$C$179,$A27,'2024'!$G$34:$G$179,"RB")</x:f>
        <x:v>43</x:v>
      </x:c>
      <x:c r="M27" s="72" t="n">
        <x:f>SUMIFS('2024'!$H$34:$H$179,'2024'!$C$34:$C$179,$A27,'2024'!$G$34:$G$179,"WR")</x:f>
        <x:v>67</x:v>
      </x:c>
      <x:c r="N27" s="72" t="n">
        <x:f>SUMIFS('2024'!$H$34:$H$179,'2024'!$C$34:$C$179,$A27,'2024'!$G$34:$G$179,"TE")</x:f>
        <x:v>25</x:v>
      </x:c>
      <x:c r="O27" s="64" t="n">
        <x:f>COUNTIFS('2024'!$C$34:$C$179,$A27,'2024'!$H$34:$H$179,"&gt;=40")</x:f>
        <x:v>0</x:v>
      </x:c>
      <x:c r="P27" s="64" t="n">
        <x:v>25</x:v>
      </x:c>
      <x:c r="Q27" s="32" t="str">
        <x:v>Cooper Kupp ($30)</x:v>
      </x:c>
    </x:row>
    <x:row r="28">
      <x:c r="A28" s="32" t="str">
        <x:v>Kendall Bicknell</x:v>
      </x:c>
      <x:c r="B28" s="64" t="n">
        <x:v>4</x:v>
      </x:c>
      <x:c r="C28" s="64" t="n">
        <x:v>2025</x:v>
      </x:c>
      <x:c r="D28" s="32" t="str">
        <x:v>Creatine Caucasians</x:v>
      </x:c>
      <x:c r="E28" s="64" t="n">
        <x:f>COUNTIF('2025'!$C$7:$C$30,$A28)</x:f>
        <x:v>2</x:v>
      </x:c>
      <x:c r="F28" s="72" t="n">
        <x:f>SUMIF('2025'!$C$7:$C$30,$A28,'2025'!$H$7:$H$30)</x:f>
        <x:v>32</x:v>
      </x:c>
      <x:c r="G28" s="73" t="n">
        <x:f>COUNTIF('2025'!$C$34:$C$179,$A28)</x:f>
        <x:v>12</x:v>
      </x:c>
      <x:c r="H28" s="72" t="n">
        <x:f>SUMIF('2025'!$C$34:$C$179,$A28,'2025'!$H$34:$H$179)</x:f>
        <x:v>167</x:v>
      </x:c>
      <x:c r="I28" s="72" t="n">
        <x:f>F28+H28</x:f>
        <x:v>199</x:v>
      </x:c>
      <x:c r="J28" s="74" t="n">
        <x:f>IF(G28=0,0,H28/G28)</x:f>
        <x:v>13.916666666666666</x:v>
      </x:c>
      <x:c r="K28" s="72" t="n">
        <x:f>SUMIFS('2025'!$H$34:$H$179,'2025'!$C$34:$C$179,$A28,'2025'!$G$34:$G$179,"QB")</x:f>
        <x:v>6</x:v>
      </x:c>
      <x:c r="L28" s="72" t="n">
        <x:f>SUMIFS('2025'!$H$34:$H$179,'2025'!$C$34:$C$179,$A28,'2025'!$G$34:$G$179,"RB")</x:f>
        <x:v>72</x:v>
      </x:c>
      <x:c r="M28" s="72" t="n">
        <x:f>SUMIFS('2025'!$H$34:$H$179,'2025'!$C$34:$C$179,$A28,'2025'!$G$34:$G$179,"WR")</x:f>
        <x:v>81</x:v>
      </x:c>
      <x:c r="N28" s="72" t="n">
        <x:f>SUMIFS('2025'!$H$34:$H$179,'2025'!$C$34:$C$179,$A28,'2025'!$G$34:$G$179,"TE")</x:f>
        <x:v>4</x:v>
      </x:c>
      <x:c r="O28" s="64" t="n">
        <x:f>COUNTIFS('2025'!$C$34:$C$179,$A28,'2025'!$H$34:$H$179,"&gt;=40")</x:f>
        <x:v>1</x:v>
      </x:c>
      <x:c r="P28" s="64" t="n">
        <x:v>23</x:v>
      </x:c>
      <x:c r="Q28" s="32" t="str">
        <x:v>Omarion Hampton ($43)</x:v>
      </x:c>
    </x:row>
    <x:row r="29">
      <x:c r="A29" s="32" t="str">
        <x:v>Kevin Kurian</x:v>
      </x:c>
      <x:c r="B29" s="64" t="n">
        <x:v>9</x:v>
      </x:c>
      <x:c r="C29" s="64" t="n">
        <x:v>2025</x:v>
      </x:c>
      <x:c r="D29" s="32" t="str">
        <x:v>Torsades de PAT</x:v>
      </x:c>
      <x:c r="E29" s="64" t="n">
        <x:f>COUNTIF('2025'!$C$7:$C$30,$A29)</x:f>
        <x:v>0</x:v>
      </x:c>
      <x:c r="F29" s="72" t="n">
        <x:f>SUMIF('2025'!$C$7:$C$30,$A29,'2025'!$H$7:$H$30)</x:f>
        <x:v>0</x:v>
      </x:c>
      <x:c r="G29" s="73" t="n">
        <x:f>COUNTIF('2025'!$C$34:$C$179,$A29)</x:f>
        <x:v>14</x:v>
      </x:c>
      <x:c r="H29" s="72" t="n">
        <x:f>SUMIF('2025'!$C$34:$C$179,$A29,'2025'!$H$34:$H$179)</x:f>
        <x:v>197</x:v>
      </x:c>
      <x:c r="I29" s="72" t="n">
        <x:f>F29+H29</x:f>
        <x:v>197</x:v>
      </x:c>
      <x:c r="J29" s="74" t="n">
        <x:f>IF(G29=0,0,H29/G29)</x:f>
        <x:v>14.071428571428571</x:v>
      </x:c>
      <x:c r="K29" s="72" t="n">
        <x:f>SUMIFS('2025'!$H$34:$H$179,'2025'!$C$34:$C$179,$A29,'2025'!$G$34:$G$179,"QB")</x:f>
        <x:v>10</x:v>
      </x:c>
      <x:c r="L29" s="72" t="n">
        <x:f>SUMIFS('2025'!$H$34:$H$179,'2025'!$C$34:$C$179,$A29,'2025'!$G$34:$G$179,"RB")</x:f>
        <x:v>108</x:v>
      </x:c>
      <x:c r="M29" s="72" t="n">
        <x:f>SUMIFS('2025'!$H$34:$H$179,'2025'!$C$34:$C$179,$A29,'2025'!$G$34:$G$179,"WR")</x:f>
        <x:v>57</x:v>
      </x:c>
      <x:c r="N29" s="72" t="n">
        <x:f>SUMIFS('2025'!$H$34:$H$179,'2025'!$C$34:$C$179,$A29,'2025'!$G$34:$G$179,"TE")</x:f>
        <x:v>20</x:v>
      </x:c>
      <x:c r="O29" s="64" t="n">
        <x:f>COUNTIFS('2025'!$C$34:$C$179,$A29,'2025'!$H$34:$H$179,"&gt;=40")</x:f>
        <x:v>1</x:v>
      </x:c>
      <x:c r="P29" s="64" t="n">
        <x:v>24</x:v>
      </x:c>
      <x:c r="Q29" s="32" t="str">
        <x:v>Bijan Robinson ($76)</x:v>
      </x:c>
    </x:row>
    <x:row r="30">
      <x:c r="A30" s="32" t="str">
        <x:v>samir gandhi</x:v>
      </x:c>
      <x:c r="B30" s="64" t="n">
        <x:v>9</x:v>
      </x:c>
      <x:c r="C30" s="64" t="n">
        <x:v>2023</x:v>
      </x:c>
      <x:c r="D30" s="32" t="str">
        <x:v>Old Money</x:v>
      </x:c>
      <x:c r="E30" s="64" t="n">
        <x:f>COUNTIF('2023'!$C$7:$C$30,$A30)</x:f>
        <x:v>2</x:v>
      </x:c>
      <x:c r="F30" s="72" t="n">
        <x:f>SUMIF('2023'!$C$7:$C$30,$A30,'2023'!$H$7:$H$30)</x:f>
        <x:v>24</x:v>
      </x:c>
      <x:c r="G30" s="73" t="n">
        <x:f>COUNTIF('2023'!$C$34:$C$179,$A30)</x:f>
        <x:v>12</x:v>
      </x:c>
      <x:c r="H30" s="72" t="n">
        <x:f>SUMIF('2023'!$C$34:$C$179,$A30,'2023'!$H$34:$H$179)</x:f>
        <x:v>151</x:v>
      </x:c>
      <x:c r="I30" s="72" t="n">
        <x:f>F30+H30</x:f>
        <x:v>175</x:v>
      </x:c>
      <x:c r="J30" s="74" t="n">
        <x:f>IF(G30=0,0,H30/G30)</x:f>
        <x:v>12.583333333333334</x:v>
      </x:c>
      <x:c r="K30" s="72" t="n">
        <x:f>SUMIFS('2023'!$H$34:$H$179,'2023'!$C$34:$C$179,$A30,'2023'!$G$34:$G$179,"QB")</x:f>
        <x:v>31</x:v>
      </x:c>
      <x:c r="L30" s="72" t="n">
        <x:f>SUMIFS('2023'!$H$34:$H$179,'2023'!$C$34:$C$179,$A30,'2023'!$G$34:$G$179,"RB")</x:f>
        <x:v>45</x:v>
      </x:c>
      <x:c r="M30" s="72" t="n">
        <x:f>SUMIFS('2023'!$H$34:$H$179,'2023'!$C$34:$C$179,$A30,'2023'!$G$34:$G$179,"WR")</x:f>
        <x:v>51</x:v>
      </x:c>
      <x:c r="N30" s="72" t="n">
        <x:f>SUMIFS('2023'!$H$34:$H$179,'2023'!$C$34:$C$179,$A30,'2023'!$G$34:$G$179,"TE")</x:f>
        <x:v>12</x:v>
      </x:c>
      <x:c r="O30" s="64" t="n">
        <x:f>COUNTIFS('2023'!$C$34:$C$179,$A30,'2023'!$H$34:$H$179,"&gt;=40")</x:f>
        <x:v>1</x:v>
      </x:c>
      <x:c r="P30" s="64" t="n">
        <x:v>34</x:v>
      </x:c>
      <x:c r="Q30" s="32" t="str">
        <x:v>Tee Higgins ($43)</x:v>
      </x:c>
    </x:row>
    <x:row r="31">
      <x:c r="A31" s="32" t="str">
        <x:v>samir gandhi</x:v>
      </x:c>
      <x:c r="B31" s="64" t="n">
        <x:v>9</x:v>
      </x:c>
      <x:c r="C31" s="64" t="n">
        <x:v>2024</x:v>
      </x:c>
      <x:c r="D31" s="32" t="str">
        <x:v>Messenger Pigeons</x:v>
      </x:c>
      <x:c r="E31" s="64" t="n">
        <x:f>COUNTIF('2024'!$C$7:$C$30,$A31)</x:f>
        <x:v>1</x:v>
      </x:c>
      <x:c r="F31" s="72" t="n">
        <x:f>SUMIF('2024'!$C$7:$C$30,$A31,'2024'!$H$7:$H$30)</x:f>
        <x:v>15</x:v>
      </x:c>
      <x:c r="G31" s="73" t="n">
        <x:f>COUNTIF('2024'!$C$34:$C$179,$A31)</x:f>
        <x:v>13</x:v>
      </x:c>
      <x:c r="H31" s="72" t="n">
        <x:f>SUMIF('2024'!$C$34:$C$179,$A31,'2024'!$H$34:$H$179)</x:f>
        <x:v>183</x:v>
      </x:c>
      <x:c r="I31" s="72" t="n">
        <x:f>F31+H31</x:f>
        <x:v>198</x:v>
      </x:c>
      <x:c r="J31" s="74" t="n">
        <x:f>IF(G31=0,0,H31/G31)</x:f>
        <x:v>14.076923076923077</x:v>
      </x:c>
      <x:c r="K31" s="72" t="n">
        <x:f>SUMIFS('2024'!$H$34:$H$179,'2024'!$C$34:$C$179,$A31,'2024'!$G$34:$G$179,"QB")</x:f>
        <x:v>1</x:v>
      </x:c>
      <x:c r="L31" s="72" t="n">
        <x:f>SUMIFS('2024'!$H$34:$H$179,'2024'!$C$34:$C$179,$A31,'2024'!$G$34:$G$179,"RB")</x:f>
        <x:v>78</x:v>
      </x:c>
      <x:c r="M31" s="72" t="n">
        <x:f>SUMIFS('2024'!$H$34:$H$179,'2024'!$C$34:$C$179,$A31,'2024'!$G$34:$G$179,"WR")</x:f>
        <x:v>89</x:v>
      </x:c>
      <x:c r="N31" s="72" t="n">
        <x:f>SUMIFS('2024'!$H$34:$H$179,'2024'!$C$34:$C$179,$A31,'2024'!$G$34:$G$179,"TE")</x:f>
        <x:v>3</x:v>
      </x:c>
      <x:c r="O31" s="64" t="n">
        <x:f>COUNTIFS('2024'!$C$34:$C$179,$A31,'2024'!$H$34:$H$179,"&gt;=40")</x:f>
        <x:v>1</x:v>
      </x:c>
      <x:c r="P31" s="64" t="n">
        <x:v>26</x:v>
      </x:c>
      <x:c r="Q31" s="32" t="str">
        <x:v>Saquon Barkley ($65)</x:v>
      </x:c>
    </x:row>
    <x:row r="32">
      <x:c r="A32" s="32" t="str">
        <x:v>sangfroid bang</x:v>
      </x:c>
      <x:c r="B32" s="64" t="n">
        <x:v>6</x:v>
      </x:c>
      <x:c r="C32" s="64" t="n">
        <x:v>2023</x:v>
      </x:c>
      <x:c r="D32" s="32" t="str">
        <x:v>Uncle C-ass</x:v>
      </x:c>
      <x:c r="E32" s="64" t="n">
        <x:f>COUNTIF('2023'!$C$7:$C$30,$A32)</x:f>
        <x:v>2</x:v>
      </x:c>
      <x:c r="F32" s="72" t="n">
        <x:f>SUMIF('2023'!$C$7:$C$30,$A32,'2023'!$H$7:$H$30)</x:f>
        <x:v>34</x:v>
      </x:c>
      <x:c r="G32" s="73" t="n">
        <x:f>COUNTIF('2023'!$C$34:$C$179,$A32)</x:f>
        <x:v>12</x:v>
      </x:c>
      <x:c r="H32" s="72" t="n">
        <x:f>SUMIF('2023'!$C$34:$C$179,$A32,'2023'!$H$34:$H$179)</x:f>
        <x:v>165</x:v>
      </x:c>
      <x:c r="I32" s="72" t="n">
        <x:f>F32+H32</x:f>
        <x:v>199</x:v>
      </x:c>
      <x:c r="J32" s="74" t="n">
        <x:f>IF(G32=0,0,H32/G32)</x:f>
        <x:v>13.75</x:v>
      </x:c>
      <x:c r="K32" s="72" t="n">
        <x:f>SUMIFS('2023'!$H$34:$H$179,'2023'!$C$34:$C$179,$A32,'2023'!$G$34:$G$179,"QB")</x:f>
        <x:v>1</x:v>
      </x:c>
      <x:c r="L32" s="72" t="n">
        <x:f>SUMIFS('2023'!$H$34:$H$179,'2023'!$C$34:$C$179,$A32,'2023'!$G$34:$G$179,"RB")</x:f>
        <x:v>112</x:v>
      </x:c>
      <x:c r="M32" s="72" t="n">
        <x:f>SUMIFS('2023'!$H$34:$H$179,'2023'!$C$34:$C$179,$A32,'2023'!$G$34:$G$179,"WR")</x:f>
        <x:v>50</x:v>
      </x:c>
      <x:c r="N32" s="72" t="n">
        <x:f>SUMIFS('2023'!$H$34:$H$179,'2023'!$C$34:$C$179,$A32,'2023'!$G$34:$G$179,"TE")</x:f>
        <x:v>0</x:v>
      </x:c>
      <x:c r="O32" s="64" t="n">
        <x:f>COUNTIFS('2023'!$C$34:$C$179,$A32,'2023'!$H$34:$H$179,"&gt;=40")</x:f>
        <x:v>2</x:v>
      </x:c>
      <x:c r="P32" s="64" t="n">
        <x:v>25</x:v>
      </x:c>
      <x:c r="Q32" s="32" t="str">
        <x:v>Bijan Robinson ($61)</x:v>
      </x:c>
    </x:row>
    <x:row r="33">
      <x:c r="A33" s="32" t="str">
        <x:v>sangfroid bang</x:v>
      </x:c>
      <x:c r="B33" s="64" t="n">
        <x:v>6</x:v>
      </x:c>
      <x:c r="C33" s="64" t="n">
        <x:v>2024</x:v>
      </x:c>
      <x:c r="D33" s="32" t="str">
        <x:v>Medically Cleared 2 Crush Dix</x:v>
      </x:c>
      <x:c r="E33" s="64" t="n">
        <x:f>COUNTIF('2024'!$C$7:$C$30,$A33)</x:f>
        <x:v>2</x:v>
      </x:c>
      <x:c r="F33" s="72" t="n">
        <x:f>SUMIF('2024'!$C$7:$C$30,$A33,'2024'!$H$7:$H$30)</x:f>
        <x:v>42</x:v>
      </x:c>
      <x:c r="G33" s="73" t="n">
        <x:f>COUNTIF('2024'!$C$34:$C$179,$A33)</x:f>
        <x:v>12</x:v>
      </x:c>
      <x:c r="H33" s="72" t="n">
        <x:f>SUMIF('2024'!$C$34:$C$179,$A33,'2024'!$H$34:$H$179)</x:f>
        <x:v>150</x:v>
      </x:c>
      <x:c r="I33" s="72" t="n">
        <x:f>F33+H33</x:f>
        <x:v>192</x:v>
      </x:c>
      <x:c r="J33" s="74" t="n">
        <x:f>IF(G33=0,0,H33/G33)</x:f>
        <x:v>12.5</x:v>
      </x:c>
      <x:c r="K33" s="72" t="n">
        <x:f>SUMIFS('2024'!$H$34:$H$179,'2024'!$C$34:$C$179,$A33,'2024'!$G$34:$G$179,"QB")</x:f>
        <x:v>1</x:v>
      </x:c>
      <x:c r="L33" s="72" t="n">
        <x:f>SUMIFS('2024'!$H$34:$H$179,'2024'!$C$34:$C$179,$A33,'2024'!$G$34:$G$179,"RB")</x:f>
        <x:v>71</x:v>
      </x:c>
      <x:c r="M33" s="72" t="n">
        <x:f>SUMIFS('2024'!$H$34:$H$179,'2024'!$C$34:$C$179,$A33,'2024'!$G$34:$G$179,"WR")</x:f>
        <x:v>51</x:v>
      </x:c>
      <x:c r="N33" s="72" t="n">
        <x:f>SUMIFS('2024'!$H$34:$H$179,'2024'!$C$34:$C$179,$A33,'2024'!$G$34:$G$179,"TE")</x:f>
        <x:v>24</x:v>
      </x:c>
      <x:c r="O33" s="64" t="n">
        <x:f>COUNTIFS('2024'!$C$34:$C$179,$A33,'2024'!$H$34:$H$179,"&gt;=40")</x:f>
        <x:v>1</x:v>
      </x:c>
      <x:c r="P33" s="64" t="n">
        <x:v>33</x:v>
      </x:c>
      <x:c r="Q33" s="32" t="str">
        <x:v>Jahmyr Gibbs ($51)</x:v>
      </x:c>
    </x:row>
    <x:row r="34">
      <x:c r="A34" s="32" t="str">
        <x:v>sangfroid bang</x:v>
      </x:c>
      <x:c r="B34" s="64" t="n">
        <x:v>6</x:v>
      </x:c>
      <x:c r="C34" s="64" t="n">
        <x:v>2025</x:v>
      </x:c>
      <x:c r="D34" s="32" t="str">
        <x:v>Moaning Myrtle</x:v>
      </x:c>
      <x:c r="E34" s="64" t="n">
        <x:f>COUNTIF('2025'!$C$7:$C$30,$A34)</x:f>
        <x:v>2</x:v>
      </x:c>
      <x:c r="F34" s="72" t="n">
        <x:f>SUMIF('2025'!$C$7:$C$30,$A34,'2025'!$H$7:$H$30)</x:f>
        <x:v>82</x:v>
      </x:c>
      <x:c r="G34" s="73" t="n">
        <x:f>COUNTIF('2025'!$C$34:$C$179,$A34)</x:f>
        <x:v>12</x:v>
      </x:c>
      <x:c r="H34" s="72" t="n">
        <x:f>SUMIF('2025'!$C$34:$C$179,$A34,'2025'!$H$34:$H$179)</x:f>
        <x:v>118</x:v>
      </x:c>
      <x:c r="I34" s="72" t="n">
        <x:f>F34+H34</x:f>
        <x:v>200</x:v>
      </x:c>
      <x:c r="J34" s="74" t="n">
        <x:f>IF(G34=0,0,H34/G34)</x:f>
        <x:v>9.833333333333334</x:v>
      </x:c>
      <x:c r="K34" s="72" t="n">
        <x:f>SUMIFS('2025'!$H$34:$H$179,'2025'!$C$34:$C$179,$A34,'2025'!$G$34:$G$179,"QB")</x:f>
        <x:v>24</x:v>
      </x:c>
      <x:c r="L34" s="72" t="n">
        <x:f>SUMIFS('2025'!$H$34:$H$179,'2025'!$C$34:$C$179,$A34,'2025'!$G$34:$G$179,"RB")</x:f>
        <x:v>56</x:v>
      </x:c>
      <x:c r="M34" s="72" t="n">
        <x:f>SUMIFS('2025'!$H$34:$H$179,'2025'!$C$34:$C$179,$A34,'2025'!$G$34:$G$179,"WR")</x:f>
        <x:v>34</x:v>
      </x:c>
      <x:c r="N34" s="72" t="n">
        <x:f>SUMIFS('2025'!$H$34:$H$179,'2025'!$C$34:$C$179,$A34,'2025'!$G$34:$G$179,"TE")</x:f>
        <x:v>2</x:v>
      </x:c>
      <x:c r="O34" s="64" t="n">
        <x:f>COUNTIFS('2025'!$C$34:$C$179,$A34,'2025'!$H$34:$H$179,"&gt;=40")</x:f>
        <x:v>0</x:v>
      </x:c>
      <x:c r="P34" s="64" t="n">
        <x:v>37</x:v>
      </x:c>
      <x:c r="Q34" s="32" t="str">
        <x:v>TreVeyon Henderson ($38)</x:v>
      </x:c>
    </x:row>
    <x:row r="35">
      <x:c r="A35" s="32" t="str">
        <x:v>Scott McKnight</x:v>
      </x:c>
      <x:c r="B35" s="64" t="n">
        <x:v>17</x:v>
      </x:c>
      <x:c r="C35" s="64" t="n">
        <x:v>2023</x:v>
      </x:c>
      <x:c r="D35" s="32" t="str">
        <x:v>Trophy Mahome Save me</x:v>
      </x:c>
      <x:c r="E35" s="64" t="n">
        <x:f>COUNTIF('2023'!$C$7:$C$30,$A35)</x:f>
        <x:v>2</x:v>
      </x:c>
      <x:c r="F35" s="72" t="n">
        <x:f>SUMIF('2023'!$C$7:$C$30,$A35,'2023'!$H$7:$H$30)</x:f>
        <x:v>96</x:v>
      </x:c>
      <x:c r="G35" s="73" t="n">
        <x:f>COUNTIF('2023'!$C$34:$C$179,$A35)</x:f>
        <x:v>12</x:v>
      </x:c>
      <x:c r="H35" s="72" t="n">
        <x:f>SUMIF('2023'!$C$34:$C$179,$A35,'2023'!$H$34:$H$179)</x:f>
        <x:v>104</x:v>
      </x:c>
      <x:c r="I35" s="72" t="n">
        <x:f>F35+H35</x:f>
        <x:v>200</x:v>
      </x:c>
      <x:c r="J35" s="74" t="n">
        <x:f>IF(G35=0,0,H35/G35)</x:f>
        <x:v>8.666666666666666</x:v>
      </x:c>
      <x:c r="K35" s="72" t="n">
        <x:f>SUMIFS('2023'!$H$34:$H$179,'2023'!$C$34:$C$179,$A35,'2023'!$G$34:$G$179,"QB")</x:f>
        <x:v>36</x:v>
      </x:c>
      <x:c r="L35" s="72" t="n">
        <x:f>SUMIFS('2023'!$H$34:$H$179,'2023'!$C$34:$C$179,$A35,'2023'!$G$34:$G$179,"RB")</x:f>
        <x:v>45</x:v>
      </x:c>
      <x:c r="M35" s="72" t="n">
        <x:f>SUMIFS('2023'!$H$34:$H$179,'2023'!$C$34:$C$179,$A35,'2023'!$G$34:$G$179,"WR")</x:f>
        <x:v>21</x:v>
      </x:c>
      <x:c r="N35" s="72" t="n">
        <x:f>SUMIFS('2023'!$H$34:$H$179,'2023'!$C$34:$C$179,$A35,'2023'!$G$34:$G$179,"TE")</x:f>
        <x:v>0</x:v>
      </x:c>
      <x:c r="O35" s="64" t="n">
        <x:f>COUNTIFS('2023'!$C$34:$C$179,$A35,'2023'!$H$34:$H$179,"&gt;=40")</x:f>
        <x:v>1</x:v>
      </x:c>
      <x:c r="P35" s="64" t="n">
        <x:v>36</x:v>
      </x:c>
      <x:c r="Q35" s="32" t="str">
        <x:v>Aaron Jones ($40)</x:v>
      </x:c>
    </x:row>
    <x:row r="36">
      <x:c r="A36" s="32" t="str">
        <x:v>Scott McKnight</x:v>
      </x:c>
      <x:c r="B36" s="64" t="n">
        <x:v>17</x:v>
      </x:c>
      <x:c r="C36" s="64" t="n">
        <x:v>2024</x:v>
      </x:c>
      <x:c r="D36" s="32" t="str">
        <x:v>Mahomeless</x:v>
      </x:c>
      <x:c r="E36" s="64" t="n">
        <x:f>COUNTIF('2024'!$C$7:$C$30,$A36)</x:f>
        <x:v>2</x:v>
      </x:c>
      <x:c r="F36" s="72" t="n">
        <x:f>SUMIF('2024'!$C$7:$C$30,$A36,'2024'!$H$7:$H$30)</x:f>
        <x:v>29</x:v>
      </x:c>
      <x:c r="G36" s="73" t="n">
        <x:f>COUNTIF('2024'!$C$34:$C$179,$A36)</x:f>
        <x:v>12</x:v>
      </x:c>
      <x:c r="H36" s="72" t="n">
        <x:f>SUMIF('2024'!$C$34:$C$179,$A36,'2024'!$H$34:$H$179)</x:f>
        <x:v>170</x:v>
      </x:c>
      <x:c r="I36" s="72" t="n">
        <x:f>F36+H36</x:f>
        <x:v>199</x:v>
      </x:c>
      <x:c r="J36" s="74" t="n">
        <x:f>IF(G36=0,0,H36/G36)</x:f>
        <x:v>14.166666666666666</x:v>
      </x:c>
      <x:c r="K36" s="72" t="n">
        <x:f>SUMIFS('2024'!$H$34:$H$179,'2024'!$C$34:$C$179,$A36,'2024'!$G$34:$G$179,"QB")</x:f>
        <x:v>16</x:v>
      </x:c>
      <x:c r="L36" s="72" t="n">
        <x:f>SUMIFS('2024'!$H$34:$H$179,'2024'!$C$34:$C$179,$A36,'2024'!$G$34:$G$179,"RB")</x:f>
        <x:v>65</x:v>
      </x:c>
      <x:c r="M36" s="72" t="n">
        <x:f>SUMIFS('2024'!$H$34:$H$179,'2024'!$C$34:$C$179,$A36,'2024'!$G$34:$G$179,"WR")</x:f>
        <x:v>72</x:v>
      </x:c>
      <x:c r="N36" s="72" t="n">
        <x:f>SUMIFS('2024'!$H$34:$H$179,'2024'!$C$34:$C$179,$A36,'2024'!$G$34:$G$179,"TE")</x:f>
        <x:v>14</x:v>
      </x:c>
      <x:c r="O36" s="64" t="n">
        <x:f>COUNTIFS('2024'!$C$34:$C$179,$A36,'2024'!$H$34:$H$179,"&gt;=40")</x:f>
        <x:v>2</x:v>
      </x:c>
      <x:c r="P36" s="64" t="n">
        <x:v>28</x:v>
      </x:c>
      <x:c r="Q36" s="32" t="str">
        <x:v>A.J. Brown ($57)</x:v>
      </x:c>
    </x:row>
    <x:row r="37">
      <x:c r="A37" s="32" t="str">
        <x:v>Scott McKnight</x:v>
      </x:c>
      <x:c r="B37" s="64" t="n">
        <x:v>17</x:v>
      </x:c>
      <x:c r="C37" s="64" t="n">
        <x:v>2025</x:v>
      </x:c>
      <x:c r="D37" s="32" t="str">
        <x:v>Mahomeless</x:v>
      </x:c>
      <x:c r="E37" s="64" t="n">
        <x:f>COUNTIF('2025'!$C$7:$C$30,$A37)</x:f>
        <x:v>2</x:v>
      </x:c>
      <x:c r="F37" s="72" t="n">
        <x:f>SUMIF('2025'!$C$7:$C$30,$A37,'2025'!$H$7:$H$30)</x:f>
        <x:v>36</x:v>
      </x:c>
      <x:c r="G37" s="73" t="n">
        <x:f>COUNTIF('2025'!$C$34:$C$179,$A37)</x:f>
        <x:v>12</x:v>
      </x:c>
      <x:c r="H37" s="72" t="n">
        <x:f>SUMIF('2025'!$C$34:$C$179,$A37,'2025'!$H$34:$H$179)</x:f>
        <x:v>164</x:v>
      </x:c>
      <x:c r="I37" s="72" t="n">
        <x:f>F37+H37</x:f>
        <x:v>200</x:v>
      </x:c>
      <x:c r="J37" s="74" t="n">
        <x:f>IF(G37=0,0,H37/G37)</x:f>
        <x:v>13.666666666666666</x:v>
      </x:c>
      <x:c r="K37" s="72" t="n">
        <x:f>SUMIFS('2025'!$H$34:$H$179,'2025'!$C$34:$C$179,$A37,'2025'!$G$34:$G$179,"QB")</x:f>
        <x:v>2</x:v>
      </x:c>
      <x:c r="L37" s="72" t="n">
        <x:f>SUMIFS('2025'!$H$34:$H$179,'2025'!$C$34:$C$179,$A37,'2025'!$G$34:$G$179,"RB")</x:f>
        <x:v>59</x:v>
      </x:c>
      <x:c r="M37" s="72" t="n">
        <x:f>SUMIFS('2025'!$H$34:$H$179,'2025'!$C$34:$C$179,$A37,'2025'!$G$34:$G$179,"WR")</x:f>
        <x:v>87</x:v>
      </x:c>
      <x:c r="N37" s="72" t="n">
        <x:f>SUMIFS('2025'!$H$34:$H$179,'2025'!$C$34:$C$179,$A37,'2025'!$G$34:$G$179,"TE")</x:f>
        <x:v>3</x:v>
      </x:c>
      <x:c r="O37" s="64" t="n">
        <x:f>COUNTIFS('2025'!$C$34:$C$179,$A37,'2025'!$H$34:$H$179,"&gt;=40")</x:f>
        <x:v>0</x:v>
      </x:c>
      <x:c r="P37" s="64" t="n">
        <x:v>34</x:v>
      </x:c>
      <x:c r="Q37" s="32" t="str">
        <x:v>Tee Higgins ($33)</x:v>
      </x:c>
    </x:row>
    <x:row r="38">
      <x:c r="A38" s="32" t="str">
        <x:v>Thomas Atwater</x:v>
      </x:c>
      <x:c r="B38" s="64" t="n">
        <x:v>19</x:v>
      </x:c>
      <x:c r="C38" s="64" t="n">
        <x:v>2023</x:v>
      </x:c>
      <x:c r="D38" s="32" t="str">
        <x:v>Garbage Time</x:v>
      </x:c>
      <x:c r="E38" s="64" t="n">
        <x:f>COUNTIF('2023'!$C$7:$C$30,$A38)</x:f>
        <x:v>2</x:v>
      </x:c>
      <x:c r="F38" s="72" t="n">
        <x:f>SUMIF('2023'!$C$7:$C$30,$A38,'2023'!$H$7:$H$30)</x:f>
        <x:v>32</x:v>
      </x:c>
      <x:c r="G38" s="73" t="n">
        <x:f>COUNTIF('2023'!$C$34:$C$179,$A38)</x:f>
        <x:v>12</x:v>
      </x:c>
      <x:c r="H38" s="72" t="n">
        <x:f>SUMIF('2023'!$C$34:$C$179,$A38,'2023'!$H$34:$H$179)</x:f>
        <x:v>168</x:v>
      </x:c>
      <x:c r="I38" s="72" t="n">
        <x:f>F38+H38</x:f>
        <x:v>200</x:v>
      </x:c>
      <x:c r="J38" s="74" t="n">
        <x:f>IF(G38=0,0,H38/G38)</x:f>
        <x:v>14</x:v>
      </x:c>
      <x:c r="K38" s="72" t="n">
        <x:f>SUMIFS('2023'!$H$34:$H$179,'2023'!$C$34:$C$179,$A38,'2023'!$G$34:$G$179,"QB")</x:f>
        <x:v>23</x:v>
      </x:c>
      <x:c r="L38" s="72" t="n">
        <x:f>SUMIFS('2023'!$H$34:$H$179,'2023'!$C$34:$C$179,$A38,'2023'!$G$34:$G$179,"RB")</x:f>
        <x:v>95</x:v>
      </x:c>
      <x:c r="M38" s="72" t="n">
        <x:f>SUMIFS('2023'!$H$34:$H$179,'2023'!$C$34:$C$179,$A38,'2023'!$G$34:$G$179,"WR")</x:f>
        <x:v>48</x:v>
      </x:c>
      <x:c r="N38" s="72" t="n">
        <x:f>SUMIFS('2023'!$H$34:$H$179,'2023'!$C$34:$C$179,$A38,'2023'!$G$34:$G$179,"TE")</x:f>
        <x:v>0</x:v>
      </x:c>
      <x:c r="O38" s="64" t="n">
        <x:f>COUNTIFS('2023'!$C$34:$C$179,$A38,'2023'!$H$34:$H$179,"&gt;=40")</x:f>
        <x:v>1</x:v>
      </x:c>
      <x:c r="P38" s="64" t="n">
        <x:v>41</x:v>
      </x:c>
      <x:c r="Q38" s="32" t="str">
        <x:v>Najee Harris ($44)</x:v>
      </x:c>
    </x:row>
    <x:row r="39">
      <x:c r="A39" s="32" t="str">
        <x:v>Thomas Atwater</x:v>
      </x:c>
      <x:c r="B39" s="64" t="n">
        <x:v>19</x:v>
      </x:c>
      <x:c r="C39" s="64" t="n">
        <x:v>2024</x:v>
      </x:c>
      <x:c r="D39" s="32" t="str">
        <x:v>Garbage Time</x:v>
      </x:c>
      <x:c r="E39" s="64" t="n">
        <x:f>COUNTIF('2024'!$C$7:$C$30,$A39)</x:f>
        <x:v>2</x:v>
      </x:c>
      <x:c r="F39" s="72" t="n">
        <x:f>SUMIF('2024'!$C$7:$C$30,$A39,'2024'!$H$7:$H$30)</x:f>
        <x:v>53</x:v>
      </x:c>
      <x:c r="G39" s="73" t="n">
        <x:f>COUNTIF('2024'!$C$34:$C$179,$A39)</x:f>
        <x:v>12</x:v>
      </x:c>
      <x:c r="H39" s="72" t="n">
        <x:f>SUMIF('2024'!$C$34:$C$179,$A39,'2024'!$H$34:$H$179)</x:f>
        <x:v>144</x:v>
      </x:c>
      <x:c r="I39" s="72" t="n">
        <x:f>F39+H39</x:f>
        <x:v>197</x:v>
      </x:c>
      <x:c r="J39" s="74" t="n">
        <x:f>IF(G39=0,0,H39/G39)</x:f>
        <x:v>12</x:v>
      </x:c>
      <x:c r="K39" s="72" t="n">
        <x:f>SUMIFS('2024'!$H$34:$H$179,'2024'!$C$34:$C$179,$A39,'2024'!$G$34:$G$179,"QB")</x:f>
        <x:v>12</x:v>
      </x:c>
      <x:c r="L39" s="72" t="n">
        <x:f>SUMIFS('2024'!$H$34:$H$179,'2024'!$C$34:$C$179,$A39,'2024'!$G$34:$G$179,"RB")</x:f>
        <x:v>71</x:v>
      </x:c>
      <x:c r="M39" s="72" t="n">
        <x:f>SUMIFS('2024'!$H$34:$H$179,'2024'!$C$34:$C$179,$A39,'2024'!$G$34:$G$179,"WR")</x:f>
        <x:v>58</x:v>
      </x:c>
      <x:c r="N39" s="72" t="n">
        <x:f>SUMIFS('2024'!$H$34:$H$179,'2024'!$C$34:$C$179,$A39,'2024'!$G$34:$G$179,"TE")</x:f>
        <x:v>1</x:v>
      </x:c>
      <x:c r="O39" s="64" t="n">
        <x:f>COUNTIFS('2024'!$C$34:$C$179,$A39,'2024'!$H$34:$H$179,"&gt;=40")</x:f>
        <x:v>1</x:v>
      </x:c>
      <x:c r="P39" s="64" t="n">
        <x:v>27</x:v>
      </x:c>
      <x:c r="Q39" s="32" t="str">
        <x:v>Bijan Robinson ($66)</x:v>
      </x:c>
    </x:row>
    <x:row r="40">
      <x:c r="A40" s="32" t="str">
        <x:v>Thomas Atwater</x:v>
      </x:c>
      <x:c r="B40" s="64" t="n">
        <x:v>19</x:v>
      </x:c>
      <x:c r="C40" s="64" t="n">
        <x:v>2025</x:v>
      </x:c>
      <x:c r="D40" s="32" t="str">
        <x:v>The Consensual Cosby</x:v>
      </x:c>
      <x:c r="E40" s="64" t="n">
        <x:f>COUNTIF('2025'!$C$7:$C$30,$A40)</x:f>
        <x:v>2</x:v>
      </x:c>
      <x:c r="F40" s="72" t="n">
        <x:f>SUMIF('2025'!$C$7:$C$30,$A40,'2025'!$H$7:$H$30)</x:f>
        <x:v>63</x:v>
      </x:c>
      <x:c r="G40" s="73" t="n">
        <x:f>COUNTIF('2025'!$C$34:$C$179,$A40)</x:f>
        <x:v>12</x:v>
      </x:c>
      <x:c r="H40" s="72" t="n">
        <x:f>SUMIF('2025'!$C$34:$C$179,$A40,'2025'!$H$34:$H$179)</x:f>
        <x:v>137</x:v>
      </x:c>
      <x:c r="I40" s="72" t="n">
        <x:f>F40+H40</x:f>
        <x:v>200</x:v>
      </x:c>
      <x:c r="J40" s="74" t="n">
        <x:f>IF(G40=0,0,H40/G40)</x:f>
        <x:v>11.416666666666666</x:v>
      </x:c>
      <x:c r="K40" s="72" t="n">
        <x:f>SUMIFS('2025'!$H$34:$H$179,'2025'!$C$34:$C$179,$A40,'2025'!$G$34:$G$179,"QB")</x:f>
        <x:v>7</x:v>
      </x:c>
      <x:c r="L40" s="72" t="n">
        <x:f>SUMIFS('2025'!$H$34:$H$179,'2025'!$C$34:$C$179,$A40,'2025'!$G$34:$G$179,"RB")</x:f>
        <x:v>53</x:v>
      </x:c>
      <x:c r="M40" s="72" t="n">
        <x:f>SUMIFS('2025'!$H$34:$H$179,'2025'!$C$34:$C$179,$A40,'2025'!$G$34:$G$179,"WR")</x:f>
        <x:v>48</x:v>
      </x:c>
      <x:c r="N40" s="72" t="n">
        <x:f>SUMIFS('2025'!$H$34:$H$179,'2025'!$C$34:$C$179,$A40,'2025'!$G$34:$G$179,"TE")</x:f>
        <x:v>21</x:v>
      </x:c>
      <x:c r="O40" s="64" t="n">
        <x:f>COUNTIFS('2025'!$C$34:$C$179,$A40,'2025'!$H$34:$H$179,"&gt;=40")</x:f>
        <x:v>0</x:v>
      </x:c>
      <x:c r="P40" s="64" t="n">
        <x:v>41</x:v>
      </x:c>
      <x:c r="Q40" s="32" t="str">
        <x:v>Alvin Kamara ($36)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8729313fb7d148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32" hidden="0" customWidth="1"/>
    <x:col min="5" max="5" width="28" hidden="0" customWidth="1"/>
    <x:col min="6" max="6" width="11" hidden="0" customWidth="1"/>
    <x:col min="7" max="7" width="9" hidden="0" customWidth="1"/>
    <x:col min="8" max="8" width="13" hidden="0" customWidth="1"/>
  </x:cols>
  <x:sheetData>
    <x:row r="1" ht="32" customHeight="1">
      <x:c r="A1" s="59" t="str">
        <x:v>2025 Auction Draft Recap</x:v>
      </x:c>
      <x:c r="B1" s="59" t="str">
        <x:v>2025 Auction Draft Recap</x:v>
      </x:c>
      <x:c r="C1" s="58" t="str">
        <x:v>2025 Auction Draft Recap</x:v>
      </x:c>
      <x:c r="D1" s="58" t="str">
        <x:v>2025 Auction Draft Recap</x:v>
      </x:c>
      <x:c r="E1" s="58" t="str">
        <x:v>2025 Auction Draft Recap</x:v>
      </x:c>
      <x:c r="F1" s="59" t="str">
        <x:v>2025 Auction Draft Recap</x:v>
      </x:c>
      <x:c r="G1" s="59" t="str">
        <x:v>2025 Auction Draft Recap</x:v>
      </x:c>
      <x:c r="H1" s="60" t="str">
        <x:v>2025 Auction Draft Recap</x:v>
      </x:c>
    </x:row>
    <x:row r="2">
      <x:c r="A2" s="57" t="str">
        <x:v>Source: https://fantasy.espn.com/football/league/draftrecap?seasonId=2025&amp;leagueId=555583</x:v>
      </x:c>
      <x:c r="B2" s="57"/>
      <x:c r="C2" s="57"/>
      <x:c r="D2" s="57"/>
      <x:c r="E2" s="57"/>
      <x:c r="F2" s="57"/>
      <x:c r="G2" s="57"/>
      <x:c r="H2" s="57"/>
    </x:row>
    <x:row r="3" ht="28" customHeight="1">
      <x:c r="A3" s="8" t="str">
        <x:v>Keepers are identified only by ESPN's Keeper marker and are excluded from the auction table below. NFL team abbreviations are displayed as ESPN showed them when collected.</x:v>
      </x:c>
      <x:c r="B3" s="8"/>
      <x:c r="C3" s="8"/>
      <x:c r="D3" s="8"/>
      <x:c r="E3" s="8"/>
      <x:c r="F3" s="8"/>
      <x:c r="G3" s="8"/>
      <x:c r="H3" s="8"/>
    </x:row>
    <x:row r="5" ht="23" customHeight="1">
      <x:c r="A5" s="11" t="str">
        <x:v>Keepers (22)</x:v>
      </x:c>
      <x:c r="B5" s="11"/>
      <x:c r="C5" s="11"/>
      <x:c r="D5" s="11"/>
      <x:c r="E5" s="11"/>
      <x:c r="F5" s="11"/>
      <x:c r="G5" s="11"/>
      <x:c r="H5" s="11"/>
    </x:row>
    <x:row r="6" ht="28" customHeight="1">
      <x:c r="A6" s="25" t="str">
        <x:v>No.</x:v>
      </x:c>
      <x:c r="B6" s="26" t="str">
        <x:v>Team ID</x:v>
      </x:c>
      <x:c r="C6" s="26" t="str">
        <x:v>Manager</x:v>
      </x:c>
      <x:c r="D6" s="26" t="str">
        <x:v>Team Name</x:v>
      </x:c>
      <x:c r="E6" s="26" t="str">
        <x:v>Player</x:v>
      </x:c>
      <x:c r="F6" s="26" t="str">
        <x:v>NFL Team</x:v>
      </x:c>
      <x:c r="G6" s="26" t="str">
        <x:v>Pos</x:v>
      </x:c>
      <x:c r="H6" s="27" t="str">
        <x:v>Keeper Cost</x:v>
      </x:c>
    </x:row>
    <x:row r="7">
      <x:c r="A7" s="35" t="n">
        <x:v>1</x:v>
      </x:c>
      <x:c r="B7" s="31" t="n">
        <x:v>1</x:v>
      </x:c>
      <x:c r="C7" s="31" t="str">
        <x:v>Brett McKnight</x:v>
      </x:c>
      <x:c r="D7" s="31" t="str">
        <x:v>Goff My Lawn</x:v>
      </x:c>
      <x:c r="E7" s="31" t="str">
        <x:v>Joe Burrow</x:v>
      </x:c>
      <x:c r="F7" s="31" t="str">
        <x:v>Cin</x:v>
      </x:c>
      <x:c r="G7" s="31" t="str">
        <x:v>QB</x:v>
      </x:c>
      <x:c r="H7" s="33" t="n">
        <x:v>12</x:v>
      </x:c>
    </x:row>
    <x:row r="8">
      <x:c r="A8" s="36" t="n">
        <x:v>2</x:v>
      </x:c>
      <x:c r="B8" s="32" t="n">
        <x:v>1</x:v>
      </x:c>
      <x:c r="C8" s="32" t="str">
        <x:v>Brett McKnight</x:v>
      </x:c>
      <x:c r="D8" s="32" t="str">
        <x:v>Goff My Lawn</x:v>
      </x:c>
      <x:c r="E8" s="32" t="str">
        <x:v>CeeDee Lamb</x:v>
      </x:c>
      <x:c r="F8" s="32" t="str">
        <x:v>Dal</x:v>
      </x:c>
      <x:c r="G8" s="32" t="str">
        <x:v>WR</x:v>
      </x:c>
      <x:c r="H8" s="34" t="n">
        <x:v>32</x:v>
      </x:c>
    </x:row>
    <x:row r="9">
      <x:c r="A9" s="36" t="n">
        <x:v>3</x:v>
      </x:c>
      <x:c r="B9" s="32" t="n">
        <x:v>4</x:v>
      </x:c>
      <x:c r="C9" s="32" t="str">
        <x:v>Kendall Bicknell</x:v>
      </x:c>
      <x:c r="D9" s="32" t="str">
        <x:v>Creatine Caucasians</x:v>
      </x:c>
      <x:c r="E9" s="32" t="str">
        <x:v>De'Von Achane</x:v>
      </x:c>
      <x:c r="F9" s="32" t="str">
        <x:v>Mia</x:v>
      </x:c>
      <x:c r="G9" s="32" t="str">
        <x:v>RB</x:v>
      </x:c>
      <x:c r="H9" s="34" t="n">
        <x:v>17</x:v>
      </x:c>
    </x:row>
    <x:row r="10">
      <x:c r="A10" s="36" t="n">
        <x:v>4</x:v>
      </x:c>
      <x:c r="B10" s="32" t="n">
        <x:v>4</x:v>
      </x:c>
      <x:c r="C10" s="32" t="str">
        <x:v>Kendall Bicknell</x:v>
      </x:c>
      <x:c r="D10" s="32" t="str">
        <x:v>Creatine Caucasians</x:v>
      </x:c>
      <x:c r="E10" s="32" t="str">
        <x:v>Nico Collins</x:v>
      </x:c>
      <x:c r="F10" s="32" t="str">
        <x:v>Hou</x:v>
      </x:c>
      <x:c r="G10" s="32" t="str">
        <x:v>WR</x:v>
      </x:c>
      <x:c r="H10" s="34" t="n">
        <x:v>15</x:v>
      </x:c>
    </x:row>
    <x:row r="11">
      <x:c r="A11" s="36" t="n">
        <x:v>5</x:v>
      </x:c>
      <x:c r="B11" s="32" t="n">
        <x:v>5</x:v>
      </x:c>
      <x:c r="C11" s="32" t="str">
        <x:v>George Rakkar</x:v>
      </x:c>
      <x:c r="D11" s="32" t="str">
        <x:v>8==== D</x:v>
      </x:c>
      <x:c r="E11" s="32" t="str">
        <x:v>Terry McLaurin</x:v>
      </x:c>
      <x:c r="F11" s="32" t="str">
        <x:v>Wsh</x:v>
      </x:c>
      <x:c r="G11" s="32" t="str">
        <x:v>WR</x:v>
      </x:c>
      <x:c r="H11" s="34" t="n">
        <x:v>29</x:v>
      </x:c>
    </x:row>
    <x:row r="12">
      <x:c r="A12" s="36" t="n">
        <x:v>6</x:v>
      </x:c>
      <x:c r="B12" s="32" t="n">
        <x:v>5</x:v>
      </x:c>
      <x:c r="C12" s="32" t="str">
        <x:v>George Rakkar</x:v>
      </x:c>
      <x:c r="D12" s="32" t="str">
        <x:v>8==== D</x:v>
      </x:c>
      <x:c r="E12" s="32" t="str">
        <x:v>Ladd McConkey</x:v>
      </x:c>
      <x:c r="F12" s="32" t="str">
        <x:v>LAC</x:v>
      </x:c>
      <x:c r="G12" s="32" t="str">
        <x:v>WR</x:v>
      </x:c>
      <x:c r="H12" s="34" t="n">
        <x:v>30</x:v>
      </x:c>
    </x:row>
    <x:row r="13">
      <x:c r="A13" s="36" t="n">
        <x:v>7</x:v>
      </x:c>
      <x:c r="B13" s="32" t="n">
        <x:v>6</x:v>
      </x:c>
      <x:c r="C13" s="32" t="str">
        <x:v>sangfroid bang</x:v>
      </x:c>
      <x:c r="D13" s="32" t="str">
        <x:v>Moaning Myrtle</x:v>
      </x:c>
      <x:c r="E13" s="32" t="str">
        <x:v>Jahmyr Gibbs</x:v>
      </x:c>
      <x:c r="F13" s="32" t="str">
        <x:v>Det</x:v>
      </x:c>
      <x:c r="G13" s="32" t="str">
        <x:v>RB</x:v>
      </x:c>
      <x:c r="H13" s="34" t="n">
        <x:v>56</x:v>
      </x:c>
    </x:row>
    <x:row r="14">
      <x:c r="A14" s="36" t="n">
        <x:v>8</x:v>
      </x:c>
      <x:c r="B14" s="32" t="n">
        <x:v>6</x:v>
      </x:c>
      <x:c r="C14" s="32" t="str">
        <x:v>sangfroid bang</x:v>
      </x:c>
      <x:c r="D14" s="32" t="str">
        <x:v>Moaning Myrtle</x:v>
      </x:c>
      <x:c r="E14" s="32" t="str">
        <x:v>Drake London</x:v>
      </x:c>
      <x:c r="F14" s="32" t="str">
        <x:v>Atl</x:v>
      </x:c>
      <x:c r="G14" s="32" t="str">
        <x:v>WR</x:v>
      </x:c>
      <x:c r="H14" s="34" t="n">
        <x:v>26</x:v>
      </x:c>
    </x:row>
    <x:row r="15">
      <x:c r="A15" s="36" t="n">
        <x:v>9</x:v>
      </x:c>
      <x:c r="B15" s="32" t="n">
        <x:v>7</x:v>
      </x:c>
      <x:c r="C15" s="32" t="str">
        <x:v>Ebby Kurian</x:v>
      </x:c>
      <x:c r="D15" s="32" t="str">
        <x:v>The Splenic Flexture</x:v>
      </x:c>
      <x:c r="E15" s="32" t="str">
        <x:v>Chuba Hubbard</x:v>
      </x:c>
      <x:c r="F15" s="32" t="str">
        <x:v>Car</x:v>
      </x:c>
      <x:c r="G15" s="32" t="str">
        <x:v>RB</x:v>
      </x:c>
      <x:c r="H15" s="34" t="n">
        <x:v>13</x:v>
      </x:c>
    </x:row>
    <x:row r="16">
      <x:c r="A16" s="36" t="n">
        <x:v>10</x:v>
      </x:c>
      <x:c r="B16" s="32" t="n">
        <x:v>7</x:v>
      </x:c>
      <x:c r="C16" s="32" t="str">
        <x:v>Ebby Kurian</x:v>
      </x:c>
      <x:c r="D16" s="32" t="str">
        <x:v>The Splenic Flexture</x:v>
      </x:c>
      <x:c r="E16" s="32" t="str">
        <x:v>Jayden Daniels</x:v>
      </x:c>
      <x:c r="F16" s="32" t="str">
        <x:v>Wsh</x:v>
      </x:c>
      <x:c r="G16" s="32" t="str">
        <x:v>QB</x:v>
      </x:c>
      <x:c r="H16" s="34" t="n">
        <x:v>11</x:v>
      </x:c>
    </x:row>
    <x:row r="17">
      <x:c r="A17" s="36" t="n">
        <x:v>11</x:v>
      </x:c>
      <x:c r="B17" s="32" t="n">
        <x:v>14</x:v>
      </x:c>
      <x:c r="C17" s="32" t="str">
        <x:v>David Richards</x:v>
      </x:c>
      <x:c r="D17" s="32" t="str">
        <x:v>Let JOSH Cook</x:v>
      </x:c>
      <x:c r="E17" s="32" t="str">
        <x:v>James Cook III</x:v>
      </x:c>
      <x:c r="F17" s="32" t="str">
        <x:v>Buf</x:v>
      </x:c>
      <x:c r="G17" s="32" t="str">
        <x:v>RB</x:v>
      </x:c>
      <x:c r="H17" s="34" t="n">
        <x:v>20</x:v>
      </x:c>
    </x:row>
    <x:row r="18">
      <x:c r="A18" s="36" t="n">
        <x:v>12</x:v>
      </x:c>
      <x:c r="B18" s="32" t="n">
        <x:v>14</x:v>
      </x:c>
      <x:c r="C18" s="32" t="str">
        <x:v>David Richards</x:v>
      </x:c>
      <x:c r="D18" s="32" t="str">
        <x:v>Let JOSH Cook</x:v>
      </x:c>
      <x:c r="E18" s="32" t="str">
        <x:v>George Kittle</x:v>
      </x:c>
      <x:c r="F18" s="32" t="str">
        <x:v>SF</x:v>
      </x:c>
      <x:c r="G18" s="32" t="str">
        <x:v>TE</x:v>
      </x:c>
      <x:c r="H18" s="34" t="n">
        <x:v>13</x:v>
      </x:c>
    </x:row>
    <x:row r="19">
      <x:c r="A19" s="36" t="n">
        <x:v>13</x:v>
      </x:c>
      <x:c r="B19" s="32" t="n">
        <x:v>15</x:v>
      </x:c>
      <x:c r="C19" s="32" t="str">
        <x:v>Ian Bates</x:v>
      </x:c>
      <x:c r="D19" s="32" t="str">
        <x:v>Mr Rogers' Naberless Naberhood</x:v>
      </x:c>
      <x:c r="E19" s="32" t="str">
        <x:v>Malik Nabers</x:v>
      </x:c>
      <x:c r="F19" s="32" t="str">
        <x:v>NYG</x:v>
      </x:c>
      <x:c r="G19" s="32" t="str">
        <x:v>WR</x:v>
      </x:c>
      <x:c r="H19" s="34" t="n">
        <x:v>34</x:v>
      </x:c>
    </x:row>
    <x:row r="20">
      <x:c r="A20" s="36" t="n">
        <x:v>14</x:v>
      </x:c>
      <x:c r="B20" s="32" t="n">
        <x:v>15</x:v>
      </x:c>
      <x:c r="C20" s="32" t="str">
        <x:v>Ian Bates</x:v>
      </x:c>
      <x:c r="D20" s="32" t="str">
        <x:v>Mr Rogers' Naberless Naberhood</x:v>
      </x:c>
      <x:c r="E20" s="32" t="str">
        <x:v>Brian Thomas Jr.</x:v>
      </x:c>
      <x:c r="F20" s="32" t="str">
        <x:v>Jax</x:v>
      </x:c>
      <x:c r="G20" s="32" t="str">
        <x:v>WR</x:v>
      </x:c>
      <x:c r="H20" s="34" t="n">
        <x:v>10</x:v>
      </x:c>
    </x:row>
    <x:row r="21">
      <x:c r="A21" s="36" t="n">
        <x:v>15</x:v>
      </x:c>
      <x:c r="B21" s="32" t="n">
        <x:v>16</x:v>
      </x:c>
      <x:c r="C21" s="32" t="str">
        <x:v>Eric Boudreau</x:v>
      </x:c>
      <x:c r="D21" s="32" t="str">
        <x:v>Blockbuster Promking</x:v>
      </x:c>
      <x:c r="E21" s="32" t="str">
        <x:v>Trey McBride</x:v>
      </x:c>
      <x:c r="F21" s="32" t="str">
        <x:v>Ari</x:v>
      </x:c>
      <x:c r="G21" s="32" t="str">
        <x:v>TE</x:v>
      </x:c>
      <x:c r="H21" s="34" t="n">
        <x:v>15</x:v>
      </x:c>
    </x:row>
    <x:row r="22">
      <x:c r="A22" s="36" t="n">
        <x:v>16</x:v>
      </x:c>
      <x:c r="B22" s="32" t="n">
        <x:v>16</x:v>
      </x:c>
      <x:c r="C22" s="32" t="str">
        <x:v>Eric Boudreau</x:v>
      </x:c>
      <x:c r="D22" s="32" t="str">
        <x:v>Blockbuster Promking</x:v>
      </x:c>
      <x:c r="E22" s="32" t="str">
        <x:v>Chase Brown</x:v>
      </x:c>
      <x:c r="F22" s="32" t="str">
        <x:v>Cin</x:v>
      </x:c>
      <x:c r="G22" s="32" t="str">
        <x:v>RB</x:v>
      </x:c>
      <x:c r="H22" s="34" t="n">
        <x:v>32</x:v>
      </x:c>
    </x:row>
    <x:row r="23">
      <x:c r="A23" s="36" t="n">
        <x:v>17</x:v>
      </x:c>
      <x:c r="B23" s="32" t="n">
        <x:v>17</x:v>
      </x:c>
      <x:c r="C23" s="32" t="str">
        <x:v>Scott McKnight</x:v>
      </x:c>
      <x:c r="D23" s="32" t="str">
        <x:v>Mahomeless</x:v>
      </x:c>
      <x:c r="E23" s="32" t="str">
        <x:v>Puka Nacua</x:v>
      </x:c>
      <x:c r="F23" s="32" t="str">
        <x:v>LAR</x:v>
      </x:c>
      <x:c r="G23" s="32" t="str">
        <x:v>WR</x:v>
      </x:c>
      <x:c r="H23" s="34" t="n">
        <x:v>15</x:v>
      </x:c>
    </x:row>
    <x:row r="24">
      <x:c r="A24" s="36" t="n">
        <x:v>18</x:v>
      </x:c>
      <x:c r="B24" s="32" t="n">
        <x:v>17</x:v>
      </x:c>
      <x:c r="C24" s="32" t="str">
        <x:v>Scott McKnight</x:v>
      </x:c>
      <x:c r="D24" s="32" t="str">
        <x:v>Mahomeless</x:v>
      </x:c>
      <x:c r="E24" s="32" t="str">
        <x:v>Lamar Jackson</x:v>
      </x:c>
      <x:c r="F24" s="32" t="str">
        <x:v>Bal</x:v>
      </x:c>
      <x:c r="G24" s="32" t="str">
        <x:v>QB</x:v>
      </x:c>
      <x:c r="H24" s="34" t="n">
        <x:v>21</x:v>
      </x:c>
    </x:row>
    <x:row r="25">
      <x:c r="A25" s="36" t="n">
        <x:v>19</x:v>
      </x:c>
      <x:c r="B25" s="32" t="n">
        <x:v>18</x:v>
      </x:c>
      <x:c r="C25" s="32" t="str">
        <x:v>Dan Maland</x:v>
      </x:c>
      <x:c r="D25" s="32" t="str">
        <x:v>New World Order</x:v>
      </x:c>
      <x:c r="E25" s="32" t="str">
        <x:v>Bucky Irving</x:v>
      </x:c>
      <x:c r="F25" s="32" t="str">
        <x:v>TB</x:v>
      </x:c>
      <x:c r="G25" s="32" t="str">
        <x:v>RB</x:v>
      </x:c>
      <x:c r="H25" s="34" t="n">
        <x:v>10</x:v>
      </x:c>
    </x:row>
    <x:row r="26">
      <x:c r="A26" s="36" t="n">
        <x:v>20</x:v>
      </x:c>
      <x:c r="B26" s="32" t="n">
        <x:v>18</x:v>
      </x:c>
      <x:c r="C26" s="32" t="str">
        <x:v>Dan Maland</x:v>
      </x:c>
      <x:c r="D26" s="32" t="str">
        <x:v>New World Order</x:v>
      </x:c>
      <x:c r="E26" s="32" t="str">
        <x:v>Brock Bowers</x:v>
      </x:c>
      <x:c r="F26" s="32" t="str">
        <x:v>LV</x:v>
      </x:c>
      <x:c r="G26" s="32" t="str">
        <x:v>TE</x:v>
      </x:c>
      <x:c r="H26" s="34" t="n">
        <x:v>11</x:v>
      </x:c>
    </x:row>
    <x:row r="27">
      <x:c r="A27" s="36" t="n">
        <x:v>21</x:v>
      </x:c>
      <x:c r="B27" s="32" t="n">
        <x:v>19</x:v>
      </x:c>
      <x:c r="C27" s="32" t="str">
        <x:v>Thomas Atwater</x:v>
      </x:c>
      <x:c r="D27" s="32" t="str">
        <x:v>The Consensual Cosby</x:v>
      </x:c>
      <x:c r="E27" s="32" t="str">
        <x:v>Ja'Marr Chase</x:v>
      </x:c>
      <x:c r="F27" s="32" t="str">
        <x:v>Cin</x:v>
      </x:c>
      <x:c r="G27" s="32" t="str">
        <x:v>WR</x:v>
      </x:c>
      <x:c r="H27" s="34" t="n">
        <x:v>29</x:v>
      </x:c>
    </x:row>
    <x:row r="28">
      <x:c r="A28" s="36" t="n">
        <x:v>22</x:v>
      </x:c>
      <x:c r="B28" s="32" t="n">
        <x:v>19</x:v>
      </x:c>
      <x:c r="C28" s="32" t="str">
        <x:v>Thomas Atwater</x:v>
      </x:c>
      <x:c r="D28" s="32" t="str">
        <x:v>The Consensual Cosby</x:v>
      </x:c>
      <x:c r="E28" s="32" t="str">
        <x:v>Jonathan Taylor</x:v>
      </x:c>
      <x:c r="F28" s="32" t="str">
        <x:v>Ind</x:v>
      </x:c>
      <x:c r="G28" s="32" t="str">
        <x:v>RB</x:v>
      </x:c>
      <x:c r="H28" s="34" t="n">
        <x:v>34</x:v>
      </x:c>
    </x:row>
    <x:row r="32" ht="23" customHeight="1">
      <x:c r="A32" s="39" t="str">
        <x:v>Auction Results — Keepers Excluded (146 purchases, ordered by No.)</x:v>
      </x:c>
      <x:c r="B32" s="39"/>
      <x:c r="C32" s="39"/>
      <x:c r="D32" s="39"/>
      <x:c r="E32" s="39"/>
      <x:c r="F32" s="39"/>
      <x:c r="G32" s="39"/>
      <x:c r="H32" s="39"/>
    </x:row>
    <x:row r="33" ht="28" customHeight="1">
      <x:c r="A33" s="51" t="str">
        <x:v>Auction No.</x:v>
      </x:c>
      <x:c r="B33" s="52" t="str">
        <x:v>Team ID</x:v>
      </x:c>
      <x:c r="C33" s="52" t="str">
        <x:v>Manager</x:v>
      </x:c>
      <x:c r="D33" s="52" t="str">
        <x:v>Team Name</x:v>
      </x:c>
      <x:c r="E33" s="52" t="str">
        <x:v>Player</x:v>
      </x:c>
      <x:c r="F33" s="52" t="str">
        <x:v>NFL Team</x:v>
      </x:c>
      <x:c r="G33" s="52" t="str">
        <x:v>Pos</x:v>
      </x:c>
      <x:c r="H33" s="53" t="str">
        <x:v>Amount</x:v>
      </x:c>
    </x:row>
    <x:row r="34">
      <x:c r="A34" s="54" t="n">
        <x:v>23</x:v>
      </x:c>
      <x:c r="B34" s="31" t="n">
        <x:v>4</x:v>
      </x:c>
      <x:c r="C34" s="31" t="str">
        <x:v>Kendall Bicknell</x:v>
      </x:c>
      <x:c r="D34" s="31" t="str">
        <x:v>Creatine Caucasians</x:v>
      </x:c>
      <x:c r="E34" s="31" t="str">
        <x:v>Omarion Hampton</x:v>
      </x:c>
      <x:c r="F34" s="31" t="str">
        <x:v>LAC</x:v>
      </x:c>
      <x:c r="G34" s="31" t="str">
        <x:v>RB</x:v>
      </x:c>
      <x:c r="H34" s="33" t="n">
        <x:v>43</x:v>
      </x:c>
    </x:row>
    <x:row r="35">
      <x:c r="A35" s="55" t="n">
        <x:v>24</x:v>
      </x:c>
      <x:c r="B35" s="32" t="n">
        <x:v>9</x:v>
      </x:c>
      <x:c r="C35" s="32" t="str">
        <x:v>Kevin Kurian</x:v>
      </x:c>
      <x:c r="D35" s="32" t="str">
        <x:v>Torsades de PAT</x:v>
      </x:c>
      <x:c r="E35" s="32" t="str">
        <x:v>Bijan Robinson</x:v>
      </x:c>
      <x:c r="F35" s="32" t="str">
        <x:v>Atl</x:v>
      </x:c>
      <x:c r="G35" s="32" t="str">
        <x:v>RB</x:v>
      </x:c>
      <x:c r="H35" s="34" t="n">
        <x:v>76</x:v>
      </x:c>
    </x:row>
    <x:row r="36">
      <x:c r="A36" s="55" t="n">
        <x:v>25</x:v>
      </x:c>
      <x:c r="B36" s="32" t="n">
        <x:v>18</x:v>
      </x:c>
      <x:c r="C36" s="32" t="str">
        <x:v>Dan Maland</x:v>
      </x:c>
      <x:c r="D36" s="32" t="str">
        <x:v>New World Order</x:v>
      </x:c>
      <x:c r="E36" s="32" t="str">
        <x:v>Justin Jefferson</x:v>
      </x:c>
      <x:c r="F36" s="32" t="str">
        <x:v>Min</x:v>
      </x:c>
      <x:c r="G36" s="32" t="str">
        <x:v>WR</x:v>
      </x:c>
      <x:c r="H36" s="34" t="n">
        <x:v>60</x:v>
      </x:c>
    </x:row>
    <x:row r="37">
      <x:c r="A37" s="55" t="n">
        <x:v>26</x:v>
      </x:c>
      <x:c r="B37" s="32" t="n">
        <x:v>14</x:v>
      </x:c>
      <x:c r="C37" s="32" t="str">
        <x:v>David Richards</x:v>
      </x:c>
      <x:c r="D37" s="32" t="str">
        <x:v>Let JOSH Cook</x:v>
      </x:c>
      <x:c r="E37" s="32" t="str">
        <x:v>Josh Allen</x:v>
      </x:c>
      <x:c r="F37" s="32" t="str">
        <x:v>Buf</x:v>
      </x:c>
      <x:c r="G37" s="32" t="str">
        <x:v>QB</x:v>
      </x:c>
      <x:c r="H37" s="34" t="n">
        <x:v>36</x:v>
      </x:c>
    </x:row>
    <x:row r="38">
      <x:c r="A38" s="55" t="n">
        <x:v>27</x:v>
      </x:c>
      <x:c r="B38" s="32" t="n">
        <x:v>5</x:v>
      </x:c>
      <x:c r="C38" s="32" t="str">
        <x:v>George Rakkar</x:v>
      </x:c>
      <x:c r="D38" s="32" t="str">
        <x:v>8==== D</x:v>
      </x:c>
      <x:c r="E38" s="32" t="str">
        <x:v>Christian McCaffrey</x:v>
      </x:c>
      <x:c r="F38" s="32" t="str">
        <x:v>SF</x:v>
      </x:c>
      <x:c r="G38" s="32" t="str">
        <x:v>RB</x:v>
      </x:c>
      <x:c r="H38" s="34" t="n">
        <x:v>61</x:v>
      </x:c>
    </x:row>
    <x:row r="39">
      <x:c r="A39" s="55" t="n">
        <x:v>28</x:v>
      </x:c>
      <x:c r="B39" s="32" t="n">
        <x:v>18</x:v>
      </x:c>
      <x:c r="C39" s="32" t="str">
        <x:v>Dan Maland</x:v>
      </x:c>
      <x:c r="D39" s="32" t="str">
        <x:v>New World Order</x:v>
      </x:c>
      <x:c r="E39" s="32" t="str">
        <x:v>Jalen Hurts</x:v>
      </x:c>
      <x:c r="F39" s="32" t="str">
        <x:v>Phi</x:v>
      </x:c>
      <x:c r="G39" s="32" t="str">
        <x:v>QB</x:v>
      </x:c>
      <x:c r="H39" s="34" t="n">
        <x:v>29</x:v>
      </x:c>
    </x:row>
    <x:row r="40">
      <x:c r="A40" s="55" t="n">
        <x:v>29</x:v>
      </x:c>
      <x:c r="B40" s="32" t="n">
        <x:v>1</x:v>
      </x:c>
      <x:c r="C40" s="32" t="str">
        <x:v>Brett McKnight</x:v>
      </x:c>
      <x:c r="D40" s="32" t="str">
        <x:v>Goff My Lawn</x:v>
      </x:c>
      <x:c r="E40" s="32" t="str">
        <x:v>Ashton Jeanty</x:v>
      </x:c>
      <x:c r="F40" s="32" t="str">
        <x:v>LV</x:v>
      </x:c>
      <x:c r="G40" s="32" t="str">
        <x:v>RB</x:v>
      </x:c>
      <x:c r="H40" s="34" t="n">
        <x:v>55</x:v>
      </x:c>
    </x:row>
    <x:row r="41">
      <x:c r="A41" s="55" t="n">
        <x:v>30</x:v>
      </x:c>
      <x:c r="B41" s="32" t="n">
        <x:v>7</x:v>
      </x:c>
      <x:c r="C41" s="32" t="str">
        <x:v>Ebby Kurian</x:v>
      </x:c>
      <x:c r="D41" s="32" t="str">
        <x:v>The Splenic Flexture</x:v>
      </x:c>
      <x:c r="E41" s="32" t="str">
        <x:v>Saquon Barkley</x:v>
      </x:c>
      <x:c r="F41" s="32" t="str">
        <x:v>Phi</x:v>
      </x:c>
      <x:c r="G41" s="32" t="str">
        <x:v>RB</x:v>
      </x:c>
      <x:c r="H41" s="34" t="n">
        <x:v>62</x:v>
      </x:c>
    </x:row>
    <x:row r="42">
      <x:c r="A42" s="55" t="n">
        <x:v>31</x:v>
      </x:c>
      <x:c r="B42" s="32" t="n">
        <x:v>15</x:v>
      </x:c>
      <x:c r="C42" s="32" t="str">
        <x:v>Ian Bates</x:v>
      </x:c>
      <x:c r="D42" s="32" t="str">
        <x:v>Mr Rogers' Naberless Naberhood</x:v>
      </x:c>
      <x:c r="E42" s="32" t="str">
        <x:v>Josh Jacobs</x:v>
      </x:c>
      <x:c r="F42" s="32" t="str">
        <x:v>GB</x:v>
      </x:c>
      <x:c r="G42" s="32" t="str">
        <x:v>RB</x:v>
      </x:c>
      <x:c r="H42" s="34" t="n">
        <x:v>47</x:v>
      </x:c>
    </x:row>
    <x:row r="43">
      <x:c r="A43" s="55" t="n">
        <x:v>32</x:v>
      </x:c>
      <x:c r="B43" s="32" t="n">
        <x:v>14</x:v>
      </x:c>
      <x:c r="C43" s="32" t="str">
        <x:v>David Richards</x:v>
      </x:c>
      <x:c r="D43" s="32" t="str">
        <x:v>Let JOSH Cook</x:v>
      </x:c>
      <x:c r="E43" s="32" t="str">
        <x:v>Amon-Ra St. Brown</x:v>
      </x:c>
      <x:c r="F43" s="32" t="str">
        <x:v>Det</x:v>
      </x:c>
      <x:c r="G43" s="32" t="str">
        <x:v>WR</x:v>
      </x:c>
      <x:c r="H43" s="34" t="n">
        <x:v>53</x:v>
      </x:c>
    </x:row>
    <x:row r="44">
      <x:c r="A44" s="55" t="n">
        <x:v>33</x:v>
      </x:c>
      <x:c r="B44" s="32" t="n">
        <x:v>16</x:v>
      </x:c>
      <x:c r="C44" s="32" t="str">
        <x:v>Eric Boudreau</x:v>
      </x:c>
      <x:c r="D44" s="32" t="str">
        <x:v>Blockbuster Promking</x:v>
      </x:c>
      <x:c r="E44" s="32" t="str">
        <x:v>A.J. Brown</x:v>
      </x:c>
      <x:c r="F44" s="32" t="str">
        <x:v>Phi</x:v>
      </x:c>
      <x:c r="G44" s="32" t="str">
        <x:v>WR</x:v>
      </x:c>
      <x:c r="H44" s="34" t="n">
        <x:v>46</x:v>
      </x:c>
    </x:row>
    <x:row r="45">
      <x:c r="A45" s="55" t="n">
        <x:v>34</x:v>
      </x:c>
      <x:c r="B45" s="32" t="n">
        <x:v>17</x:v>
      </x:c>
      <x:c r="C45" s="32" t="str">
        <x:v>Scott McKnight</x:v>
      </x:c>
      <x:c r="D45" s="32" t="str">
        <x:v>Mahomeless</x:v>
      </x:c>
      <x:c r="E45" s="32" t="str">
        <x:v>Tyreek Hill</x:v>
      </x:c>
      <x:c r="F45" s="32" t="str">
        <x:v>FA</x:v>
      </x:c>
      <x:c r="G45" s="32" t="str">
        <x:v>WR</x:v>
      </x:c>
      <x:c r="H45" s="34" t="n">
        <x:v>30</x:v>
      </x:c>
    </x:row>
    <x:row r="46">
      <x:c r="A46" s="55" t="n">
        <x:v>35</x:v>
      </x:c>
      <x:c r="B46" s="32" t="n">
        <x:v>9</x:v>
      </x:c>
      <x:c r="C46" s="32" t="str">
        <x:v>Kevin Kurian</x:v>
      </x:c>
      <x:c r="D46" s="32" t="str">
        <x:v>Torsades de PAT</x:v>
      </x:c>
      <x:c r="E46" s="32" t="str">
        <x:v>Davante Adams</x:v>
      </x:c>
      <x:c r="F46" s="32" t="str">
        <x:v>LAR</x:v>
      </x:c>
      <x:c r="G46" s="32" t="str">
        <x:v>WR</x:v>
      </x:c>
      <x:c r="H46" s="34" t="n">
        <x:v>22</x:v>
      </x:c>
    </x:row>
    <x:row r="47">
      <x:c r="A47" s="55" t="n">
        <x:v>36</x:v>
      </x:c>
      <x:c r="B47" s="32" t="n">
        <x:v>5</x:v>
      </x:c>
      <x:c r="C47" s="32" t="str">
        <x:v>George Rakkar</x:v>
      </x:c>
      <x:c r="D47" s="32" t="str">
        <x:v>8==== D</x:v>
      </x:c>
      <x:c r="E47" s="32" t="str">
        <x:v>Emeka Egbuka</x:v>
      </x:c>
      <x:c r="F47" s="32" t="str">
        <x:v>TB</x:v>
      </x:c>
      <x:c r="G47" s="32" t="str">
        <x:v>WR</x:v>
      </x:c>
      <x:c r="H47" s="34" t="n">
        <x:v>20</x:v>
      </x:c>
    </x:row>
    <x:row r="48">
      <x:c r="A48" s="55" t="n">
        <x:v>37</x:v>
      </x:c>
      <x:c r="B48" s="32" t="n">
        <x:v>6</x:v>
      </x:c>
      <x:c r="C48" s="32" t="str">
        <x:v>sangfroid bang</x:v>
      </x:c>
      <x:c r="D48" s="32" t="str">
        <x:v>Moaning Myrtle</x:v>
      </x:c>
      <x:c r="E48" s="32" t="str">
        <x:v>Jaxon Smith-Njigba</x:v>
      </x:c>
      <x:c r="F48" s="32" t="str">
        <x:v>Sea</x:v>
      </x:c>
      <x:c r="G48" s="32" t="str">
        <x:v>WR</x:v>
      </x:c>
      <x:c r="H48" s="34" t="n">
        <x:v>27</x:v>
      </x:c>
    </x:row>
    <x:row r="49">
      <x:c r="A49" s="55" t="n">
        <x:v>38</x:v>
      </x:c>
      <x:c r="B49" s="32" t="n">
        <x:v>17</x:v>
      </x:c>
      <x:c r="C49" s="32" t="str">
        <x:v>Scott McKnight</x:v>
      </x:c>
      <x:c r="D49" s="32" t="str">
        <x:v>Mahomeless</x:v>
      </x:c>
      <x:c r="E49" s="32" t="str">
        <x:v>Tee Higgins</x:v>
      </x:c>
      <x:c r="F49" s="32" t="str">
        <x:v>Cin</x:v>
      </x:c>
      <x:c r="G49" s="32" t="str">
        <x:v>WR</x:v>
      </x:c>
      <x:c r="H49" s="34" t="n">
        <x:v>33</x:v>
      </x:c>
    </x:row>
    <x:row r="50">
      <x:c r="A50" s="55" t="n">
        <x:v>39</x:v>
      </x:c>
      <x:c r="B50" s="32" t="n">
        <x:v>18</x:v>
      </x:c>
      <x:c r="C50" s="32" t="str">
        <x:v>Dan Maland</x:v>
      </x:c>
      <x:c r="D50" s="32" t="str">
        <x:v>New World Order</x:v>
      </x:c>
      <x:c r="E50" s="32" t="str">
        <x:v>Derrick Henry</x:v>
      </x:c>
      <x:c r="F50" s="32" t="str">
        <x:v>Bal</x:v>
      </x:c>
      <x:c r="G50" s="32" t="str">
        <x:v>RB</x:v>
      </x:c>
      <x:c r="H50" s="34" t="n">
        <x:v>57</x:v>
      </x:c>
    </x:row>
    <x:row r="51">
      <x:c r="A51" s="55" t="n">
        <x:v>40</x:v>
      </x:c>
      <x:c r="B51" s="32" t="n">
        <x:v>15</x:v>
      </x:c>
      <x:c r="C51" s="32" t="str">
        <x:v>Ian Bates</x:v>
      </x:c>
      <x:c r="D51" s="32" t="str">
        <x:v>Mr Rogers' Naberless Naberhood</x:v>
      </x:c>
      <x:c r="E51" s="32" t="str">
        <x:v>Kyren Williams</x:v>
      </x:c>
      <x:c r="F51" s="32" t="str">
        <x:v>LAR</x:v>
      </x:c>
      <x:c r="G51" s="32" t="str">
        <x:v>RB</x:v>
      </x:c>
      <x:c r="H51" s="34" t="n">
        <x:v>46</x:v>
      </x:c>
    </x:row>
    <x:row r="52">
      <x:c r="A52" s="55" t="n">
        <x:v>41</x:v>
      </x:c>
      <x:c r="B52" s="32" t="n">
        <x:v>19</x:v>
      </x:c>
      <x:c r="C52" s="32" t="str">
        <x:v>Thomas Atwater</x:v>
      </x:c>
      <x:c r="D52" s="32" t="str">
        <x:v>The Consensual Cosby</x:v>
      </x:c>
      <x:c r="E52" s="32" t="str">
        <x:v>Alvin Kamara</x:v>
      </x:c>
      <x:c r="F52" s="32" t="str">
        <x:v>NO</x:v>
      </x:c>
      <x:c r="G52" s="32" t="str">
        <x:v>RB</x:v>
      </x:c>
      <x:c r="H52" s="34" t="n">
        <x:v>36</x:v>
      </x:c>
    </x:row>
    <x:row r="53">
      <x:c r="A53" s="55" t="n">
        <x:v>42</x:v>
      </x:c>
      <x:c r="B53" s="32" t="n">
        <x:v>6</x:v>
      </x:c>
      <x:c r="C53" s="32" t="str">
        <x:v>sangfroid bang</x:v>
      </x:c>
      <x:c r="D53" s="32" t="str">
        <x:v>Moaning Myrtle</x:v>
      </x:c>
      <x:c r="E53" s="32" t="str">
        <x:v>TreVeyon Henderson</x:v>
      </x:c>
      <x:c r="F53" s="32" t="str">
        <x:v>NE</x:v>
      </x:c>
      <x:c r="G53" s="32" t="str">
        <x:v>RB</x:v>
      </x:c>
      <x:c r="H53" s="34" t="n">
        <x:v>38</x:v>
      </x:c>
    </x:row>
    <x:row r="54">
      <x:c r="A54" s="55" t="n">
        <x:v>43</x:v>
      </x:c>
      <x:c r="B54" s="32" t="n">
        <x:v>15</x:v>
      </x:c>
      <x:c r="C54" s="32" t="str">
        <x:v>Ian Bates</x:v>
      </x:c>
      <x:c r="D54" s="32" t="str">
        <x:v>Mr Rogers' Naberless Naberhood</x:v>
      </x:c>
      <x:c r="E54" s="32" t="str">
        <x:v>Courtland Sutton</x:v>
      </x:c>
      <x:c r="F54" s="32" t="str">
        <x:v>Den</x:v>
      </x:c>
      <x:c r="G54" s="32" t="str">
        <x:v>WR</x:v>
      </x:c>
      <x:c r="H54" s="34" t="n">
        <x:v>23</x:v>
      </x:c>
    </x:row>
    <x:row r="55">
      <x:c r="A55" s="55" t="n">
        <x:v>44</x:v>
      </x:c>
      <x:c r="B55" s="32" t="n">
        <x:v>9</x:v>
      </x:c>
      <x:c r="C55" s="32" t="str">
        <x:v>Kevin Kurian</x:v>
      </x:c>
      <x:c r="D55" s="32" t="str">
        <x:v>Torsades de PAT</x:v>
      </x:c>
      <x:c r="E55" s="32" t="str">
        <x:v>Travis Hunter</x:v>
      </x:c>
      <x:c r="F55" s="32" t="str">
        <x:v>Jax</x:v>
      </x:c>
      <x:c r="G55" s="32" t="str">
        <x:v>WR</x:v>
      </x:c>
      <x:c r="H55" s="34" t="n">
        <x:v>14</x:v>
      </x:c>
    </x:row>
    <x:row r="56">
      <x:c r="A56" s="55" t="n">
        <x:v>45</x:v>
      </x:c>
      <x:c r="B56" s="32" t="n">
        <x:v>17</x:v>
      </x:c>
      <x:c r="C56" s="32" t="str">
        <x:v>Scott McKnight</x:v>
      </x:c>
      <x:c r="D56" s="32" t="str">
        <x:v>Mahomeless</x:v>
      </x:c>
      <x:c r="E56" s="32" t="str">
        <x:v>James Conner</x:v>
      </x:c>
      <x:c r="F56" s="32" t="str">
        <x:v>Ari</x:v>
      </x:c>
      <x:c r="G56" s="32" t="str">
        <x:v>RB</x:v>
      </x:c>
      <x:c r="H56" s="34" t="n">
        <x:v>23</x:v>
      </x:c>
    </x:row>
    <x:row r="57">
      <x:c r="A57" s="55" t="n">
        <x:v>46</x:v>
      </x:c>
      <x:c r="B57" s="32" t="n">
        <x:v>1</x:v>
      </x:c>
      <x:c r="C57" s="32" t="str">
        <x:v>Brett McKnight</x:v>
      </x:c>
      <x:c r="D57" s="32" t="str">
        <x:v>Goff My Lawn</x:v>
      </x:c>
      <x:c r="E57" s="32" t="str">
        <x:v>Garrett Wilson</x:v>
      </x:c>
      <x:c r="F57" s="32" t="str">
        <x:v>NYJ</x:v>
      </x:c>
      <x:c r="G57" s="32" t="str">
        <x:v>WR</x:v>
      </x:c>
      <x:c r="H57" s="34" t="n">
        <x:v>27</x:v>
      </x:c>
    </x:row>
    <x:row r="58">
      <x:c r="A58" s="55" t="n">
        <x:v>47</x:v>
      </x:c>
      <x:c r="B58" s="32" t="n">
        <x:v>7</x:v>
      </x:c>
      <x:c r="C58" s="32" t="str">
        <x:v>Ebby Kurian</x:v>
      </x:c>
      <x:c r="D58" s="32" t="str">
        <x:v>The Splenic Flexture</x:v>
      </x:c>
      <x:c r="E58" s="32" t="str">
        <x:v>Marvin Harrison Jr.</x:v>
      </x:c>
      <x:c r="F58" s="32" t="str">
        <x:v>Ari</x:v>
      </x:c>
      <x:c r="G58" s="32" t="str">
        <x:v>WR</x:v>
      </x:c>
      <x:c r="H58" s="34" t="n">
        <x:v>29</x:v>
      </x:c>
    </x:row>
    <x:row r="59">
      <x:c r="A59" s="55" t="n">
        <x:v>48</x:v>
      </x:c>
      <x:c r="B59" s="32" t="n">
        <x:v>9</x:v>
      </x:c>
      <x:c r="C59" s="32" t="str">
        <x:v>Kevin Kurian</x:v>
      </x:c>
      <x:c r="D59" s="32" t="str">
        <x:v>Torsades de PAT</x:v>
      </x:c>
      <x:c r="E59" s="32" t="str">
        <x:v>Chris Olave</x:v>
      </x:c>
      <x:c r="F59" s="32" t="str">
        <x:v>NO</x:v>
      </x:c>
      <x:c r="G59" s="32" t="str">
        <x:v>WR</x:v>
      </x:c>
      <x:c r="H59" s="34" t="n">
        <x:v>8</x:v>
      </x:c>
    </x:row>
    <x:row r="60">
      <x:c r="A60" s="55" t="n">
        <x:v>49</x:v>
      </x:c>
      <x:c r="B60" s="32" t="n">
        <x:v>14</x:v>
      </x:c>
      <x:c r="C60" s="32" t="str">
        <x:v>David Richards</x:v>
      </x:c>
      <x:c r="D60" s="32" t="str">
        <x:v>Let JOSH Cook</x:v>
      </x:c>
      <x:c r="E60" s="32" t="str">
        <x:v>David Montgomery</x:v>
      </x:c>
      <x:c r="F60" s="32" t="str">
        <x:v>Hou</x:v>
      </x:c>
      <x:c r="G60" s="32" t="str">
        <x:v>RB</x:v>
      </x:c>
      <x:c r="H60" s="34" t="n">
        <x:v>16</x:v>
      </x:c>
    </x:row>
    <x:row r="61">
      <x:c r="A61" s="55" t="n">
        <x:v>50</x:v>
      </x:c>
      <x:c r="B61" s="32" t="n">
        <x:v>17</x:v>
      </x:c>
      <x:c r="C61" s="32" t="str">
        <x:v>Scott McKnight</x:v>
      </x:c>
      <x:c r="D61" s="32" t="str">
        <x:v>Mahomeless</x:v>
      </x:c>
      <x:c r="E61" s="32" t="str">
        <x:v>D'Andre Swift</x:v>
      </x:c>
      <x:c r="F61" s="32" t="str">
        <x:v>Chi</x:v>
      </x:c>
      <x:c r="G61" s="32" t="str">
        <x:v>RB</x:v>
      </x:c>
      <x:c r="H61" s="34" t="n">
        <x:v>13</x:v>
      </x:c>
    </x:row>
    <x:row r="62">
      <x:c r="A62" s="55" t="n">
        <x:v>51</x:v>
      </x:c>
      <x:c r="B62" s="32" t="n">
        <x:v>6</x:v>
      </x:c>
      <x:c r="C62" s="32" t="str">
        <x:v>sangfroid bang</x:v>
      </x:c>
      <x:c r="D62" s="32" t="str">
        <x:v>Moaning Myrtle</x:v>
      </x:c>
      <x:c r="E62" s="32" t="str">
        <x:v>Patrick Mahomes</x:v>
      </x:c>
      <x:c r="F62" s="32" t="str">
        <x:v>KC</x:v>
      </x:c>
      <x:c r="G62" s="32" t="str">
        <x:v>QB</x:v>
      </x:c>
      <x:c r="H62" s="34" t="n">
        <x:v>24</x:v>
      </x:c>
    </x:row>
    <x:row r="63">
      <x:c r="A63" s="55" t="n">
        <x:v>52</x:v>
      </x:c>
      <x:c r="B63" s="32" t="n">
        <x:v>16</x:v>
      </x:c>
      <x:c r="C63" s="32" t="str">
        <x:v>Eric Boudreau</x:v>
      </x:c>
      <x:c r="D63" s="32" t="str">
        <x:v>Blockbuster Promking</x:v>
      </x:c>
      <x:c r="E63" s="32" t="str">
        <x:v>Kenneth Walker III</x:v>
      </x:c>
      <x:c r="F63" s="32" t="str">
        <x:v>Sea</x:v>
      </x:c>
      <x:c r="G63" s="32" t="str">
        <x:v>RB</x:v>
      </x:c>
      <x:c r="H63" s="34" t="n">
        <x:v>29</x:v>
      </x:c>
    </x:row>
    <x:row r="64">
      <x:c r="A64" s="55" t="n">
        <x:v>53</x:v>
      </x:c>
      <x:c r="B64" s="32" t="n">
        <x:v>7</x:v>
      </x:c>
      <x:c r="C64" s="32" t="str">
        <x:v>Ebby Kurian</x:v>
      </x:c>
      <x:c r="D64" s="32" t="str">
        <x:v>The Splenic Flexture</x:v>
      </x:c>
      <x:c r="E64" s="32" t="str">
        <x:v>Stefon Diggs</x:v>
      </x:c>
      <x:c r="F64" s="32" t="str">
        <x:v>NE</x:v>
      </x:c>
      <x:c r="G64" s="32" t="str">
        <x:v>WR</x:v>
      </x:c>
      <x:c r="H64" s="34" t="n">
        <x:v>5</x:v>
      </x:c>
    </x:row>
    <x:row r="65">
      <x:c r="A65" s="55" t="n">
        <x:v>54</x:v>
      </x:c>
      <x:c r="B65" s="32" t="n">
        <x:v>19</x:v>
      </x:c>
      <x:c r="C65" s="32" t="str">
        <x:v>Thomas Atwater</x:v>
      </x:c>
      <x:c r="D65" s="32" t="str">
        <x:v>The Consensual Cosby</x:v>
      </x:c>
      <x:c r="E65" s="32" t="str">
        <x:v>DK Metcalf</x:v>
      </x:c>
      <x:c r="F65" s="32" t="str">
        <x:v>Pit</x:v>
      </x:c>
      <x:c r="G65" s="32" t="str">
        <x:v>WR</x:v>
      </x:c>
      <x:c r="H65" s="34" t="n">
        <x:v>23</x:v>
      </x:c>
    </x:row>
    <x:row r="66">
      <x:c r="A66" s="55" t="n">
        <x:v>55</x:v>
      </x:c>
      <x:c r="B66" s="32" t="n">
        <x:v>16</x:v>
      </x:c>
      <x:c r="C66" s="32" t="str">
        <x:v>Eric Boudreau</x:v>
      </x:c>
      <x:c r="D66" s="32" t="str">
        <x:v>Blockbuster Promking</x:v>
      </x:c>
      <x:c r="E66" s="32" t="str">
        <x:v>Breece Hall</x:v>
      </x:c>
      <x:c r="F66" s="32" t="str">
        <x:v>NYJ</x:v>
      </x:c>
      <x:c r="G66" s="32" t="str">
        <x:v>RB</x:v>
      </x:c>
      <x:c r="H66" s="34" t="n">
        <x:v>27</x:v>
      </x:c>
    </x:row>
    <x:row r="67">
      <x:c r="A67" s="55" t="n">
        <x:v>56</x:v>
      </x:c>
      <x:c r="B67" s="32" t="n">
        <x:v>7</x:v>
      </x:c>
      <x:c r="C67" s="32" t="str">
        <x:v>Ebby Kurian</x:v>
      </x:c>
      <x:c r="D67" s="32" t="str">
        <x:v>The Splenic Flexture</x:v>
      </x:c>
      <x:c r="E67" s="32" t="str">
        <x:v>Mike Evans</x:v>
      </x:c>
      <x:c r="F67" s="32" t="str">
        <x:v>TB</x:v>
      </x:c>
      <x:c r="G67" s="32" t="str">
        <x:v>WR</x:v>
      </x:c>
      <x:c r="H67" s="34" t="n">
        <x:v>20</x:v>
      </x:c>
    </x:row>
    <x:row r="68">
      <x:c r="A68" s="55" t="n">
        <x:v>57</x:v>
      </x:c>
      <x:c r="B68" s="32" t="n">
        <x:v>4</x:v>
      </x:c>
      <x:c r="C68" s="32" t="str">
        <x:v>Kendall Bicknell</x:v>
      </x:c>
      <x:c r="D68" s="32" t="str">
        <x:v>Creatine Caucasians</x:v>
      </x:c>
      <x:c r="E68" s="32" t="str">
        <x:v>Tetairoa McMillan</x:v>
      </x:c>
      <x:c r="F68" s="32" t="str">
        <x:v>Car</x:v>
      </x:c>
      <x:c r="G68" s="32" t="str">
        <x:v>WR</x:v>
      </x:c>
      <x:c r="H68" s="34" t="n">
        <x:v>23</x:v>
      </x:c>
    </x:row>
    <x:row r="69">
      <x:c r="A69" s="55" t="n">
        <x:v>58</x:v>
      </x:c>
      <x:c r="B69" s="32" t="n">
        <x:v>15</x:v>
      </x:c>
      <x:c r="C69" s="32" t="str">
        <x:v>Ian Bates</x:v>
      </x:c>
      <x:c r="D69" s="32" t="str">
        <x:v>Mr Rogers' Naberless Naberhood</x:v>
      </x:c>
      <x:c r="E69" s="32" t="str">
        <x:v>Bo Nix</x:v>
      </x:c>
      <x:c r="F69" s="32" t="str">
        <x:v>Den</x:v>
      </x:c>
      <x:c r="G69" s="32" t="str">
        <x:v>QB</x:v>
      </x:c>
      <x:c r="H69" s="34" t="n">
        <x:v>15</x:v>
      </x:c>
    </x:row>
    <x:row r="70">
      <x:c r="A70" s="55" t="n">
        <x:v>59</x:v>
      </x:c>
      <x:c r="B70" s="32" t="n">
        <x:v>19</x:v>
      </x:c>
      <x:c r="C70" s="32" t="str">
        <x:v>Thomas Atwater</x:v>
      </x:c>
      <x:c r="D70" s="32" t="str">
        <x:v>The Consensual Cosby</x:v>
      </x:c>
      <x:c r="E70" s="32" t="str">
        <x:v>Sam LaPorta</x:v>
      </x:c>
      <x:c r="F70" s="32" t="str">
        <x:v>Det</x:v>
      </x:c>
      <x:c r="G70" s="32" t="str">
        <x:v>TE</x:v>
      </x:c>
      <x:c r="H70" s="34" t="n">
        <x:v>21</x:v>
      </x:c>
    </x:row>
    <x:row r="71">
      <x:c r="A71" s="55" t="n">
        <x:v>60</x:v>
      </x:c>
      <x:c r="B71" s="32" t="n">
        <x:v>4</x:v>
      </x:c>
      <x:c r="C71" s="32" t="str">
        <x:v>Kendall Bicknell</x:v>
      </x:c>
      <x:c r="D71" s="32" t="str">
        <x:v>Creatine Caucasians</x:v>
      </x:c>
      <x:c r="E71" s="32" t="str">
        <x:v>Ricky Pearsall</x:v>
      </x:c>
      <x:c r="F71" s="32" t="str">
        <x:v>SF</x:v>
      </x:c>
      <x:c r="G71" s="32" t="str">
        <x:v>WR</x:v>
      </x:c>
      <x:c r="H71" s="34" t="n">
        <x:v>19</x:v>
      </x:c>
    </x:row>
    <x:row r="72">
      <x:c r="A72" s="55" t="n">
        <x:v>61</x:v>
      </x:c>
      <x:c r="B72" s="32" t="n">
        <x:v>1</x:v>
      </x:c>
      <x:c r="C72" s="32" t="str">
        <x:v>Brett McKnight</x:v>
      </x:c>
      <x:c r="D72" s="32" t="str">
        <x:v>Goff My Lawn</x:v>
      </x:c>
      <x:c r="E72" s="32" t="str">
        <x:v>DJ Moore</x:v>
      </x:c>
      <x:c r="F72" s="32" t="str">
        <x:v>Chi</x:v>
      </x:c>
      <x:c r="G72" s="32" t="str">
        <x:v>WR</x:v>
      </x:c>
      <x:c r="H72" s="34" t="n">
        <x:v>19</x:v>
      </x:c>
    </x:row>
    <x:row r="73">
      <x:c r="A73" s="55" t="n">
        <x:v>62</x:v>
      </x:c>
      <x:c r="B73" s="32" t="n">
        <x:v>9</x:v>
      </x:c>
      <x:c r="C73" s="32" t="str">
        <x:v>Kevin Kurian</x:v>
      </x:c>
      <x:c r="D73" s="32" t="str">
        <x:v>Torsades de PAT</x:v>
      </x:c>
      <x:c r="E73" s="32" t="str">
        <x:v>T.J. Hockenson</x:v>
      </x:c>
      <x:c r="F73" s="32" t="str">
        <x:v>Min</x:v>
      </x:c>
      <x:c r="G73" s="32" t="str">
        <x:v>TE</x:v>
      </x:c>
      <x:c r="H73" s="34" t="n">
        <x:v>13</x:v>
      </x:c>
    </x:row>
    <x:row r="74">
      <x:c r="A74" s="55" t="n">
        <x:v>63</x:v>
      </x:c>
      <x:c r="B74" s="32" t="n">
        <x:v>5</x:v>
      </x:c>
      <x:c r="C74" s="32" t="str">
        <x:v>George Rakkar</x:v>
      </x:c>
      <x:c r="D74" s="32" t="str">
        <x:v>8==== D</x:v>
      </x:c>
      <x:c r="E74" s="32" t="str">
        <x:v>Baker Mayfield</x:v>
      </x:c>
      <x:c r="F74" s="32" t="str">
        <x:v>TB</x:v>
      </x:c>
      <x:c r="G74" s="32" t="str">
        <x:v>QB</x:v>
      </x:c>
      <x:c r="H74" s="34" t="n">
        <x:v>13</x:v>
      </x:c>
    </x:row>
    <x:row r="75">
      <x:c r="A75" s="55" t="n">
        <x:v>64</x:v>
      </x:c>
      <x:c r="B75" s="32" t="n">
        <x:v>17</x:v>
      </x:c>
      <x:c r="C75" s="32" t="str">
        <x:v>Scott McKnight</x:v>
      </x:c>
      <x:c r="D75" s="32" t="str">
        <x:v>Mahomeless</x:v>
      </x:c>
      <x:c r="E75" s="32" t="str">
        <x:v>Xavier Worthy</x:v>
      </x:c>
      <x:c r="F75" s="32" t="str">
        <x:v>KC</x:v>
      </x:c>
      <x:c r="G75" s="32" t="str">
        <x:v>WR</x:v>
      </x:c>
      <x:c r="H75" s="34" t="n">
        <x:v>17</x:v>
      </x:c>
    </x:row>
    <x:row r="76">
      <x:c r="A76" s="55" t="n">
        <x:v>65</x:v>
      </x:c>
      <x:c r="B76" s="32" t="n">
        <x:v>14</x:v>
      </x:c>
      <x:c r="C76" s="32" t="str">
        <x:v>David Richards</x:v>
      </x:c>
      <x:c r="D76" s="32" t="str">
        <x:v>Let JOSH Cook</x:v>
      </x:c>
      <x:c r="E76" s="32" t="str">
        <x:v>Zay Flowers</x:v>
      </x:c>
      <x:c r="F76" s="32" t="str">
        <x:v>Bal</x:v>
      </x:c>
      <x:c r="G76" s="32" t="str">
        <x:v>WR</x:v>
      </x:c>
      <x:c r="H76" s="34" t="n">
        <x:v>11</x:v>
      </x:c>
    </x:row>
    <x:row r="77">
      <x:c r="A77" s="55" t="n">
        <x:v>66</x:v>
      </x:c>
      <x:c r="B77" s="32" t="n">
        <x:v>18</x:v>
      </x:c>
      <x:c r="C77" s="32" t="str">
        <x:v>Dan Maland</x:v>
      </x:c>
      <x:c r="D77" s="32" t="str">
        <x:v>New World Order</x:v>
      </x:c>
      <x:c r="E77" s="32" t="str">
        <x:v>George Pickens</x:v>
      </x:c>
      <x:c r="F77" s="32" t="str">
        <x:v>Dal</x:v>
      </x:c>
      <x:c r="G77" s="32" t="str">
        <x:v>WR</x:v>
      </x:c>
      <x:c r="H77" s="34" t="n">
        <x:v>10</x:v>
      </x:c>
    </x:row>
    <x:row r="78">
      <x:c r="A78" s="55" t="n">
        <x:v>67</x:v>
      </x:c>
      <x:c r="B78" s="32" t="n">
        <x:v>1</x:v>
      </x:c>
      <x:c r="C78" s="32" t="str">
        <x:v>Brett McKnight</x:v>
      </x:c>
      <x:c r="D78" s="32" t="str">
        <x:v>Goff My Lawn</x:v>
      </x:c>
      <x:c r="E78" s="32" t="str">
        <x:v>Travis Kelce</x:v>
      </x:c>
      <x:c r="F78" s="32" t="str">
        <x:v>KC</x:v>
      </x:c>
      <x:c r="G78" s="32" t="str">
        <x:v>TE</x:v>
      </x:c>
      <x:c r="H78" s="34" t="n">
        <x:v>7</x:v>
      </x:c>
    </x:row>
    <x:row r="79">
      <x:c r="A79" s="55" t="n">
        <x:v>68</x:v>
      </x:c>
      <x:c r="B79" s="32" t="n">
        <x:v>4</x:v>
      </x:c>
      <x:c r="C79" s="32" t="str">
        <x:v>Kendall Bicknell</x:v>
      </x:c>
      <x:c r="D79" s="32" t="str">
        <x:v>Creatine Caucasians</x:v>
      </x:c>
      <x:c r="E79" s="32" t="str">
        <x:v>Dak Prescott</x:v>
      </x:c>
      <x:c r="F79" s="32" t="str">
        <x:v>Dal</x:v>
      </x:c>
      <x:c r="G79" s="32" t="str">
        <x:v>QB</x:v>
      </x:c>
      <x:c r="H79" s="34" t="n">
        <x:v>6</x:v>
      </x:c>
    </x:row>
    <x:row r="80">
      <x:c r="A80" s="55" t="n">
        <x:v>69</x:v>
      </x:c>
      <x:c r="B80" s="32" t="n">
        <x:v>16</x:v>
      </x:c>
      <x:c r="C80" s="32" t="str">
        <x:v>Eric Boudreau</x:v>
      </x:c>
      <x:c r="D80" s="32" t="str">
        <x:v>Blockbuster Promking</x:v>
      </x:c>
      <x:c r="E80" s="32" t="str">
        <x:v>Kyler Murray</x:v>
      </x:c>
      <x:c r="F80" s="32" t="str">
        <x:v>Ari</x:v>
      </x:c>
      <x:c r="G80" s="32" t="str">
        <x:v>QB</x:v>
      </x:c>
      <x:c r="H80" s="34" t="n">
        <x:v>10</x:v>
      </x:c>
    </x:row>
    <x:row r="81">
      <x:c r="A81" s="55" t="n">
        <x:v>70</x:v>
      </x:c>
      <x:c r="B81" s="32" t="n">
        <x:v>17</x:v>
      </x:c>
      <x:c r="C81" s="32" t="str">
        <x:v>Scott McKnight</x:v>
      </x:c>
      <x:c r="D81" s="32" t="str">
        <x:v>Mahomeless</x:v>
      </x:c>
      <x:c r="E81" s="32" t="str">
        <x:v>Brock Purdy</x:v>
      </x:c>
      <x:c r="F81" s="32" t="str">
        <x:v>SF</x:v>
      </x:c>
      <x:c r="G81" s="32" t="str">
        <x:v>QB</x:v>
      </x:c>
      <x:c r="H81" s="34" t="n">
        <x:v>2</x:v>
      </x:c>
    </x:row>
    <x:row r="82">
      <x:c r="A82" s="55" t="n">
        <x:v>71</x:v>
      </x:c>
      <x:c r="B82" s="32" t="n">
        <x:v>5</x:v>
      </x:c>
      <x:c r="C82" s="32" t="str">
        <x:v>George Rakkar</x:v>
      </x:c>
      <x:c r="D82" s="32" t="str">
        <x:v>8==== D</x:v>
      </x:c>
      <x:c r="E82" s="32" t="str">
        <x:v>RJ Harvey</x:v>
      </x:c>
      <x:c r="F82" s="32" t="str">
        <x:v>Den</x:v>
      </x:c>
      <x:c r="G82" s="32" t="str">
        <x:v>RB</x:v>
      </x:c>
      <x:c r="H82" s="34" t="n">
        <x:v>34</x:v>
      </x:c>
    </x:row>
    <x:row r="83">
      <x:c r="A83" s="55" t="n">
        <x:v>72</x:v>
      </x:c>
      <x:c r="B83" s="32" t="n">
        <x:v>4</x:v>
      </x:c>
      <x:c r="C83" s="32" t="str">
        <x:v>Kendall Bicknell</x:v>
      </x:c>
      <x:c r="D83" s="32" t="str">
        <x:v>Creatine Caucasians</x:v>
      </x:c>
      <x:c r="E83" s="32" t="str">
        <x:v>DeVonta Smith</x:v>
      </x:c>
      <x:c r="F83" s="32" t="str">
        <x:v>Phi</x:v>
      </x:c>
      <x:c r="G83" s="32" t="str">
        <x:v>WR</x:v>
      </x:c>
      <x:c r="H83" s="34" t="n">
        <x:v>17</x:v>
      </x:c>
    </x:row>
    <x:row r="84">
      <x:c r="A84" s="55" t="n">
        <x:v>73</x:v>
      </x:c>
      <x:c r="B84" s="32" t="n">
        <x:v>4</x:v>
      </x:c>
      <x:c r="C84" s="32" t="str">
        <x:v>Kendall Bicknell</x:v>
      </x:c>
      <x:c r="D84" s="32" t="str">
        <x:v>Creatine Caucasians</x:v>
      </x:c>
      <x:c r="E84" s="32" t="str">
        <x:v>Jameson Williams</x:v>
      </x:c>
      <x:c r="F84" s="32" t="str">
        <x:v>Det</x:v>
      </x:c>
      <x:c r="G84" s="32" t="str">
        <x:v>WR</x:v>
      </x:c>
      <x:c r="H84" s="34" t="n">
        <x:v>22</x:v>
      </x:c>
    </x:row>
    <x:row r="85">
      <x:c r="A85" s="55" t="n">
        <x:v>74</x:v>
      </x:c>
      <x:c r="B85" s="32" t="n">
        <x:v>1</x:v>
      </x:c>
      <x:c r="C85" s="32" t="str">
        <x:v>Brett McKnight</x:v>
      </x:c>
      <x:c r="D85" s="32" t="str">
        <x:v>Goff My Lawn</x:v>
      </x:c>
      <x:c r="E85" s="32" t="str">
        <x:v>Aaron Jones Sr.</x:v>
      </x:c>
      <x:c r="F85" s="32" t="str">
        <x:v>Min</x:v>
      </x:c>
      <x:c r="G85" s="32" t="str">
        <x:v>RB</x:v>
      </x:c>
      <x:c r="H85" s="34" t="n">
        <x:v>19</x:v>
      </x:c>
    </x:row>
    <x:row r="86">
      <x:c r="A86" s="55" t="n">
        <x:v>75</x:v>
      </x:c>
      <x:c r="B86" s="32" t="n">
        <x:v>17</x:v>
      </x:c>
      <x:c r="C86" s="32" t="str">
        <x:v>Scott McKnight</x:v>
      </x:c>
      <x:c r="D86" s="32" t="str">
        <x:v>Mahomeless</x:v>
      </x:c>
      <x:c r="E86" s="32" t="str">
        <x:v>Isiah Pacheco</x:v>
      </x:c>
      <x:c r="F86" s="32" t="str">
        <x:v>KC</x:v>
      </x:c>
      <x:c r="G86" s="32" t="str">
        <x:v>RB</x:v>
      </x:c>
      <x:c r="H86" s="34" t="n">
        <x:v>23</x:v>
      </x:c>
    </x:row>
    <x:row r="87">
      <x:c r="A87" s="55" t="n">
        <x:v>76</x:v>
      </x:c>
      <x:c r="B87" s="32" t="n">
        <x:v>4</x:v>
      </x:c>
      <x:c r="C87" s="32" t="str">
        <x:v>Kendall Bicknell</x:v>
      </x:c>
      <x:c r="D87" s="32" t="str">
        <x:v>Creatine Caucasians</x:v>
      </x:c>
      <x:c r="E87" s="32" t="str">
        <x:v>Tony Pollard</x:v>
      </x:c>
      <x:c r="F87" s="32" t="str">
        <x:v>Ten</x:v>
      </x:c>
      <x:c r="G87" s="32" t="str">
        <x:v>RB</x:v>
      </x:c>
      <x:c r="H87" s="34" t="n">
        <x:v>21</x:v>
      </x:c>
    </x:row>
    <x:row r="88">
      <x:c r="A88" s="55" t="n">
        <x:v>77</x:v>
      </x:c>
      <x:c r="B88" s="32" t="n">
        <x:v>19</x:v>
      </x:c>
      <x:c r="C88" s="32" t="str">
        <x:v>Thomas Atwater</x:v>
      </x:c>
      <x:c r="D88" s="32" t="str">
        <x:v>The Consensual Cosby</x:v>
      </x:c>
      <x:c r="E88" s="32" t="str">
        <x:v>Kaleb Johnson</x:v>
      </x:c>
      <x:c r="F88" s="32" t="str">
        <x:v>Pit</x:v>
      </x:c>
      <x:c r="G88" s="32" t="str">
        <x:v>RB</x:v>
      </x:c>
      <x:c r="H88" s="34" t="n">
        <x:v>9</x:v>
      </x:c>
    </x:row>
    <x:row r="89">
      <x:c r="A89" s="55" t="n">
        <x:v>78</x:v>
      </x:c>
      <x:c r="B89" s="32" t="n">
        <x:v>15</x:v>
      </x:c>
      <x:c r="C89" s="32" t="str">
        <x:v>Ian Bates</x:v>
      </x:c>
      <x:c r="D89" s="32" t="str">
        <x:v>Mr Rogers' Naberless Naberhood</x:v>
      </x:c>
      <x:c r="E89" s="32" t="str">
        <x:v>David Njoku</x:v>
      </x:c>
      <x:c r="F89" s="32" t="str">
        <x:v>Cle</x:v>
      </x:c>
      <x:c r="G89" s="32" t="str">
        <x:v>TE</x:v>
      </x:c>
      <x:c r="H89" s="34" t="n">
        <x:v>3</x:v>
      </x:c>
    </x:row>
    <x:row r="90">
      <x:c r="A90" s="55" t="n">
        <x:v>79</x:v>
      </x:c>
      <x:c r="B90" s="32" t="n">
        <x:v>16</x:v>
      </x:c>
      <x:c r="C90" s="32" t="str">
        <x:v>Eric Boudreau</x:v>
      </x:c>
      <x:c r="D90" s="32" t="str">
        <x:v>Blockbuster Promking</x:v>
      </x:c>
      <x:c r="E90" s="32" t="str">
        <x:v>Calvin Ridley</x:v>
      </x:c>
      <x:c r="F90" s="32" t="str">
        <x:v>Ten</x:v>
      </x:c>
      <x:c r="G90" s="32" t="str">
        <x:v>WR</x:v>
      </x:c>
      <x:c r="H90" s="34" t="n">
        <x:v>14</x:v>
      </x:c>
    </x:row>
    <x:row r="91">
      <x:c r="A91" s="55" t="n">
        <x:v>80</x:v>
      </x:c>
      <x:c r="B91" s="32" t="n">
        <x:v>14</x:v>
      </x:c>
      <x:c r="C91" s="32" t="str">
        <x:v>David Richards</x:v>
      </x:c>
      <x:c r="D91" s="32" t="str">
        <x:v>Let JOSH Cook</x:v>
      </x:c>
      <x:c r="E91" s="32" t="str">
        <x:v>Rome Odunze</x:v>
      </x:c>
      <x:c r="F91" s="32" t="str">
        <x:v>Chi</x:v>
      </x:c>
      <x:c r="G91" s="32" t="str">
        <x:v>WR</x:v>
      </x:c>
      <x:c r="H91" s="34" t="n">
        <x:v>14</x:v>
      </x:c>
    </x:row>
    <x:row r="92">
      <x:c r="A92" s="55" t="n">
        <x:v>81</x:v>
      </x:c>
      <x:c r="B92" s="32" t="n">
        <x:v>9</x:v>
      </x:c>
      <x:c r="C92" s="32" t="str">
        <x:v>Kevin Kurian</x:v>
      </x:c>
      <x:c r="D92" s="32" t="str">
        <x:v>Torsades de PAT</x:v>
      </x:c>
      <x:c r="E92" s="32" t="str">
        <x:v>Tyrone Tracy Jr.</x:v>
      </x:c>
      <x:c r="F92" s="32" t="str">
        <x:v>NYG</x:v>
      </x:c>
      <x:c r="G92" s="32" t="str">
        <x:v>RB</x:v>
      </x:c>
      <x:c r="H92" s="34" t="n">
        <x:v>15</x:v>
      </x:c>
    </x:row>
    <x:row r="93">
      <x:c r="A93" s="55" t="n">
        <x:v>82</x:v>
      </x:c>
      <x:c r="B93" s="32" t="n">
        <x:v>7</x:v>
      </x:c>
      <x:c r="C93" s="32" t="str">
        <x:v>Ebby Kurian</x:v>
      </x:c>
      <x:c r="D93" s="32" t="str">
        <x:v>The Splenic Flexture</x:v>
      </x:c>
      <x:c r="E93" s="32" t="str">
        <x:v>Tyler Warren</x:v>
      </x:c>
      <x:c r="F93" s="32" t="str">
        <x:v>Ind</x:v>
      </x:c>
      <x:c r="G93" s="32" t="str">
        <x:v>TE</x:v>
      </x:c>
      <x:c r="H93" s="34" t="n">
        <x:v>9</x:v>
      </x:c>
    </x:row>
    <x:row r="94">
      <x:c r="A94" s="55" t="n">
        <x:v>83</x:v>
      </x:c>
      <x:c r="B94" s="32" t="n">
        <x:v>9</x:v>
      </x:c>
      <x:c r="C94" s="32" t="str">
        <x:v>Kevin Kurian</x:v>
      </x:c>
      <x:c r="D94" s="32" t="str">
        <x:v>Torsades de PAT</x:v>
      </x:c>
      <x:c r="E94" s="32" t="str">
        <x:v>Jacory Croskey-Merritt</x:v>
      </x:c>
      <x:c r="F94" s="32" t="str">
        <x:v>Wsh</x:v>
      </x:c>
      <x:c r="G94" s="32" t="str">
        <x:v>RB</x:v>
      </x:c>
      <x:c r="H94" s="34" t="n">
        <x:v>17</x:v>
      </x:c>
    </x:row>
    <x:row r="95">
      <x:c r="A95" s="55" t="n">
        <x:v>84</x:v>
      </x:c>
      <x:c r="B95" s="32" t="n">
        <x:v>7</x:v>
      </x:c>
      <x:c r="C95" s="32" t="str">
        <x:v>Ebby Kurian</x:v>
      </x:c>
      <x:c r="D95" s="32" t="str">
        <x:v>The Splenic Flexture</x:v>
      </x:c>
      <x:c r="E95" s="32" t="str">
        <x:v>Jaylen Waddle</x:v>
      </x:c>
      <x:c r="F95" s="32" t="str">
        <x:v>Mia</x:v>
      </x:c>
      <x:c r="G95" s="32" t="str">
        <x:v>WR</x:v>
      </x:c>
      <x:c r="H95" s="34" t="n">
        <x:v>18</x:v>
      </x:c>
    </x:row>
    <x:row r="96">
      <x:c r="A96" s="55" t="n">
        <x:v>85</x:v>
      </x:c>
      <x:c r="B96" s="32" t="n">
        <x:v>14</x:v>
      </x:c>
      <x:c r="C96" s="32" t="str">
        <x:v>David Richards</x:v>
      </x:c>
      <x:c r="D96" s="32" t="str">
        <x:v>Let JOSH Cook</x:v>
      </x:c>
      <x:c r="E96" s="32" t="str">
        <x:v>Jakobi Meyers</x:v>
      </x:c>
      <x:c r="F96" s="32" t="str">
        <x:v>Jax</x:v>
      </x:c>
      <x:c r="G96" s="32" t="str">
        <x:v>WR</x:v>
      </x:c>
      <x:c r="H96" s="34" t="n">
        <x:v>12</x:v>
      </x:c>
    </x:row>
    <x:row r="97">
      <x:c r="A97" s="55" t="n">
        <x:v>86</x:v>
      </x:c>
      <x:c r="B97" s="32" t="n">
        <x:v>7</x:v>
      </x:c>
      <x:c r="C97" s="32" t="str">
        <x:v>Ebby Kurian</x:v>
      </x:c>
      <x:c r="D97" s="32" t="str">
        <x:v>The Splenic Flexture</x:v>
      </x:c>
      <x:c r="E97" s="32" t="str">
        <x:v>Jaylen Warren</x:v>
      </x:c>
      <x:c r="F97" s="32" t="str">
        <x:v>Pit</x:v>
      </x:c>
      <x:c r="G97" s="32" t="str">
        <x:v>RB</x:v>
      </x:c>
      <x:c r="H97" s="34" t="n">
        <x:v>9</x:v>
      </x:c>
    </x:row>
    <x:row r="98">
      <x:c r="A98" s="55" t="n">
        <x:v>87</x:v>
      </x:c>
      <x:c r="B98" s="32" t="n">
        <x:v>17</x:v>
      </x:c>
      <x:c r="C98" s="32" t="str">
        <x:v>Scott McKnight</x:v>
      </x:c>
      <x:c r="D98" s="32" t="str">
        <x:v>Mahomeless</x:v>
      </x:c>
      <x:c r="E98" s="32" t="str">
        <x:v>Jerry Jeudy</x:v>
      </x:c>
      <x:c r="F98" s="32" t="str">
        <x:v>Cle</x:v>
      </x:c>
      <x:c r="G98" s="32" t="str">
        <x:v>WR</x:v>
      </x:c>
      <x:c r="H98" s="34" t="n">
        <x:v>7</x:v>
      </x:c>
    </x:row>
    <x:row r="99">
      <x:c r="A99" s="55" t="n">
        <x:v>88</x:v>
      </x:c>
      <x:c r="B99" s="32" t="n">
        <x:v>6</x:v>
      </x:c>
      <x:c r="C99" s="32" t="str">
        <x:v>sangfroid bang</x:v>
      </x:c>
      <x:c r="D99" s="32" t="str">
        <x:v>Moaning Myrtle</x:v>
      </x:c>
      <x:c r="E99" s="32" t="str">
        <x:v>Mark Andrews</x:v>
      </x:c>
      <x:c r="F99" s="32" t="str">
        <x:v>Bal</x:v>
      </x:c>
      <x:c r="G99" s="32" t="str">
        <x:v>TE</x:v>
      </x:c>
      <x:c r="H99" s="34" t="n">
        <x:v>2</x:v>
      </x:c>
    </x:row>
    <x:row r="100">
      <x:c r="A100" s="55" t="n">
        <x:v>89</x:v>
      </x:c>
      <x:c r="B100" s="32" t="n">
        <x:v>17</x:v>
      </x:c>
      <x:c r="C100" s="32" t="str">
        <x:v>Scott McKnight</x:v>
      </x:c>
      <x:c r="D100" s="32" t="str">
        <x:v>Mahomeless</x:v>
      </x:c>
      <x:c r="E100" s="32" t="str">
        <x:v>Logan Thomas</x:v>
      </x:c>
      <x:c r="F100" s="32" t="str">
        <x:v>FA</x:v>
      </x:c>
      <x:c r="G100" s="32" t="str">
        <x:v>TE</x:v>
      </x:c>
      <x:c r="H100" s="34" t="n">
        <x:v>1</x:v>
      </x:c>
    </x:row>
    <x:row r="101">
      <x:c r="A101" s="55" t="n">
        <x:v>90</x:v>
      </x:c>
      <x:c r="B101" s="32" t="n">
        <x:v>19</x:v>
      </x:c>
      <x:c r="C101" s="32" t="str">
        <x:v>Thomas Atwater</x:v>
      </x:c>
      <x:c r="D101" s="32" t="str">
        <x:v>The Consensual Cosby</x:v>
      </x:c>
      <x:c r="E101" s="32" t="str">
        <x:v>Keon Coleman</x:v>
      </x:c>
      <x:c r="F101" s="32" t="str">
        <x:v>Buf</x:v>
      </x:c>
      <x:c r="G101" s="32" t="str">
        <x:v>WR</x:v>
      </x:c>
      <x:c r="H101" s="34" t="n">
        <x:v>7</x:v>
      </x:c>
    </x:row>
    <x:row r="102">
      <x:c r="A102" s="55" t="n">
        <x:v>91</x:v>
      </x:c>
      <x:c r="B102" s="32" t="n">
        <x:v>15</x:v>
      </x:c>
      <x:c r="C102" s="32" t="str">
        <x:v>Ian Bates</x:v>
      </x:c>
      <x:c r="D102" s="32" t="str">
        <x:v>Mr Rogers' Naberless Naberhood</x:v>
      </x:c>
      <x:c r="E102" s="32" t="str">
        <x:v>Broncos D/ST</x:v>
      </x:c>
      <x:c r="F102" s="32" t="str">
        <x:v>Den</x:v>
      </x:c>
      <x:c r="G102" s="32" t="str">
        <x:v>D/ST</x:v>
      </x:c>
      <x:c r="H102" s="34" t="n">
        <x:v>5</x:v>
      </x:c>
    </x:row>
    <x:row r="103">
      <x:c r="A103" s="55" t="n">
        <x:v>92</x:v>
      </x:c>
      <x:c r="B103" s="32" t="n">
        <x:v>17</x:v>
      </x:c>
      <x:c r="C103" s="32" t="str">
        <x:v>Scott McKnight</x:v>
      </x:c>
      <x:c r="D103" s="32" t="str">
        <x:v>Mahomeless</x:v>
      </x:c>
      <x:c r="E103" s="32" t="str">
        <x:v>Dalton Kincaid</x:v>
      </x:c>
      <x:c r="F103" s="32" t="str">
        <x:v>Buf</x:v>
      </x:c>
      <x:c r="G103" s="32" t="str">
        <x:v>TE</x:v>
      </x:c>
      <x:c r="H103" s="34" t="n">
        <x:v>2</x:v>
      </x:c>
    </x:row>
    <x:row r="104">
      <x:c r="A104" s="55" t="n">
        <x:v>93</x:v>
      </x:c>
      <x:c r="B104" s="32" t="n">
        <x:v>9</x:v>
      </x:c>
      <x:c r="C104" s="32" t="str">
        <x:v>Kevin Kurian</x:v>
      </x:c>
      <x:c r="D104" s="32" t="str">
        <x:v>Torsades de PAT</x:v>
      </x:c>
      <x:c r="E104" s="32" t="str">
        <x:v>Justin Herbert</x:v>
      </x:c>
      <x:c r="F104" s="32" t="str">
        <x:v>LAC</x:v>
      </x:c>
      <x:c r="G104" s="32" t="str">
        <x:v>QB</x:v>
      </x:c>
      <x:c r="H104" s="34" t="n">
        <x:v>8</x:v>
      </x:c>
    </x:row>
    <x:row r="105">
      <x:c r="A105" s="55" t="n">
        <x:v>94</x:v>
      </x:c>
      <x:c r="B105" s="32" t="n">
        <x:v>4</x:v>
      </x:c>
      <x:c r="C105" s="32" t="str">
        <x:v>Kendall Bicknell</x:v>
      </x:c>
      <x:c r="D105" s="32" t="str">
        <x:v>Creatine Caucasians</x:v>
      </x:c>
      <x:c r="E105" s="32" t="str">
        <x:v>Evan Engram</x:v>
      </x:c>
      <x:c r="F105" s="32" t="str">
        <x:v>Den</x:v>
      </x:c>
      <x:c r="G105" s="32" t="str">
        <x:v>TE</x:v>
      </x:c>
      <x:c r="H105" s="34" t="n">
        <x:v>2</x:v>
      </x:c>
    </x:row>
    <x:row r="106">
      <x:c r="A106" s="55" t="n">
        <x:v>95</x:v>
      </x:c>
      <x:c r="B106" s="32" t="n">
        <x:v>9</x:v>
      </x:c>
      <x:c r="C106" s="32" t="str">
        <x:v>Kevin Kurian</x:v>
      </x:c>
      <x:c r="D106" s="32" t="str">
        <x:v>Torsades de PAT</x:v>
      </x:c>
      <x:c r="E106" s="32" t="str">
        <x:v>Justin Fields</x:v>
      </x:c>
      <x:c r="F106" s="32" t="str">
        <x:v>NYJ</x:v>
      </x:c>
      <x:c r="G106" s="32" t="str">
        <x:v>QB</x:v>
      </x:c>
      <x:c r="H106" s="34" t="n">
        <x:v>2</x:v>
      </x:c>
    </x:row>
    <x:row r="107">
      <x:c r="A107" s="55" t="n">
        <x:v>96</x:v>
      </x:c>
      <x:c r="B107" s="32" t="n">
        <x:v>1</x:v>
      </x:c>
      <x:c r="C107" s="32" t="str">
        <x:v>Brett McKnight</x:v>
      </x:c>
      <x:c r="D107" s="32" t="str">
        <x:v>Goff My Lawn</x:v>
      </x:c>
      <x:c r="E107" s="32" t="str">
        <x:v>Rashee Rice</x:v>
      </x:c>
      <x:c r="F107" s="32" t="str">
        <x:v>KC</x:v>
      </x:c>
      <x:c r="G107" s="32" t="str">
        <x:v>WR</x:v>
      </x:c>
      <x:c r="H107" s="34" t="n">
        <x:v>21</x:v>
      </x:c>
    </x:row>
    <x:row r="108">
      <x:c r="A108" s="55" t="n">
        <x:v>97</x:v>
      </x:c>
      <x:c r="B108" s="32" t="n">
        <x:v>14</x:v>
      </x:c>
      <x:c r="C108" s="32" t="str">
        <x:v>David Richards</x:v>
      </x:c>
      <x:c r="D108" s="32" t="str">
        <x:v>Let JOSH Cook</x:v>
      </x:c>
      <x:c r="E108" s="32" t="str">
        <x:v>Bhayshul Tuten</x:v>
      </x:c>
      <x:c r="F108" s="32" t="str">
        <x:v>Jax</x:v>
      </x:c>
      <x:c r="G108" s="32" t="str">
        <x:v>RB</x:v>
      </x:c>
      <x:c r="H108" s="34" t="n">
        <x:v>3</x:v>
      </x:c>
    </x:row>
    <x:row r="109">
      <x:c r="A109" s="55" t="n">
        <x:v>98</x:v>
      </x:c>
      <x:c r="B109" s="32" t="n">
        <x:v>6</x:v>
      </x:c>
      <x:c r="C109" s="32" t="str">
        <x:v>sangfroid bang</x:v>
      </x:c>
      <x:c r="D109" s="32" t="str">
        <x:v>Moaning Myrtle</x:v>
      </x:c>
      <x:c r="E109" s="32" t="str">
        <x:v>Rhamondre Stevenson</x:v>
      </x:c>
      <x:c r="F109" s="32" t="str">
        <x:v>NE</x:v>
      </x:c>
      <x:c r="G109" s="32" t="str">
        <x:v>RB</x:v>
      </x:c>
      <x:c r="H109" s="34" t="n">
        <x:v>5</x:v>
      </x:c>
    </x:row>
    <x:row r="110">
      <x:c r="A110" s="55" t="n">
        <x:v>99</x:v>
      </x:c>
      <x:c r="B110" s="32" t="n">
        <x:v>18</x:v>
      </x:c>
      <x:c r="C110" s="32" t="str">
        <x:v>Dan Maland</x:v>
      </x:c>
      <x:c r="D110" s="32" t="str">
        <x:v>New World Order</x:v>
      </x:c>
      <x:c r="E110" s="32" t="str">
        <x:v>Javonte Williams</x:v>
      </x:c>
      <x:c r="F110" s="32" t="str">
        <x:v>Dal</x:v>
      </x:c>
      <x:c r="G110" s="32" t="str">
        <x:v>RB</x:v>
      </x:c>
      <x:c r="H110" s="34" t="n">
        <x:v>5</x:v>
      </x:c>
    </x:row>
    <x:row r="111">
      <x:c r="A111" s="55" t="n">
        <x:v>100</x:v>
      </x:c>
      <x:c r="B111" s="32" t="n">
        <x:v>16</x:v>
      </x:c>
      <x:c r="C111" s="32" t="str">
        <x:v>Eric Boudreau</x:v>
      </x:c>
      <x:c r="D111" s="32" t="str">
        <x:v>Blockbuster Promking</x:v>
      </x:c>
      <x:c r="E111" s="32" t="str">
        <x:v>Steelers D/ST</x:v>
      </x:c>
      <x:c r="F111" s="32" t="str">
        <x:v>Pit</x:v>
      </x:c>
      <x:c r="G111" s="32" t="str">
        <x:v>D/ST</x:v>
      </x:c>
      <x:c r="H111" s="34" t="n">
        <x:v>2</x:v>
      </x:c>
    </x:row>
    <x:row r="112">
      <x:c r="A112" s="55" t="n">
        <x:v>101</x:v>
      </x:c>
      <x:c r="B112" s="32" t="n">
        <x:v>19</x:v>
      </x:c>
      <x:c r="C112" s="32" t="str">
        <x:v>Thomas Atwater</x:v>
      </x:c>
      <x:c r="D112" s="32" t="str">
        <x:v>The Consensual Cosby</x:v>
      </x:c>
      <x:c r="E112" s="32" t="str">
        <x:v>Texans D/ST</x:v>
      </x:c>
      <x:c r="F112" s="32" t="str">
        <x:v>Hou</x:v>
      </x:c>
      <x:c r="G112" s="32" t="str">
        <x:v>D/ST</x:v>
      </x:c>
      <x:c r="H112" s="34" t="n">
        <x:v>7</x:v>
      </x:c>
    </x:row>
    <x:row r="113">
      <x:c r="A113" s="55" t="n">
        <x:v>102</x:v>
      </x:c>
      <x:c r="B113" s="32" t="n">
        <x:v>7</x:v>
      </x:c>
      <x:c r="C113" s="32" t="str">
        <x:v>Ebby Kurian</x:v>
      </x:c>
      <x:c r="D113" s="32" t="str">
        <x:v>The Splenic Flexture</x:v>
      </x:c>
      <x:c r="E113" s="32" t="str">
        <x:v>Zach Charbonnet</x:v>
      </x:c>
      <x:c r="F113" s="32" t="str">
        <x:v>Sea</x:v>
      </x:c>
      <x:c r="G113" s="32" t="str">
        <x:v>RB</x:v>
      </x:c>
      <x:c r="H113" s="34" t="n">
        <x:v>12</x:v>
      </x:c>
    </x:row>
    <x:row r="114">
      <x:c r="A114" s="55" t="n">
        <x:v>103</x:v>
      </x:c>
      <x:c r="B114" s="32" t="n">
        <x:v>15</x:v>
      </x:c>
      <x:c r="C114" s="32" t="str">
        <x:v>Ian Bates</x:v>
      </x:c>
      <x:c r="D114" s="32" t="str">
        <x:v>Mr Rogers' Naberless Naberhood</x:v>
      </x:c>
      <x:c r="E114" s="32" t="str">
        <x:v>Brandon Aubrey</x:v>
      </x:c>
      <x:c r="F114" s="32" t="str">
        <x:v>Dal</x:v>
      </x:c>
      <x:c r="G114" s="32" t="str">
        <x:v>K</x:v>
      </x:c>
      <x:c r="H114" s="34" t="n">
        <x:v>5</x:v>
      </x:c>
    </x:row>
    <x:row r="115">
      <x:c r="A115" s="55" t="n">
        <x:v>104</x:v>
      </x:c>
      <x:c r="B115" s="32" t="n">
        <x:v>9</x:v>
      </x:c>
      <x:c r="C115" s="32" t="str">
        <x:v>Kevin Kurian</x:v>
      </x:c>
      <x:c r="D115" s="32" t="str">
        <x:v>Torsades de PAT</x:v>
      </x:c>
      <x:c r="E115" s="32" t="str">
        <x:v>Colston Loveland</x:v>
      </x:c>
      <x:c r="F115" s="32" t="str">
        <x:v>Chi</x:v>
      </x:c>
      <x:c r="G115" s="32" t="str">
        <x:v>TE</x:v>
      </x:c>
      <x:c r="H115" s="34" t="n">
        <x:v>7</x:v>
      </x:c>
    </x:row>
    <x:row r="116">
      <x:c r="A116" s="55" t="n">
        <x:v>105</x:v>
      </x:c>
      <x:c r="B116" s="32" t="n">
        <x:v>17</x:v>
      </x:c>
      <x:c r="C116" s="32" t="str">
        <x:v>Scott McKnight</x:v>
      </x:c>
      <x:c r="D116" s="32" t="str">
        <x:v>Mahomeless</x:v>
      </x:c>
      <x:c r="E116" s="32" t="str">
        <x:v>Jake Bates</x:v>
      </x:c>
      <x:c r="F116" s="32" t="str">
        <x:v>Det</x:v>
      </x:c>
      <x:c r="G116" s="32" t="str">
        <x:v>K</x:v>
      </x:c>
      <x:c r="H116" s="34" t="n">
        <x:v>4</x:v>
      </x:c>
    </x:row>
    <x:row r="117">
      <x:c r="A117" s="55" t="n">
        <x:v>106</x:v>
      </x:c>
      <x:c r="B117" s="32" t="n">
        <x:v>19</x:v>
      </x:c>
      <x:c r="C117" s="32" t="str">
        <x:v>Thomas Atwater</x:v>
      </x:c>
      <x:c r="D117" s="32" t="str">
        <x:v>The Consensual Cosby</x:v>
      </x:c>
      <x:c r="E117" s="32" t="str">
        <x:v>Matthew Golden</x:v>
      </x:c>
      <x:c r="F117" s="32" t="str">
        <x:v>GB</x:v>
      </x:c>
      <x:c r="G117" s="32" t="str">
        <x:v>WR</x:v>
      </x:c>
      <x:c r="H117" s="34" t="n">
        <x:v>18</x:v>
      </x:c>
    </x:row>
    <x:row r="118">
      <x:c r="A118" s="55" t="n">
        <x:v>107</x:v>
      </x:c>
      <x:c r="B118" s="32" t="n">
        <x:v>19</x:v>
      </x:c>
      <x:c r="C118" s="32" t="str">
        <x:v>Thomas Atwater</x:v>
      </x:c>
      <x:c r="D118" s="32" t="str">
        <x:v>The Consensual Cosby</x:v>
      </x:c>
      <x:c r="E118" s="32" t="str">
        <x:v>Drake Maye</x:v>
      </x:c>
      <x:c r="F118" s="32" t="str">
        <x:v>NE</x:v>
      </x:c>
      <x:c r="G118" s="32" t="str">
        <x:v>QB</x:v>
      </x:c>
      <x:c r="H118" s="34" t="n">
        <x:v>6</x:v>
      </x:c>
    </x:row>
    <x:row r="119">
      <x:c r="A119" s="55" t="n">
        <x:v>108</x:v>
      </x:c>
      <x:c r="B119" s="32" t="n">
        <x:v>16</x:v>
      </x:c>
      <x:c r="C119" s="32" t="str">
        <x:v>Eric Boudreau</x:v>
      </x:c>
      <x:c r="D119" s="32" t="str">
        <x:v>Blockbuster Promking</x:v>
      </x:c>
      <x:c r="E119" s="32" t="str">
        <x:v>Deebo Samuel</x:v>
      </x:c>
      <x:c r="F119" s="32" t="str">
        <x:v>Wsh</x:v>
      </x:c>
      <x:c r="G119" s="32" t="str">
        <x:v>WR</x:v>
      </x:c>
      <x:c r="H119" s="34" t="n">
        <x:v>8</x:v>
      </x:c>
    </x:row>
    <x:row r="120">
      <x:c r="A120" s="55" t="n">
        <x:v>109</x:v>
      </x:c>
      <x:c r="B120" s="32" t="n">
        <x:v>14</x:v>
      </x:c>
      <x:c r="C120" s="32" t="str">
        <x:v>David Richards</x:v>
      </x:c>
      <x:c r="D120" s="32" t="str">
        <x:v>Let JOSH Cook</x:v>
      </x:c>
      <x:c r="E120" s="32" t="str">
        <x:v>Lions D/ST</x:v>
      </x:c>
      <x:c r="F120" s="32" t="str">
        <x:v>Det</x:v>
      </x:c>
      <x:c r="G120" s="32" t="str">
        <x:v>D/ST</x:v>
      </x:c>
      <x:c r="H120" s="34" t="n">
        <x:v>3</x:v>
      </x:c>
    </x:row>
    <x:row r="121">
      <x:c r="A121" s="55" t="n">
        <x:v>110</x:v>
      </x:c>
      <x:c r="B121" s="32" t="n">
        <x:v>16</x:v>
      </x:c>
      <x:c r="C121" s="32" t="str">
        <x:v>Eric Boudreau</x:v>
      </x:c>
      <x:c r="D121" s="32" t="str">
        <x:v>Blockbuster Promking</x:v>
      </x:c>
      <x:c r="E121" s="32" t="str">
        <x:v>Wan'Dale Robinson</x:v>
      </x:c>
      <x:c r="F121" s="32" t="str">
        <x:v>NYG</x:v>
      </x:c>
      <x:c r="G121" s="32" t="str">
        <x:v>WR</x:v>
      </x:c>
      <x:c r="H121" s="34" t="n">
        <x:v>1</x:v>
      </x:c>
    </x:row>
    <x:row r="122">
      <x:c r="A122" s="55" t="n">
        <x:v>111</x:v>
      </x:c>
      <x:c r="B122" s="32" t="n">
        <x:v>15</x:v>
      </x:c>
      <x:c r="C122" s="32" t="str">
        <x:v>Ian Bates</x:v>
      </x:c>
      <x:c r="D122" s="32" t="str">
        <x:v>Mr Rogers' Naberless Naberhood</x:v>
      </x:c>
      <x:c r="E122" s="32" t="str">
        <x:v>Michael Pittman Jr.</x:v>
      </x:c>
      <x:c r="F122" s="32" t="str">
        <x:v>Ind</x:v>
      </x:c>
      <x:c r="G122" s="32" t="str">
        <x:v>WR</x:v>
      </x:c>
      <x:c r="H122" s="34" t="n">
        <x:v>7</x:v>
      </x:c>
    </x:row>
    <x:row r="123">
      <x:c r="A123" s="55" t="n">
        <x:v>112</x:v>
      </x:c>
      <x:c r="B123" s="32" t="n">
        <x:v>9</x:v>
      </x:c>
      <x:c r="C123" s="32" t="str">
        <x:v>Kevin Kurian</x:v>
      </x:c>
      <x:c r="D123" s="32" t="str">
        <x:v>Torsades de PAT</x:v>
      </x:c>
      <x:c r="E123" s="32" t="str">
        <x:v>Cooper Kupp</x:v>
      </x:c>
      <x:c r="F123" s="32" t="str">
        <x:v>Sea</x:v>
      </x:c>
      <x:c r="G123" s="32" t="str">
        <x:v>WR</x:v>
      </x:c>
      <x:c r="H123" s="34" t="n">
        <x:v>10</x:v>
      </x:c>
    </x:row>
    <x:row r="124">
      <x:c r="A124" s="55" t="n">
        <x:v>113</x:v>
      </x:c>
      <x:c r="B124" s="32" t="n">
        <x:v>7</x:v>
      </x:c>
      <x:c r="C124" s="32" t="str">
        <x:v>Ebby Kurian</x:v>
      </x:c>
      <x:c r="D124" s="32" t="str">
        <x:v>The Splenic Flexture</x:v>
      </x:c>
      <x:c r="E124" s="32" t="str">
        <x:v>Ravens D/ST</x:v>
      </x:c>
      <x:c r="F124" s="32" t="str">
        <x:v>Bal</x:v>
      </x:c>
      <x:c r="G124" s="32" t="str">
        <x:v>D/ST</x:v>
      </x:c>
      <x:c r="H124" s="34" t="n">
        <x:v>2</x:v>
      </x:c>
    </x:row>
    <x:row r="125">
      <x:c r="A125" s="55" t="n">
        <x:v>114</x:v>
      </x:c>
      <x:c r="B125" s="32" t="n">
        <x:v>4</x:v>
      </x:c>
      <x:c r="C125" s="32" t="str">
        <x:v>Kendall Bicknell</x:v>
      </x:c>
      <x:c r="D125" s="32" t="str">
        <x:v>Creatine Caucasians</x:v>
      </x:c>
      <x:c r="E125" s="32" t="str">
        <x:v>Cam Skattebo</x:v>
      </x:c>
      <x:c r="F125" s="32" t="str">
        <x:v>NYG</x:v>
      </x:c>
      <x:c r="G125" s="32" t="str">
        <x:v>RB</x:v>
      </x:c>
      <x:c r="H125" s="34" t="n">
        <x:v>8</x:v>
      </x:c>
    </x:row>
    <x:row r="126">
      <x:c r="A126" s="55" t="n">
        <x:v>115</x:v>
      </x:c>
      <x:c r="B126" s="32" t="n">
        <x:v>6</x:v>
      </x:c>
      <x:c r="C126" s="32" t="str">
        <x:v>sangfroid bang</x:v>
      </x:c>
      <x:c r="D126" s="32" t="str">
        <x:v>Moaning Myrtle</x:v>
      </x:c>
      <x:c r="E126" s="32" t="str">
        <x:v>Christian Kirk</x:v>
      </x:c>
      <x:c r="F126" s="32" t="str">
        <x:v>Hou</x:v>
      </x:c>
      <x:c r="G126" s="32" t="str">
        <x:v>WR</x:v>
      </x:c>
      <x:c r="H126" s="34" t="n">
        <x:v>2</x:v>
      </x:c>
    </x:row>
    <x:row r="127">
      <x:c r="A127" s="55" t="n">
        <x:v>116</x:v>
      </x:c>
      <x:c r="B127" s="32" t="n">
        <x:v>5</x:v>
      </x:c>
      <x:c r="C127" s="32" t="str">
        <x:v>George Rakkar</x:v>
      </x:c>
      <x:c r="D127" s="32" t="str">
        <x:v>8==== D</x:v>
      </x:c>
      <x:c r="E127" s="32" t="str">
        <x:v>Tucker Kraft</x:v>
      </x:c>
      <x:c r="F127" s="32" t="str">
        <x:v>GB</x:v>
      </x:c>
      <x:c r="G127" s="32" t="str">
        <x:v>TE</x:v>
      </x:c>
      <x:c r="H127" s="34" t="n">
        <x:v>1</x:v>
      </x:c>
    </x:row>
    <x:row r="128">
      <x:c r="A128" s="55" t="n">
        <x:v>117</x:v>
      </x:c>
      <x:c r="B128" s="32" t="n">
        <x:v>9</x:v>
      </x:c>
      <x:c r="C128" s="32" t="str">
        <x:v>Kevin Kurian</x:v>
      </x:c>
      <x:c r="D128" s="32" t="str">
        <x:v>Torsades de PAT</x:v>
      </x:c>
      <x:c r="E128" s="32" t="str">
        <x:v>Chase McLaughlin</x:v>
      </x:c>
      <x:c r="F128" s="32" t="str">
        <x:v>TB</x:v>
      </x:c>
      <x:c r="G128" s="32" t="str">
        <x:v>K</x:v>
      </x:c>
      <x:c r="H128" s="34" t="n">
        <x:v>1</x:v>
      </x:c>
    </x:row>
    <x:row r="129">
      <x:c r="A129" s="55" t="n">
        <x:v>118</x:v>
      </x:c>
      <x:c r="B129" s="32" t="n">
        <x:v>14</x:v>
      </x:c>
      <x:c r="C129" s="32" t="str">
        <x:v>David Richards</x:v>
      </x:c>
      <x:c r="D129" s="32" t="str">
        <x:v>Let JOSH Cook</x:v>
      </x:c>
      <x:c r="E129" s="32" t="str">
        <x:v>J.K. Dobbins</x:v>
      </x:c>
      <x:c r="F129" s="32" t="str">
        <x:v>Den</x:v>
      </x:c>
      <x:c r="G129" s="32" t="str">
        <x:v>RB</x:v>
      </x:c>
      <x:c r="H129" s="34" t="n">
        <x:v>5</x:v>
      </x:c>
    </x:row>
    <x:row r="130">
      <x:c r="A130" s="55" t="n">
        <x:v>119</x:v>
      </x:c>
      <x:c r="B130" s="32" t="n">
        <x:v>18</x:v>
      </x:c>
      <x:c r="C130" s="32" t="str">
        <x:v>Dan Maland</x:v>
      </x:c>
      <x:c r="D130" s="32" t="str">
        <x:v>New World Order</x:v>
      </x:c>
      <x:c r="E130" s="32" t="str">
        <x:v>Jauan Jennings</x:v>
      </x:c>
      <x:c r="F130" s="32" t="str">
        <x:v>SF</x:v>
      </x:c>
      <x:c r="G130" s="32" t="str">
        <x:v>WR</x:v>
      </x:c>
      <x:c r="H130" s="34" t="n">
        <x:v>4</x:v>
      </x:c>
    </x:row>
    <x:row r="131">
      <x:c r="A131" s="55" t="n">
        <x:v>120</x:v>
      </x:c>
      <x:c r="B131" s="32" t="n">
        <x:v>16</x:v>
      </x:c>
      <x:c r="C131" s="32" t="str">
        <x:v>Eric Boudreau</x:v>
      </x:c>
      <x:c r="D131" s="32" t="str">
        <x:v>Blockbuster Promking</x:v>
      </x:c>
      <x:c r="E131" s="32" t="str">
        <x:v>Khalil Shakir</x:v>
      </x:c>
      <x:c r="F131" s="32" t="str">
        <x:v>Buf</x:v>
      </x:c>
      <x:c r="G131" s="32" t="str">
        <x:v>WR</x:v>
      </x:c>
      <x:c r="H131" s="34" t="n">
        <x:v>8</x:v>
      </x:c>
    </x:row>
    <x:row r="132">
      <x:c r="A132" s="55" t="n">
        <x:v>121</x:v>
      </x:c>
      <x:c r="B132" s="32" t="n">
        <x:v>14</x:v>
      </x:c>
      <x:c r="C132" s="32" t="str">
        <x:v>David Richards</x:v>
      </x:c>
      <x:c r="D132" s="32" t="str">
        <x:v>Let JOSH Cook</x:v>
      </x:c>
      <x:c r="E132" s="32" t="str">
        <x:v>Keenan Allen</x:v>
      </x:c>
      <x:c r="F132" s="32" t="str">
        <x:v>LAC</x:v>
      </x:c>
      <x:c r="G132" s="32" t="str">
        <x:v>WR</x:v>
      </x:c>
      <x:c r="H132" s="34" t="n">
        <x:v>5</x:v>
      </x:c>
    </x:row>
    <x:row r="133">
      <x:c r="A133" s="55" t="n">
        <x:v>122</x:v>
      </x:c>
      <x:c r="B133" s="32" t="n">
        <x:v>9</x:v>
      </x:c>
      <x:c r="C133" s="32" t="str">
        <x:v>Kevin Kurian</x:v>
      </x:c>
      <x:c r="D133" s="32" t="str">
        <x:v>Torsades de PAT</x:v>
      </x:c>
      <x:c r="E133" s="32" t="str">
        <x:v>Jordan Addison</x:v>
      </x:c>
      <x:c r="F133" s="32" t="str">
        <x:v>Min</x:v>
      </x:c>
      <x:c r="G133" s="32" t="str">
        <x:v>WR</x:v>
      </x:c>
      <x:c r="H133" s="34" t="n">
        <x:v>3</x:v>
      </x:c>
    </x:row>
    <x:row r="134">
      <x:c r="A134" s="55" t="n">
        <x:v>123</x:v>
      </x:c>
      <x:c r="B134" s="32" t="n">
        <x:v>14</x:v>
      </x:c>
      <x:c r="C134" s="32" t="str">
        <x:v>David Richards</x:v>
      </x:c>
      <x:c r="D134" s="32" t="str">
        <x:v>Let JOSH Cook</x:v>
      </x:c>
      <x:c r="E134" s="32" t="str">
        <x:v>Chris Godwin Jr.</x:v>
      </x:c>
      <x:c r="F134" s="32" t="str">
        <x:v>TB</x:v>
      </x:c>
      <x:c r="G134" s="32" t="str">
        <x:v>WR</x:v>
      </x:c>
      <x:c r="H134" s="34" t="n">
        <x:v>7</x:v>
      </x:c>
    </x:row>
    <x:row r="135">
      <x:c r="A135" s="55" t="n">
        <x:v>124</x:v>
      </x:c>
      <x:c r="B135" s="32" t="n">
        <x:v>16</x:v>
      </x:c>
      <x:c r="C135" s="32" t="str">
        <x:v>Eric Boudreau</x:v>
      </x:c>
      <x:c r="D135" s="32" t="str">
        <x:v>Blockbuster Promking</x:v>
      </x:c>
      <x:c r="E135" s="32" t="str">
        <x:v>Austin Ekeler</x:v>
      </x:c>
      <x:c r="F135" s="32" t="str">
        <x:v>Wsh</x:v>
      </x:c>
      <x:c r="G135" s="32" t="str">
        <x:v>RB</x:v>
      </x:c>
      <x:c r="H135" s="34" t="n">
        <x:v>3</x:v>
      </x:c>
    </x:row>
    <x:row r="136">
      <x:c r="A136" s="55" t="n">
        <x:v>125</x:v>
      </x:c>
      <x:c r="B136" s="32" t="n">
        <x:v>17</x:v>
      </x:c>
      <x:c r="C136" s="32" t="str">
        <x:v>Scott McKnight</x:v>
      </x:c>
      <x:c r="D136" s="32" t="str">
        <x:v>Mahomeless</x:v>
      </x:c>
      <x:c r="E136" s="32" t="str">
        <x:v>Eagles D/ST</x:v>
      </x:c>
      <x:c r="F136" s="32" t="str">
        <x:v>Phi</x:v>
      </x:c>
      <x:c r="G136" s="32" t="str">
        <x:v>D/ST</x:v>
      </x:c>
      <x:c r="H136" s="34" t="n">
        <x:v>9</x:v>
      </x:c>
    </x:row>
    <x:row r="137">
      <x:c r="A137" s="55" t="n">
        <x:v>126</x:v>
      </x:c>
      <x:c r="B137" s="32" t="n">
        <x:v>18</x:v>
      </x:c>
      <x:c r="C137" s="32" t="str">
        <x:v>Dan Maland</x:v>
      </x:c>
      <x:c r="D137" s="32" t="str">
        <x:v>New World Order</x:v>
      </x:c>
      <x:c r="E137" s="32" t="str">
        <x:v>Jordan Mason</x:v>
      </x:c>
      <x:c r="F137" s="32" t="str">
        <x:v>Min</x:v>
      </x:c>
      <x:c r="G137" s="32" t="str">
        <x:v>RB</x:v>
      </x:c>
      <x:c r="H137" s="34" t="n">
        <x:v>6</x:v>
      </x:c>
    </x:row>
    <x:row r="138">
      <x:c r="A138" s="55" t="n">
        <x:v>127</x:v>
      </x:c>
      <x:c r="B138" s="32" t="n">
        <x:v>19</x:v>
      </x:c>
      <x:c r="C138" s="32" t="str">
        <x:v>Thomas Atwater</x:v>
      </x:c>
      <x:c r="D138" s="32" t="str">
        <x:v>The Consensual Cosby</x:v>
      </x:c>
      <x:c r="E138" s="32" t="str">
        <x:v>Jerome Ford</x:v>
      </x:c>
      <x:c r="F138" s="32" t="str">
        <x:v>Cle</x:v>
      </x:c>
      <x:c r="G138" s="32" t="str">
        <x:v>RB</x:v>
      </x:c>
      <x:c r="H138" s="34" t="n">
        <x:v>3</x:v>
      </x:c>
    </x:row>
    <x:row r="139">
      <x:c r="A139" s="55" t="n">
        <x:v>128</x:v>
      </x:c>
      <x:c r="B139" s="32" t="n">
        <x:v>5</x:v>
      </x:c>
      <x:c r="C139" s="32" t="str">
        <x:v>George Rakkar</x:v>
      </x:c>
      <x:c r="D139" s="32" t="str">
        <x:v>8==== D</x:v>
      </x:c>
      <x:c r="E139" s="32" t="str">
        <x:v>Vikings D/ST</x:v>
      </x:c>
      <x:c r="F139" s="32" t="str">
        <x:v>Min</x:v>
      </x:c>
      <x:c r="G139" s="32" t="str">
        <x:v>D/ST</x:v>
      </x:c>
      <x:c r="H139" s="34" t="n">
        <x:v>3</x:v>
      </x:c>
    </x:row>
    <x:row r="140">
      <x:c r="A140" s="55" t="n">
        <x:v>129</x:v>
      </x:c>
      <x:c r="B140" s="32" t="n">
        <x:v>9</x:v>
      </x:c>
      <x:c r="C140" s="32" t="str">
        <x:v>Kevin Kurian</x:v>
      </x:c>
      <x:c r="D140" s="32" t="str">
        <x:v>Torsades de PAT</x:v>
      </x:c>
      <x:c r="E140" s="32" t="str">
        <x:v>Giants D/ST</x:v>
      </x:c>
      <x:c r="F140" s="32" t="str">
        <x:v>NYG</x:v>
      </x:c>
      <x:c r="G140" s="32" t="str">
        <x:v>D/ST</x:v>
      </x:c>
      <x:c r="H140" s="34" t="n">
        <x:v>1</x:v>
      </x:c>
    </x:row>
    <x:row r="141">
      <x:c r="A141" s="55" t="n">
        <x:v>130</x:v>
      </x:c>
      <x:c r="B141" s="32" t="n">
        <x:v>6</x:v>
      </x:c>
      <x:c r="C141" s="32" t="str">
        <x:v>sangfroid bang</x:v>
      </x:c>
      <x:c r="D141" s="32" t="str">
        <x:v>Moaning Myrtle</x:v>
      </x:c>
      <x:c r="E141" s="32" t="str">
        <x:v>Quinshon Judkins</x:v>
      </x:c>
      <x:c r="F141" s="32" t="str">
        <x:v>Cle</x:v>
      </x:c>
      <x:c r="G141" s="32" t="str">
        <x:v>RB</x:v>
      </x:c>
      <x:c r="H141" s="34" t="n">
        <x:v>8</x:v>
      </x:c>
    </x:row>
    <x:row r="142">
      <x:c r="A142" s="55" t="n">
        <x:v>131</x:v>
      </x:c>
      <x:c r="B142" s="32" t="n">
        <x:v>19</x:v>
      </x:c>
      <x:c r="C142" s="32" t="str">
        <x:v>Thomas Atwater</x:v>
      </x:c>
      <x:c r="D142" s="32" t="str">
        <x:v>The Consensual Cosby</x:v>
      </x:c>
      <x:c r="E142" s="32" t="str">
        <x:v>J.J. McCarthy</x:v>
      </x:c>
      <x:c r="F142" s="32" t="str">
        <x:v>Min</x:v>
      </x:c>
      <x:c r="G142" s="32" t="str">
        <x:v>QB</x:v>
      </x:c>
      <x:c r="H142" s="34" t="n">
        <x:v>1</x:v>
      </x:c>
    </x:row>
    <x:row r="143">
      <x:c r="A143" s="55" t="n">
        <x:v>132</x:v>
      </x:c>
      <x:c r="B143" s="32" t="n">
        <x:v>4</x:v>
      </x:c>
      <x:c r="C143" s="32" t="str">
        <x:v>Kendall Bicknell</x:v>
      </x:c>
      <x:c r="D143" s="32" t="str">
        <x:v>Creatine Caucasians</x:v>
      </x:c>
      <x:c r="E143" s="32" t="str">
        <x:v>Jake Ferguson</x:v>
      </x:c>
      <x:c r="F143" s="32" t="str">
        <x:v>Dal</x:v>
      </x:c>
      <x:c r="G143" s="32" t="str">
        <x:v>TE</x:v>
      </x:c>
      <x:c r="H143" s="34" t="n">
        <x:v>2</x:v>
      </x:c>
    </x:row>
    <x:row r="144">
      <x:c r="A144" s="55" t="n">
        <x:v>133</x:v>
      </x:c>
      <x:c r="B144" s="32" t="n">
        <x:v>14</x:v>
      </x:c>
      <x:c r="C144" s="32" t="str">
        <x:v>David Richards</x:v>
      </x:c>
      <x:c r="D144" s="32" t="str">
        <x:v>Let JOSH Cook</x:v>
      </x:c>
      <x:c r="E144" s="32" t="str">
        <x:v>Matt Gay</x:v>
      </x:c>
      <x:c r="F144" s="32" t="str">
        <x:v>FA</x:v>
      </x:c>
      <x:c r="G144" s="32" t="str">
        <x:v>K</x:v>
      </x:c>
      <x:c r="H144" s="34" t="n">
        <x:v>1</x:v>
      </x:c>
    </x:row>
    <x:row r="145">
      <x:c r="A145" s="55" t="n">
        <x:v>134</x:v>
      </x:c>
      <x:c r="B145" s="32" t="n">
        <x:v>4</x:v>
      </x:c>
      <x:c r="C145" s="32" t="str">
        <x:v>Kendall Bicknell</x:v>
      </x:c>
      <x:c r="D145" s="32" t="str">
        <x:v>Creatine Caucasians</x:v>
      </x:c>
      <x:c r="E145" s="32" t="str">
        <x:v>Cameron Dicker</x:v>
      </x:c>
      <x:c r="F145" s="32" t="str">
        <x:v>LAC</x:v>
      </x:c>
      <x:c r="G145" s="32" t="str">
        <x:v>K</x:v>
      </x:c>
      <x:c r="H145" s="34" t="n">
        <x:v>3</x:v>
      </x:c>
    </x:row>
    <x:row r="146">
      <x:c r="A146" s="55" t="n">
        <x:v>135</x:v>
      </x:c>
      <x:c r="B146" s="32" t="n">
        <x:v>6</x:v>
      </x:c>
      <x:c r="C146" s="32" t="str">
        <x:v>sangfroid bang</x:v>
      </x:c>
      <x:c r="D146" s="32" t="str">
        <x:v>Moaning Myrtle</x:v>
      </x:c>
      <x:c r="E146" s="32" t="str">
        <x:v>Rashid Shaheed</x:v>
      </x:c>
      <x:c r="F146" s="32" t="str">
        <x:v>Sea</x:v>
      </x:c>
      <x:c r="G146" s="32" t="str">
        <x:v>WR</x:v>
      </x:c>
      <x:c r="H146" s="34" t="n">
        <x:v>5</x:v>
      </x:c>
    </x:row>
    <x:row r="147">
      <x:c r="A147" s="55" t="n">
        <x:v>136</x:v>
      </x:c>
      <x:c r="B147" s="32" t="n">
        <x:v>7</x:v>
      </x:c>
      <x:c r="C147" s="32" t="str">
        <x:v>Ebby Kurian</x:v>
      </x:c>
      <x:c r="D147" s="32" t="str">
        <x:v>The Splenic Flexture</x:v>
      </x:c>
      <x:c r="E147" s="32" t="str">
        <x:v>Tank Bigsby</x:v>
      </x:c>
      <x:c r="F147" s="32" t="str">
        <x:v>Phi</x:v>
      </x:c>
      <x:c r="G147" s="32" t="str">
        <x:v>RB</x:v>
      </x:c>
      <x:c r="H147" s="34" t="n">
        <x:v>4</x:v>
      </x:c>
    </x:row>
    <x:row r="148">
      <x:c r="A148" s="55" t="n">
        <x:v>137</x:v>
      </x:c>
      <x:c r="B148" s="32" t="n">
        <x:v>4</x:v>
      </x:c>
      <x:c r="C148" s="32" t="str">
        <x:v>Kendall Bicknell</x:v>
      </x:c>
      <x:c r="D148" s="32" t="str">
        <x:v>Creatine Caucasians</x:v>
      </x:c>
      <x:c r="E148" s="32" t="str">
        <x:v>Bills D/ST</x:v>
      </x:c>
      <x:c r="F148" s="32" t="str">
        <x:v>Buf</x:v>
      </x:c>
      <x:c r="G148" s="32" t="str">
        <x:v>D/ST</x:v>
      </x:c>
      <x:c r="H148" s="34" t="n">
        <x:v>1</x:v>
      </x:c>
    </x:row>
    <x:row r="149">
      <x:c r="A149" s="55" t="n">
        <x:v>138</x:v>
      </x:c>
      <x:c r="B149" s="32" t="n">
        <x:v>19</x:v>
      </x:c>
      <x:c r="C149" s="32" t="str">
        <x:v>Thomas Atwater</x:v>
      </x:c>
      <x:c r="D149" s="32" t="str">
        <x:v>The Consensual Cosby</x:v>
      </x:c>
      <x:c r="E149" s="32" t="str">
        <x:v>Braelon Allen</x:v>
      </x:c>
      <x:c r="F149" s="32" t="str">
        <x:v>NYJ</x:v>
      </x:c>
      <x:c r="G149" s="32" t="str">
        <x:v>RB</x:v>
      </x:c>
      <x:c r="H149" s="34" t="n">
        <x:v>5</x:v>
      </x:c>
    </x:row>
    <x:row r="150">
      <x:c r="A150" s="55" t="n">
        <x:v>139</x:v>
      </x:c>
      <x:c r="B150" s="32" t="n">
        <x:v>5</x:v>
      </x:c>
      <x:c r="C150" s="32" t="str">
        <x:v>George Rakkar</x:v>
      </x:c>
      <x:c r="D150" s="32" t="str">
        <x:v>8==== D</x:v>
      </x:c>
      <x:c r="E150" s="32" t="str">
        <x:v>Wil Lutz</x:v>
      </x:c>
      <x:c r="F150" s="32" t="str">
        <x:v>Den</x:v>
      </x:c>
      <x:c r="G150" s="32" t="str">
        <x:v>K</x:v>
      </x:c>
      <x:c r="H150" s="34" t="n">
        <x:v>1</x:v>
      </x:c>
    </x:row>
    <x:row r="151">
      <x:c r="A151" s="55" t="n">
        <x:v>140</x:v>
      </x:c>
      <x:c r="B151" s="32" t="n">
        <x:v>7</x:v>
      </x:c>
      <x:c r="C151" s="32" t="str">
        <x:v>Ebby Kurian</x:v>
      </x:c>
      <x:c r="D151" s="32" t="str">
        <x:v>The Splenic Flexture</x:v>
      </x:c>
      <x:c r="E151" s="32" t="str">
        <x:v>Ollie Gordon II</x:v>
      </x:c>
      <x:c r="F151" s="32" t="str">
        <x:v>Mia</x:v>
      </x:c>
      <x:c r="G151" s="32" t="str">
        <x:v>RB</x:v>
      </x:c>
      <x:c r="H151" s="34" t="n">
        <x:v>5</x:v>
      </x:c>
    </x:row>
    <x:row r="152">
      <x:c r="A152" s="55" t="n">
        <x:v>141</x:v>
      </x:c>
      <x:c r="B152" s="32" t="n">
        <x:v>19</x:v>
      </x:c>
      <x:c r="C152" s="32" t="str">
        <x:v>Thomas Atwater</x:v>
      </x:c>
      <x:c r="D152" s="32" t="str">
        <x:v>The Consensual Cosby</x:v>
      </x:c>
      <x:c r="E152" s="32" t="str">
        <x:v>Tyler Bass</x:v>
      </x:c>
      <x:c r="F152" s="32" t="str">
        <x:v>Buf</x:v>
      </x:c>
      <x:c r="G152" s="32" t="str">
        <x:v>K</x:v>
      </x:c>
      <x:c r="H152" s="34" t="n">
        <x:v>1</x:v>
      </x:c>
    </x:row>
    <x:row r="153">
      <x:c r="A153" s="55" t="n">
        <x:v>142</x:v>
      </x:c>
      <x:c r="B153" s="32" t="n">
        <x:v>16</x:v>
      </x:c>
      <x:c r="C153" s="32" t="str">
        <x:v>Eric Boudreau</x:v>
      </x:c>
      <x:c r="D153" s="32" t="str">
        <x:v>Blockbuster Promking</x:v>
      </x:c>
      <x:c r="E153" s="32" t="str">
        <x:v>Harrison Butker</x:v>
      </x:c>
      <x:c r="F153" s="32" t="str">
        <x:v>KC</x:v>
      </x:c>
      <x:c r="G153" s="32" t="str">
        <x:v>K</x:v>
      </x:c>
      <x:c r="H153" s="34" t="n">
        <x:v>2</x:v>
      </x:c>
    </x:row>
    <x:row r="154">
      <x:c r="A154" s="55" t="n">
        <x:v>143</x:v>
      </x:c>
      <x:c r="B154" s="32" t="n">
        <x:v>6</x:v>
      </x:c>
      <x:c r="C154" s="32" t="str">
        <x:v>sangfroid bang</x:v>
      </x:c>
      <x:c r="D154" s="32" t="str">
        <x:v>Moaning Myrtle</x:v>
      </x:c>
      <x:c r="E154" s="32" t="str">
        <x:v>Travis Etienne Jr.</x:v>
      </x:c>
      <x:c r="F154" s="32" t="str">
        <x:v>Jax</x:v>
      </x:c>
      <x:c r="G154" s="32" t="str">
        <x:v>RB</x:v>
      </x:c>
      <x:c r="H154" s="34" t="n">
        <x:v>4</x:v>
      </x:c>
    </x:row>
    <x:row r="155">
      <x:c r="A155" s="55" t="n">
        <x:v>144</x:v>
      </x:c>
      <x:c r="B155" s="32" t="n">
        <x:v>1</x:v>
      </x:c>
      <x:c r="C155" s="32" t="str">
        <x:v>Brett McKnight</x:v>
      </x:c>
      <x:c r="D155" s="32" t="str">
        <x:v>Goff My Lawn</x:v>
      </x:c>
      <x:c r="E155" s="32" t="str">
        <x:v>Nick Chubb</x:v>
      </x:c>
      <x:c r="F155" s="32" t="str">
        <x:v>Hou</x:v>
      </x:c>
      <x:c r="G155" s="32" t="str">
        <x:v>RB</x:v>
      </x:c>
      <x:c r="H155" s="34" t="n">
        <x:v>3</x:v>
      </x:c>
    </x:row>
    <x:row r="156">
      <x:c r="A156" s="55" t="n">
        <x:v>145</x:v>
      </x:c>
      <x:c r="B156" s="32" t="n">
        <x:v>18</x:v>
      </x:c>
      <x:c r="C156" s="32" t="str">
        <x:v>Dan Maland</x:v>
      </x:c>
      <x:c r="D156" s="32" t="str">
        <x:v>New World Order</x:v>
      </x:c>
      <x:c r="E156" s="32" t="str">
        <x:v>Josh Downs</x:v>
      </x:c>
      <x:c r="F156" s="32" t="str">
        <x:v>Ind</x:v>
      </x:c>
      <x:c r="G156" s="32" t="str">
        <x:v>WR</x:v>
      </x:c>
      <x:c r="H156" s="34" t="n">
        <x:v>1</x:v>
      </x:c>
    </x:row>
    <x:row r="157">
      <x:c r="A157" s="55" t="n">
        <x:v>146</x:v>
      </x:c>
      <x:c r="B157" s="32" t="n">
        <x:v>15</x:v>
      </x:c>
      <x:c r="C157" s="32" t="str">
        <x:v>Ian Bates</x:v>
      </x:c>
      <x:c r="D157" s="32" t="str">
        <x:v>Mr Rogers' Naberless Naberhood</x:v>
      </x:c>
      <x:c r="E157" s="32" t="str">
        <x:v>Chiefs D/ST</x:v>
      </x:c>
      <x:c r="F157" s="32" t="str">
        <x:v>KC</x:v>
      </x:c>
      <x:c r="G157" s="32" t="str">
        <x:v>D/ST</x:v>
      </x:c>
      <x:c r="H157" s="34" t="n">
        <x:v>1</x:v>
      </x:c>
    </x:row>
    <x:row r="158">
      <x:c r="A158" s="55" t="n">
        <x:v>147</x:v>
      </x:c>
      <x:c r="B158" s="32" t="n">
        <x:v>5</x:v>
      </x:c>
      <x:c r="C158" s="32" t="str">
        <x:v>George Rakkar</x:v>
      </x:c>
      <x:c r="D158" s="32" t="str">
        <x:v>8==== D</x:v>
      </x:c>
      <x:c r="E158" s="32" t="str">
        <x:v>Jordan Love</x:v>
      </x:c>
      <x:c r="F158" s="32" t="str">
        <x:v>GB</x:v>
      </x:c>
      <x:c r="G158" s="32" t="str">
        <x:v>QB</x:v>
      </x:c>
      <x:c r="H158" s="34" t="n">
        <x:v>1</x:v>
      </x:c>
    </x:row>
    <x:row r="159">
      <x:c r="A159" s="55" t="n">
        <x:v>148</x:v>
      </x:c>
      <x:c r="B159" s="32" t="n">
        <x:v>16</x:v>
      </x:c>
      <x:c r="C159" s="32" t="str">
        <x:v>Eric Boudreau</x:v>
      </x:c>
      <x:c r="D159" s="32" t="str">
        <x:v>Blockbuster Promking</x:v>
      </x:c>
      <x:c r="E159" s="32" t="str">
        <x:v>Marvin Mims Jr.</x:v>
      </x:c>
      <x:c r="F159" s="32" t="str">
        <x:v>Den</x:v>
      </x:c>
      <x:c r="G159" s="32" t="str">
        <x:v>WR</x:v>
      </x:c>
      <x:c r="H159" s="34" t="n">
        <x:v>3</x:v>
      </x:c>
    </x:row>
    <x:row r="160">
      <x:c r="A160" s="55" t="n">
        <x:v>149</x:v>
      </x:c>
      <x:c r="B160" s="32" t="n">
        <x:v>7</x:v>
      </x:c>
      <x:c r="C160" s="32" t="str">
        <x:v>Ebby Kurian</x:v>
      </x:c>
      <x:c r="D160" s="32" t="str">
        <x:v>The Splenic Flexture</x:v>
      </x:c>
      <x:c r="E160" s="32" t="str">
        <x:v>Jake Elliott</x:v>
      </x:c>
      <x:c r="F160" s="32" t="str">
        <x:v>Phi</x:v>
      </x:c>
      <x:c r="G160" s="32" t="str">
        <x:v>K</x:v>
      </x:c>
      <x:c r="H160" s="34" t="n">
        <x:v>1</x:v>
      </x:c>
    </x:row>
    <x:row r="161">
      <x:c r="A161" s="55" t="n">
        <x:v>150</x:v>
      </x:c>
      <x:c r="B161" s="32" t="n">
        <x:v>18</x:v>
      </x:c>
      <x:c r="C161" s="32" t="str">
        <x:v>Dan Maland</x:v>
      </x:c>
      <x:c r="D161" s="32" t="str">
        <x:v>New World Order</x:v>
      </x:c>
      <x:c r="E161" s="32" t="str">
        <x:v>Jaydon Blue</x:v>
      </x:c>
      <x:c r="F161" s="32" t="str">
        <x:v>Dal</x:v>
      </x:c>
      <x:c r="G161" s="32" t="str">
        <x:v>RB</x:v>
      </x:c>
      <x:c r="H161" s="34" t="n">
        <x:v>4</x:v>
      </x:c>
    </x:row>
    <x:row r="162">
      <x:c r="A162" s="55" t="n">
        <x:v>151</x:v>
      </x:c>
      <x:c r="B162" s="32" t="n">
        <x:v>18</x:v>
      </x:c>
      <x:c r="C162" s="32" t="str">
        <x:v>Dan Maland</x:v>
      </x:c>
      <x:c r="D162" s="32" t="str">
        <x:v>New World Order</x:v>
      </x:c>
      <x:c r="E162" s="32" t="str">
        <x:v>Darnell Mooney</x:v>
      </x:c>
      <x:c r="F162" s="32" t="str">
        <x:v>Atl</x:v>
      </x:c>
      <x:c r="G162" s="32" t="str">
        <x:v>WR</x:v>
      </x:c>
      <x:c r="H162" s="34" t="n">
        <x:v>1</x:v>
      </x:c>
    </x:row>
    <x:row r="163">
      <x:c r="A163" s="55" t="n">
        <x:v>152</x:v>
      </x:c>
      <x:c r="B163" s="32" t="n">
        <x:v>15</x:v>
      </x:c>
      <x:c r="C163" s="32" t="str">
        <x:v>Ian Bates</x:v>
      </x:c>
      <x:c r="D163" s="32" t="str">
        <x:v>Mr Rogers' Naberless Naberhood</x:v>
      </x:c>
      <x:c r="E163" s="32" t="str">
        <x:v>Sean Tucker</x:v>
      </x:c>
      <x:c r="F163" s="32" t="str">
        <x:v>TB</x:v>
      </x:c>
      <x:c r="G163" s="32" t="str">
        <x:v>RB</x:v>
      </x:c>
      <x:c r="H163" s="34" t="n">
        <x:v>1</x:v>
      </x:c>
    </x:row>
    <x:row r="164">
      <x:c r="A164" s="55" t="n">
        <x:v>153</x:v>
      </x:c>
      <x:c r="B164" s="32" t="n">
        <x:v>5</x:v>
      </x:c>
      <x:c r="C164" s="32" t="str">
        <x:v>George Rakkar</x:v>
      </x:c>
      <x:c r="D164" s="32" t="str">
        <x:v>8==== D</x:v>
      </x:c>
      <x:c r="E164" s="32" t="str">
        <x:v>Kyle Monangai</x:v>
      </x:c>
      <x:c r="F164" s="32" t="str">
        <x:v>Chi</x:v>
      </x:c>
      <x:c r="G164" s="32" t="str">
        <x:v>RB</x:v>
      </x:c>
      <x:c r="H164" s="34" t="n">
        <x:v>3</x:v>
      </x:c>
    </x:row>
    <x:row r="165">
      <x:c r="A165" s="55" t="n">
        <x:v>154</x:v>
      </x:c>
      <x:c r="B165" s="32" t="n">
        <x:v>15</x:v>
      </x:c>
      <x:c r="C165" s="32" t="str">
        <x:v>Ian Bates</x:v>
      </x:c>
      <x:c r="D165" s="32" t="str">
        <x:v>Mr Rogers' Naberless Naberhood</x:v>
      </x:c>
      <x:c r="E165" s="32" t="str">
        <x:v>Brian Robinson Jr.</x:v>
      </x:c>
      <x:c r="F165" s="32" t="str">
        <x:v>SF</x:v>
      </x:c>
      <x:c r="G165" s="32" t="str">
        <x:v>RB</x:v>
      </x:c>
      <x:c r="H165" s="34" t="n">
        <x:v>2</x:v>
      </x:c>
    </x:row>
    <x:row r="166">
      <x:c r="A166" s="55" t="n">
        <x:v>155</x:v>
      </x:c>
      <x:c r="B166" s="32" t="n">
        <x:v>1</x:v>
      </x:c>
      <x:c r="C166" s="32" t="str">
        <x:v>Brett McKnight</x:v>
      </x:c>
      <x:c r="D166" s="32" t="str">
        <x:v>Goff My Lawn</x:v>
      </x:c>
      <x:c r="E166" s="32" t="str">
        <x:v>Najee Harris</x:v>
      </x:c>
      <x:c r="F166" s="32" t="str">
        <x:v>LAC</x:v>
      </x:c>
      <x:c r="G166" s="32" t="str">
        <x:v>RB</x:v>
      </x:c>
      <x:c r="H166" s="34" t="n">
        <x:v>1</x:v>
      </x:c>
    </x:row>
    <x:row r="167">
      <x:c r="A167" s="55" t="n">
        <x:v>156</x:v>
      </x:c>
      <x:c r="B167" s="32" t="n">
        <x:v>18</x:v>
      </x:c>
      <x:c r="C167" s="32" t="str">
        <x:v>Dan Maland</x:v>
      </x:c>
      <x:c r="D167" s="32" t="str">
        <x:v>New World Order</x:v>
      </x:c>
      <x:c r="E167" s="32" t="str">
        <x:v>Seahawks D/ST</x:v>
      </x:c>
      <x:c r="F167" s="32" t="str">
        <x:v>Sea</x:v>
      </x:c>
      <x:c r="G167" s="32" t="str">
        <x:v>D/ST</x:v>
      </x:c>
      <x:c r="H167" s="34" t="n">
        <x:v>1</x:v>
      </x:c>
    </x:row>
    <x:row r="168">
      <x:c r="A168" s="55" t="n">
        <x:v>157</x:v>
      </x:c>
      <x:c r="B168" s="32" t="n">
        <x:v>15</x:v>
      </x:c>
      <x:c r="C168" s="32" t="str">
        <x:v>Ian Bates</x:v>
      </x:c>
      <x:c r="D168" s="32" t="str">
        <x:v>Mr Rogers' Naberless Naberhood</x:v>
      </x:c>
      <x:c r="E168" s="32" t="str">
        <x:v>Brandon Aiyuk</x:v>
      </x:c>
      <x:c r="F168" s="32" t="str">
        <x:v>SF</x:v>
      </x:c>
      <x:c r="G168" s="32" t="str">
        <x:v>WR</x:v>
      </x:c>
      <x:c r="H168" s="34" t="n">
        <x:v>1</x:v>
      </x:c>
    </x:row>
    <x:row r="169">
      <x:c r="A169" s="55" t="n">
        <x:v>158</x:v>
      </x:c>
      <x:c r="B169" s="32" t="n">
        <x:v>5</x:v>
      </x:c>
      <x:c r="C169" s="32" t="str">
        <x:v>George Rakkar</x:v>
      </x:c>
      <x:c r="D169" s="32" t="str">
        <x:v>8==== D</x:v>
      </x:c>
      <x:c r="E169" s="32" t="str">
        <x:v>Jayden Reed</x:v>
      </x:c>
      <x:c r="F169" s="32" t="str">
        <x:v>GB</x:v>
      </x:c>
      <x:c r="G169" s="32" t="str">
        <x:v>WR</x:v>
      </x:c>
      <x:c r="H169" s="34" t="n">
        <x:v>1</x:v>
      </x:c>
    </x:row>
    <x:row r="170">
      <x:c r="A170" s="55" t="n">
        <x:v>159</x:v>
      </x:c>
      <x:c r="B170" s="32" t="n">
        <x:v>6</x:v>
      </x:c>
      <x:c r="C170" s="32" t="str">
        <x:v>sangfroid bang</x:v>
      </x:c>
      <x:c r="D170" s="32" t="str">
        <x:v>Moaning Myrtle</x:v>
      </x:c>
      <x:c r="E170" s="32" t="str">
        <x:v>Dameon Pierce</x:v>
      </x:c>
      <x:c r="F170" s="32" t="str">
        <x:v>KC</x:v>
      </x:c>
      <x:c r="G170" s="32" t="str">
        <x:v>RB</x:v>
      </x:c>
      <x:c r="H170" s="34" t="n">
        <x:v>1</x:v>
      </x:c>
    </x:row>
    <x:row r="171">
      <x:c r="A171" s="55" t="n">
        <x:v>160</x:v>
      </x:c>
      <x:c r="B171" s="32" t="n">
        <x:v>1</x:v>
      </x:c>
      <x:c r="C171" s="32" t="str">
        <x:v>Brett McKnight</x:v>
      </x:c>
      <x:c r="D171" s="32" t="str">
        <x:v>Goff My Lawn</x:v>
      </x:c>
      <x:c r="E171" s="32" t="str">
        <x:v>Kyle Pitts Sr.</x:v>
      </x:c>
      <x:c r="F171" s="32" t="str">
        <x:v>Atl</x:v>
      </x:c>
      <x:c r="G171" s="32" t="str">
        <x:v>TE</x:v>
      </x:c>
      <x:c r="H171" s="34" t="n">
        <x:v>1</x:v>
      </x:c>
    </x:row>
    <x:row r="172">
      <x:c r="A172" s="55" t="n">
        <x:v>161</x:v>
      </x:c>
      <x:c r="B172" s="32" t="n">
        <x:v>18</x:v>
      </x:c>
      <x:c r="C172" s="32" t="str">
        <x:v>Dan Maland</x:v>
      </x:c>
      <x:c r="D172" s="32" t="str">
        <x:v>New World Order</x:v>
      </x:c>
      <x:c r="E172" s="32" t="str">
        <x:v>Tyler Loop</x:v>
      </x:c>
      <x:c r="F172" s="32" t="str">
        <x:v>Bal</x:v>
      </x:c>
      <x:c r="G172" s="32" t="str">
        <x:v>K</x:v>
      </x:c>
      <x:c r="H172" s="34" t="n">
        <x:v>1</x:v>
      </x:c>
    </x:row>
    <x:row r="173">
      <x:c r="A173" s="55" t="n">
        <x:v>162</x:v>
      </x:c>
      <x:c r="B173" s="32" t="n">
        <x:v>5</x:v>
      </x:c>
      <x:c r="C173" s="32" t="str">
        <x:v>George Rakkar</x:v>
      </x:c>
      <x:c r="D173" s="32" t="str">
        <x:v>8==== D</x:v>
      </x:c>
      <x:c r="E173" s="32" t="str">
        <x:v>Patriots D/ST</x:v>
      </x:c>
      <x:c r="F173" s="32" t="str">
        <x:v>NE</x:v>
      </x:c>
      <x:c r="G173" s="32" t="str">
        <x:v>D/ST</x:v>
      </x:c>
      <x:c r="H173" s="34" t="n">
        <x:v>1</x:v>
      </x:c>
    </x:row>
    <x:row r="174">
      <x:c r="A174" s="55" t="n">
        <x:v>163</x:v>
      </x:c>
      <x:c r="B174" s="32" t="n">
        <x:v>6</x:v>
      </x:c>
      <x:c r="C174" s="32" t="str">
        <x:v>sangfroid bang</x:v>
      </x:c>
      <x:c r="D174" s="32" t="str">
        <x:v>Moaning Myrtle</x:v>
      </x:c>
      <x:c r="E174" s="32" t="str">
        <x:v>Colts D/ST</x:v>
      </x:c>
      <x:c r="F174" s="32" t="str">
        <x:v>Ind</x:v>
      </x:c>
      <x:c r="G174" s="32" t="str">
        <x:v>D/ST</x:v>
      </x:c>
      <x:c r="H174" s="34" t="n">
        <x:v>1</x:v>
      </x:c>
    </x:row>
    <x:row r="175">
      <x:c r="A175" s="55" t="n">
        <x:v>164</x:v>
      </x:c>
      <x:c r="B175" s="32" t="n">
        <x:v>1</x:v>
      </x:c>
      <x:c r="C175" s="32" t="str">
        <x:v>Brett McKnight</x:v>
      </x:c>
      <x:c r="D175" s="32" t="str">
        <x:v>Goff My Lawn</x:v>
      </x:c>
      <x:c r="E175" s="32" t="str">
        <x:v>Xavier Legette</x:v>
      </x:c>
      <x:c r="F175" s="32" t="str">
        <x:v>Car</x:v>
      </x:c>
      <x:c r="G175" s="32" t="str">
        <x:v>WR</x:v>
      </x:c>
      <x:c r="H175" s="34" t="n">
        <x:v>1</x:v>
      </x:c>
    </x:row>
    <x:row r="176">
      <x:c r="A176" s="55" t="n">
        <x:v>165</x:v>
      </x:c>
      <x:c r="B176" s="32" t="n">
        <x:v>5</x:v>
      </x:c>
      <x:c r="C176" s="32" t="str">
        <x:v>George Rakkar</x:v>
      </x:c>
      <x:c r="D176" s="32" t="str">
        <x:v>8==== D</x:v>
      </x:c>
      <x:c r="E176" s="32" t="str">
        <x:v>Kendre Miller</x:v>
      </x:c>
      <x:c r="F176" s="32" t="str">
        <x:v>NO</x:v>
      </x:c>
      <x:c r="G176" s="32" t="str">
        <x:v>RB</x:v>
      </x:c>
      <x:c r="H176" s="34" t="n">
        <x:v>2</x:v>
      </x:c>
    </x:row>
    <x:row r="177">
      <x:c r="A177" s="55" t="n">
        <x:v>166</x:v>
      </x:c>
      <x:c r="B177" s="32" t="n">
        <x:v>6</x:v>
      </x:c>
      <x:c r="C177" s="32" t="str">
        <x:v>sangfroid bang</x:v>
      </x:c>
      <x:c r="D177" s="32" t="str">
        <x:v>Moaning Myrtle</x:v>
      </x:c>
      <x:c r="E177" s="32" t="str">
        <x:v>Ka'imi Fairbairn</x:v>
      </x:c>
      <x:c r="F177" s="32" t="str">
        <x:v>Hou</x:v>
      </x:c>
      <x:c r="G177" s="32" t="str">
        <x:v>K</x:v>
      </x:c>
      <x:c r="H177" s="34" t="n">
        <x:v>1</x:v>
      </x:c>
    </x:row>
    <x:row r="178">
      <x:c r="A178" s="55" t="n">
        <x:v>167</x:v>
      </x:c>
      <x:c r="B178" s="32" t="n">
        <x:v>1</x:v>
      </x:c>
      <x:c r="C178" s="32" t="str">
        <x:v>Brett McKnight</x:v>
      </x:c>
      <x:c r="D178" s="32" t="str">
        <x:v>Goff My Lawn</x:v>
      </x:c>
      <x:c r="E178" s="32" t="str">
        <x:v>Cairo Santos</x:v>
      </x:c>
      <x:c r="F178" s="32" t="str">
        <x:v>Chi</x:v>
      </x:c>
      <x:c r="G178" s="32" t="str">
        <x:v>K</x:v>
      </x:c>
      <x:c r="H178" s="34" t="n">
        <x:v>1</x:v>
      </x:c>
    </x:row>
    <x:row r="179">
      <x:c r="A179" s="55" t="n">
        <x:v>168</x:v>
      </x:c>
      <x:c r="B179" s="32" t="n">
        <x:v>1</x:v>
      </x:c>
      <x:c r="C179" s="32" t="str">
        <x:v>Brett McKnight</x:v>
      </x:c>
      <x:c r="D179" s="32" t="str">
        <x:v>Goff My Lawn</x:v>
      </x:c>
      <x:c r="E179" s="32" t="str">
        <x:v>Packers D/ST</x:v>
      </x:c>
      <x:c r="F179" s="32" t="str">
        <x:v>GB</x:v>
      </x:c>
      <x:c r="G179" s="32" t="str">
        <x:v>D/ST</x:v>
      </x:c>
      <x:c r="H179" s="34" t="n">
        <x:v>1</x:v>
      </x:c>
    </x:row>
  </x:sheetData>
  <x:mergeCells>
    <x:mergeCell ref="A1:H1"/>
    <x:mergeCell ref="A2:H2"/>
    <x:mergeCell ref="A3:H3"/>
    <x:mergeCell ref="A5:H5"/>
    <x:mergeCell ref="A32:H32"/>
  </x:mergeCells>
  <x:pageMargins left="0.7" right="0.7" top="0.75" bottom="0.75" header="0.3" footer="0.3"/>
  <x:tableParts count="2">
    <x:tablePart xmlns:r="http://schemas.openxmlformats.org/officeDocument/2006/relationships" r:id="Rd99220f7c8654aa9"/>
    <x:tablePart xmlns:r="http://schemas.openxmlformats.org/officeDocument/2006/relationships" r:id="R1e6e7b3d4b9a4d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32" hidden="0" customWidth="1"/>
    <x:col min="5" max="5" width="28" hidden="0" customWidth="1"/>
    <x:col min="6" max="6" width="11" hidden="0" customWidth="1"/>
    <x:col min="7" max="7" width="9" hidden="0" customWidth="1"/>
    <x:col min="8" max="8" width="13" hidden="0" customWidth="1"/>
  </x:cols>
  <x:sheetData>
    <x:row r="1" ht="32" customHeight="1">
      <x:c r="A1" s="59" t="str">
        <x:v>2024 Auction Draft Recap</x:v>
      </x:c>
      <x:c r="B1" s="59" t="str">
        <x:v>2024 Auction Draft Recap</x:v>
      </x:c>
      <x:c r="C1" s="58" t="str">
        <x:v>2024 Auction Draft Recap</x:v>
      </x:c>
      <x:c r="D1" s="58" t="str">
        <x:v>2024 Auction Draft Recap</x:v>
      </x:c>
      <x:c r="E1" s="58" t="str">
        <x:v>2024 Auction Draft Recap</x:v>
      </x:c>
      <x:c r="F1" s="59" t="str">
        <x:v>2024 Auction Draft Recap</x:v>
      </x:c>
      <x:c r="G1" s="59" t="str">
        <x:v>2024 Auction Draft Recap</x:v>
      </x:c>
      <x:c r="H1" s="60" t="str">
        <x:v>2024 Auction Draft Recap</x:v>
      </x:c>
    </x:row>
    <x:row r="2">
      <x:c r="A2" s="57" t="str">
        <x:v>Source: https://fantasy.espn.com/football/league/draftrecap?seasonId=2024&amp;leagueId=555583</x:v>
      </x:c>
      <x:c r="B2" s="57"/>
      <x:c r="C2" s="57"/>
      <x:c r="D2" s="57"/>
      <x:c r="E2" s="57"/>
      <x:c r="F2" s="57"/>
      <x:c r="G2" s="57"/>
      <x:c r="H2" s="57"/>
    </x:row>
    <x:row r="3" ht="28" customHeight="1">
      <x:c r="A3" s="8" t="str">
        <x:v>Keepers are identified only by ESPN's Keeper marker and are excluded from the auction table below. NFL team abbreviations are displayed as ESPN showed them when collected.</x:v>
      </x:c>
      <x:c r="B3" s="8"/>
      <x:c r="C3" s="8"/>
      <x:c r="D3" s="8"/>
      <x:c r="E3" s="8"/>
      <x:c r="F3" s="8"/>
      <x:c r="G3" s="8"/>
      <x:c r="H3" s="8"/>
    </x:row>
    <x:row r="5" ht="23" customHeight="1">
      <x:c r="A5" s="11" t="str">
        <x:v>Keepers (23)</x:v>
      </x:c>
      <x:c r="B5" s="11"/>
      <x:c r="C5" s="11"/>
      <x:c r="D5" s="11"/>
      <x:c r="E5" s="11"/>
      <x:c r="F5" s="11"/>
      <x:c r="G5" s="11"/>
      <x:c r="H5" s="11"/>
    </x:row>
    <x:row r="6" ht="28" customHeight="1">
      <x:c r="A6" s="25" t="str">
        <x:v>No.</x:v>
      </x:c>
      <x:c r="B6" s="26" t="str">
        <x:v>Team ID</x:v>
      </x:c>
      <x:c r="C6" s="26" t="str">
        <x:v>Manager</x:v>
      </x:c>
      <x:c r="D6" s="26" t="str">
        <x:v>Team Name</x:v>
      </x:c>
      <x:c r="E6" s="26" t="str">
        <x:v>Player</x:v>
      </x:c>
      <x:c r="F6" s="26" t="str">
        <x:v>NFL Team</x:v>
      </x:c>
      <x:c r="G6" s="26" t="str">
        <x:v>Pos</x:v>
      </x:c>
      <x:c r="H6" s="27" t="str">
        <x:v>Keeper Cost</x:v>
      </x:c>
    </x:row>
    <x:row r="7">
      <x:c r="A7" s="35" t="n">
        <x:v>1</x:v>
      </x:c>
      <x:c r="B7" s="31" t="n">
        <x:v>1</x:v>
      </x:c>
      <x:c r="C7" s="31" t="str">
        <x:v>Brett McKnight</x:v>
      </x:c>
      <x:c r="D7" s="31" t="str">
        <x:v>Limp Brisket</x:v>
      </x:c>
      <x:c r="E7" s="31" t="str">
        <x:v>Tyreek Hill</x:v>
      </x:c>
      <x:c r="F7" s="31" t="str">
        <x:v>Mia</x:v>
      </x:c>
      <x:c r="G7" s="31" t="str">
        <x:v>WR</x:v>
      </x:c>
      <x:c r="H7" s="33" t="n">
        <x:v>21</x:v>
      </x:c>
    </x:row>
    <x:row r="8">
      <x:c r="A8" s="36" t="n">
        <x:v>2</x:v>
      </x:c>
      <x:c r="B8" s="32" t="n">
        <x:v>1</x:v>
      </x:c>
      <x:c r="C8" s="32" t="str">
        <x:v>Brett McKnight</x:v>
      </x:c>
      <x:c r="D8" s="32" t="str">
        <x:v>Limp Brisket</x:v>
      </x:c>
      <x:c r="E8" s="32" t="str">
        <x:v>CeeDee Lamb</x:v>
      </x:c>
      <x:c r="F8" s="32" t="str">
        <x:v>Dal</x:v>
      </x:c>
      <x:c r="G8" s="32" t="str">
        <x:v>WR</x:v>
      </x:c>
      <x:c r="H8" s="34" t="n">
        <x:v>27</x:v>
      </x:c>
    </x:row>
    <x:row r="9">
      <x:c r="A9" s="36" t="n">
        <x:v>3</x:v>
      </x:c>
      <x:c r="B9" s="32" t="n">
        <x:v>4</x:v>
      </x:c>
      <x:c r="C9" s="32" t="str">
        <x:v>Kendall Bicknell</x:v>
      </x:c>
      <x:c r="D9" s="32" t="str">
        <x:v>LaPorta Potty</x:v>
      </x:c>
      <x:c r="E9" s="32" t="str">
        <x:v>De'Von Achane</x:v>
      </x:c>
      <x:c r="F9" s="32" t="str">
        <x:v>Mia</x:v>
      </x:c>
      <x:c r="G9" s="32" t="str">
        <x:v>RB</x:v>
      </x:c>
      <x:c r="H9" s="34" t="n">
        <x:v>12</x:v>
      </x:c>
    </x:row>
    <x:row r="10">
      <x:c r="A10" s="36" t="n">
        <x:v>4</x:v>
      </x:c>
      <x:c r="B10" s="32" t="n">
        <x:v>4</x:v>
      </x:c>
      <x:c r="C10" s="32" t="str">
        <x:v>Kendall Bicknell</x:v>
      </x:c>
      <x:c r="D10" s="32" t="str">
        <x:v>LaPorta Potty</x:v>
      </x:c>
      <x:c r="E10" s="32" t="str">
        <x:v>Nico Collins</x:v>
      </x:c>
      <x:c r="F10" s="32" t="str">
        <x:v>Hou</x:v>
      </x:c>
      <x:c r="G10" s="32" t="str">
        <x:v>WR</x:v>
      </x:c>
      <x:c r="H10" s="34" t="n">
        <x:v>10</x:v>
      </x:c>
    </x:row>
    <x:row r="11">
      <x:c r="A11" s="36" t="n">
        <x:v>5</x:v>
      </x:c>
      <x:c r="B11" s="32" t="n">
        <x:v>5</x:v>
      </x:c>
      <x:c r="C11" s="32" t="str">
        <x:v>George Rakkar</x:v>
      </x:c>
      <x:c r="D11" s="32" t="str">
        <x:v>Fantasy Tech</x:v>
      </x:c>
      <x:c r="E11" s="32" t="str">
        <x:v>Michael Pittman Jr.</x:v>
      </x:c>
      <x:c r="F11" s="32" t="str">
        <x:v>Ind</x:v>
      </x:c>
      <x:c r="G11" s="32" t="str">
        <x:v>WR</x:v>
      </x:c>
      <x:c r="H11" s="34" t="n">
        <x:v>10</x:v>
      </x:c>
    </x:row>
    <x:row r="12">
      <x:c r="A12" s="36" t="n">
        <x:v>6</x:v>
      </x:c>
      <x:c r="B12" s="32" t="n">
        <x:v>5</x:v>
      </x:c>
      <x:c r="C12" s="32" t="str">
        <x:v>George Rakkar</x:v>
      </x:c>
      <x:c r="D12" s="32" t="str">
        <x:v>Fantasy Tech</x:v>
      </x:c>
      <x:c r="E12" s="32" t="str">
        <x:v>Christian McCaffrey</x:v>
      </x:c>
      <x:c r="F12" s="32" t="str">
        <x:v>SF</x:v>
      </x:c>
      <x:c r="G12" s="32" t="str">
        <x:v>RB</x:v>
      </x:c>
      <x:c r="H12" s="34" t="n">
        <x:v>64</x:v>
      </x:c>
    </x:row>
    <x:row r="13">
      <x:c r="A13" s="36" t="n">
        <x:v>7</x:v>
      </x:c>
      <x:c r="B13" s="32" t="n">
        <x:v>6</x:v>
      </x:c>
      <x:c r="C13" s="32" t="str">
        <x:v>sangfroid bang</x:v>
      </x:c>
      <x:c r="D13" s="32" t="str">
        <x:v>Medically Cleared 2 Crush Dix</x:v>
      </x:c>
      <x:c r="E13" s="32" t="str">
        <x:v>Drake London</x:v>
      </x:c>
      <x:c r="F13" s="32" t="str">
        <x:v>Atl</x:v>
      </x:c>
      <x:c r="G13" s="32" t="str">
        <x:v>WR</x:v>
      </x:c>
      <x:c r="H13" s="34" t="n">
        <x:v>21</x:v>
      </x:c>
    </x:row>
    <x:row r="14">
      <x:c r="A14" s="36" t="n">
        <x:v>8</x:v>
      </x:c>
      <x:c r="B14" s="32" t="n">
        <x:v>6</x:v>
      </x:c>
      <x:c r="C14" s="32" t="str">
        <x:v>sangfroid bang</x:v>
      </x:c>
      <x:c r="D14" s="32" t="str">
        <x:v>Medically Cleared 2 Crush Dix</x:v>
      </x:c>
      <x:c r="E14" s="32" t="str">
        <x:v>DeVonta Smith</x:v>
      </x:c>
      <x:c r="F14" s="32" t="str">
        <x:v>Phi</x:v>
      </x:c>
      <x:c r="G14" s="32" t="str">
        <x:v>WR</x:v>
      </x:c>
      <x:c r="H14" s="34" t="n">
        <x:v>21</x:v>
      </x:c>
    </x:row>
    <x:row r="15">
      <x:c r="A15" s="36" t="n">
        <x:v>9</x:v>
      </x:c>
      <x:c r="B15" s="32" t="n">
        <x:v>7</x:v>
      </x:c>
      <x:c r="C15" s="32" t="str">
        <x:v>Ebby Kurian</x:v>
      </x:c>
      <x:c r="D15" s="32" t="str">
        <x:v>The Splenic Flexture</x:v>
      </x:c>
      <x:c r="E15" s="32" t="str">
        <x:v>Zay Flowers</x:v>
      </x:c>
      <x:c r="F15" s="32" t="str">
        <x:v>Bal</x:v>
      </x:c>
      <x:c r="G15" s="32" t="str">
        <x:v>WR</x:v>
      </x:c>
      <x:c r="H15" s="34" t="n">
        <x:v>13</x:v>
      </x:c>
    </x:row>
    <x:row r="16">
      <x:c r="A16" s="36" t="n">
        <x:v>10</x:v>
      </x:c>
      <x:c r="B16" s="32" t="n">
        <x:v>7</x:v>
      </x:c>
      <x:c r="C16" s="32" t="str">
        <x:v>Ebby Kurian</x:v>
      </x:c>
      <x:c r="D16" s="32" t="str">
        <x:v>The Splenic Flexture</x:v>
      </x:c>
      <x:c r="E16" s="32" t="str">
        <x:v>DK Metcalf</x:v>
      </x:c>
      <x:c r="F16" s="32" t="str">
        <x:v>Pit</x:v>
      </x:c>
      <x:c r="G16" s="32" t="str">
        <x:v>WR</x:v>
      </x:c>
      <x:c r="H16" s="34" t="n">
        <x:v>23</x:v>
      </x:c>
    </x:row>
    <x:row r="17">
      <x:c r="A17" s="36" t="n">
        <x:v>11</x:v>
      </x:c>
      <x:c r="B17" s="32" t="n">
        <x:v>9</x:v>
      </x:c>
      <x:c r="C17" s="32" t="str">
        <x:v>samir gandhi</x:v>
      </x:c>
      <x:c r="D17" s="32" t="str">
        <x:v>Messenger Pigeons</x:v>
      </x:c>
      <x:c r="E17" s="32" t="str">
        <x:v>Rachaad White</x:v>
      </x:c>
      <x:c r="F17" s="32" t="str">
        <x:v>TB</x:v>
      </x:c>
      <x:c r="G17" s="32" t="str">
        <x:v>RB</x:v>
      </x:c>
      <x:c r="H17" s="34" t="n">
        <x:v>15</x:v>
      </x:c>
    </x:row>
    <x:row r="18">
      <x:c r="A18" s="36" t="n">
        <x:v>12</x:v>
      </x:c>
      <x:c r="B18" s="32" t="n">
        <x:v>14</x:v>
      </x:c>
      <x:c r="C18" s="32" t="str">
        <x:v>David Richards</x:v>
      </x:c>
      <x:c r="D18" s="32" t="str">
        <x:v>Knuckles 🫵🏻🤜🏻</x:v>
      </x:c>
      <x:c r="E18" s="32" t="str">
        <x:v>Brandon Aiyuk</x:v>
      </x:c>
      <x:c r="F18" s="32" t="str">
        <x:v>SF</x:v>
      </x:c>
      <x:c r="G18" s="32" t="str">
        <x:v>WR</x:v>
      </x:c>
      <x:c r="H18" s="34" t="n">
        <x:v>10</x:v>
      </x:c>
    </x:row>
    <x:row r="19">
      <x:c r="A19" s="36" t="n">
        <x:v>13</x:v>
      </x:c>
      <x:c r="B19" s="32" t="n">
        <x:v>14</x:v>
      </x:c>
      <x:c r="C19" s="32" t="str">
        <x:v>David Richards</x:v>
      </x:c>
      <x:c r="D19" s="32" t="str">
        <x:v>Knuckles 🫵🏻🤜🏻</x:v>
      </x:c>
      <x:c r="E19" s="32" t="str">
        <x:v>Travis Etienne Jr.</x:v>
      </x:c>
      <x:c r="F19" s="32" t="str">
        <x:v>Jax</x:v>
      </x:c>
      <x:c r="G19" s="32" t="str">
        <x:v>RB</x:v>
      </x:c>
      <x:c r="H19" s="34" t="n">
        <x:v>38</x:v>
      </x:c>
    </x:row>
    <x:row r="20">
      <x:c r="A20" s="36" t="n">
        <x:v>14</x:v>
      </x:c>
      <x:c r="B20" s="32" t="n">
        <x:v>15</x:v>
      </x:c>
      <x:c r="C20" s="32" t="str">
        <x:v>Ian Bates</x:v>
      </x:c>
      <x:c r="D20" s="32" t="str">
        <x:v>Let James COOK 🍳🙏🏻🙏🏻</x:v>
      </x:c>
      <x:c r="E20" s="32" t="str">
        <x:v>James Cook</x:v>
      </x:c>
      <x:c r="F20" s="32" t="str">
        <x:v>Buf</x:v>
      </x:c>
      <x:c r="G20" s="32" t="str">
        <x:v>RB</x:v>
      </x:c>
      <x:c r="H20" s="34" t="n">
        <x:v>15</x:v>
      </x:c>
    </x:row>
    <x:row r="21">
      <x:c r="A21" s="36" t="n">
        <x:v>15</x:v>
      </x:c>
      <x:c r="B21" s="32" t="n">
        <x:v>15</x:v>
      </x:c>
      <x:c r="C21" s="32" t="str">
        <x:v>Ian Bates</x:v>
      </x:c>
      <x:c r="D21" s="32" t="str">
        <x:v>Let James COOK 🍳🙏🏻🙏🏻</x:v>
      </x:c>
      <x:c r="E21" s="32" t="str">
        <x:v>Josh Jacobs</x:v>
      </x:c>
      <x:c r="F21" s="32" t="str">
        <x:v>GB</x:v>
      </x:c>
      <x:c r="G21" s="32" t="str">
        <x:v>RB</x:v>
      </x:c>
      <x:c r="H21" s="34" t="n">
        <x:v>38</x:v>
      </x:c>
    </x:row>
    <x:row r="22">
      <x:c r="A22" s="36" t="n">
        <x:v>16</x:v>
      </x:c>
      <x:c r="B22" s="32" t="n">
        <x:v>16</x:v>
      </x:c>
      <x:c r="C22" s="32" t="str">
        <x:v>Eric Boudreau</x:v>
      </x:c>
      <x:c r="D22" s="32" t="str">
        <x:v>Moody Magic</x:v>
      </x:c>
      <x:c r="E22" s="32" t="str">
        <x:v>Garrett Wilson</x:v>
      </x:c>
      <x:c r="F22" s="32" t="str">
        <x:v>NYJ</x:v>
      </x:c>
      <x:c r="G22" s="32" t="str">
        <x:v>WR</x:v>
      </x:c>
      <x:c r="H22" s="34" t="n">
        <x:v>15</x:v>
      </x:c>
    </x:row>
    <x:row r="23">
      <x:c r="A23" s="36" t="n">
        <x:v>17</x:v>
      </x:c>
      <x:c r="B23" s="32" t="n">
        <x:v>16</x:v>
      </x:c>
      <x:c r="C23" s="32" t="str">
        <x:v>Eric Boudreau</x:v>
      </x:c>
      <x:c r="D23" s="32" t="str">
        <x:v>Moody Magic</x:v>
      </x:c>
      <x:c r="E23" s="32" t="str">
        <x:v>Trey McBride</x:v>
      </x:c>
      <x:c r="F23" s="32" t="str">
        <x:v>Ari</x:v>
      </x:c>
      <x:c r="G23" s="32" t="str">
        <x:v>TE</x:v>
      </x:c>
      <x:c r="H23" s="34" t="n">
        <x:v>10</x:v>
      </x:c>
    </x:row>
    <x:row r="24">
      <x:c r="A24" s="36" t="n">
        <x:v>18</x:v>
      </x:c>
      <x:c r="B24" s="32" t="n">
        <x:v>17</x:v>
      </x:c>
      <x:c r="C24" s="32" t="str">
        <x:v>Scott McKnight</x:v>
      </x:c>
      <x:c r="D24" s="32" t="str">
        <x:v>Mahomeless</x:v>
      </x:c>
      <x:c r="E24" s="32" t="str">
        <x:v>Puka Nacua</x:v>
      </x:c>
      <x:c r="F24" s="32" t="str">
        <x:v>LAR</x:v>
      </x:c>
      <x:c r="G24" s="32" t="str">
        <x:v>WR</x:v>
      </x:c>
      <x:c r="H24" s="34" t="n">
        <x:v>10</x:v>
      </x:c>
    </x:row>
    <x:row r="25">
      <x:c r="A25" s="36" t="n">
        <x:v>19</x:v>
      </x:c>
      <x:c r="B25" s="32" t="n">
        <x:v>17</x:v>
      </x:c>
      <x:c r="C25" s="32" t="str">
        <x:v>Scott McKnight</x:v>
      </x:c>
      <x:c r="D25" s="32" t="str">
        <x:v>Mahomeless</x:v>
      </x:c>
      <x:c r="E25" s="32" t="str">
        <x:v>Isiah Pacheco</x:v>
      </x:c>
      <x:c r="F25" s="32" t="str">
        <x:v>KC</x:v>
      </x:c>
      <x:c r="G25" s="32" t="str">
        <x:v>RB</x:v>
      </x:c>
      <x:c r="H25" s="34" t="n">
        <x:v>19</x:v>
      </x:c>
    </x:row>
    <x:row r="26">
      <x:c r="A26" s="36" t="n">
        <x:v>20</x:v>
      </x:c>
      <x:c r="B26" s="32" t="n">
        <x:v>18</x:v>
      </x:c>
      <x:c r="C26" s="32" t="str">
        <x:v>Dan Maland</x:v>
      </x:c>
      <x:c r="D26" s="32" t="str">
        <x:v>The Mile High Club</x:v>
      </x:c>
      <x:c r="E26" s="32" t="str">
        <x:v>Breece Hall</x:v>
      </x:c>
      <x:c r="F26" s="32" t="str">
        <x:v>NYJ</x:v>
      </x:c>
      <x:c r="G26" s="32" t="str">
        <x:v>RB</x:v>
      </x:c>
      <x:c r="H26" s="34" t="n">
        <x:v>37</x:v>
      </x:c>
    </x:row>
    <x:row r="27">
      <x:c r="A27" s="36" t="n">
        <x:v>21</x:v>
      </x:c>
      <x:c r="B27" s="32" t="n">
        <x:v>18</x:v>
      </x:c>
      <x:c r="C27" s="32" t="str">
        <x:v>Dan Maland</x:v>
      </x:c>
      <x:c r="D27" s="32" t="str">
        <x:v>The Mile High Club</x:v>
      </x:c>
      <x:c r="E27" s="32" t="str">
        <x:v>Chris Olave</x:v>
      </x:c>
      <x:c r="F27" s="32" t="str">
        <x:v>NO</x:v>
      </x:c>
      <x:c r="G27" s="32" t="str">
        <x:v>WR</x:v>
      </x:c>
      <x:c r="H27" s="34" t="n">
        <x:v>37</x:v>
      </x:c>
    </x:row>
    <x:row r="28">
      <x:c r="A28" s="36" t="n">
        <x:v>22</x:v>
      </x:c>
      <x:c r="B28" s="32" t="n">
        <x:v>19</x:v>
      </x:c>
      <x:c r="C28" s="32" t="str">
        <x:v>Thomas Atwater</x:v>
      </x:c>
      <x:c r="D28" s="32" t="str">
        <x:v>Garbage Time</x:v>
      </x:c>
      <x:c r="E28" s="32" t="str">
        <x:v>Ja'Marr Chase</x:v>
      </x:c>
      <x:c r="F28" s="32" t="str">
        <x:v>Cin</x:v>
      </x:c>
      <x:c r="G28" s="32" t="str">
        <x:v>WR</x:v>
      </x:c>
      <x:c r="H28" s="34" t="n">
        <x:v>24</x:v>
      </x:c>
    </x:row>
    <x:row r="29">
      <x:c r="A29" s="36" t="n">
        <x:v>23</x:v>
      </x:c>
      <x:c r="B29" s="32" t="n">
        <x:v>19</x:v>
      </x:c>
      <x:c r="C29" s="32" t="str">
        <x:v>Thomas Atwater</x:v>
      </x:c>
      <x:c r="D29" s="32" t="str">
        <x:v>Garbage Time</x:v>
      </x:c>
      <x:c r="E29" s="32" t="str">
        <x:v>Jonathan Taylor</x:v>
      </x:c>
      <x:c r="F29" s="32" t="str">
        <x:v>Ind</x:v>
      </x:c>
      <x:c r="G29" s="32" t="str">
        <x:v>RB</x:v>
      </x:c>
      <x:c r="H29" s="34" t="n">
        <x:v>29</x:v>
      </x:c>
    </x:row>
    <x:row r="32" ht="23" customHeight="1">
      <x:c r="A32" s="39" t="str">
        <x:v>Auction Results — Keepers Excluded (145 purchases, ordered by No.)</x:v>
      </x:c>
      <x:c r="B32" s="39"/>
      <x:c r="C32" s="39"/>
      <x:c r="D32" s="39"/>
      <x:c r="E32" s="39"/>
      <x:c r="F32" s="39"/>
      <x:c r="G32" s="39"/>
      <x:c r="H32" s="39"/>
    </x:row>
    <x:row r="33" ht="28" customHeight="1">
      <x:c r="A33" s="51" t="str">
        <x:v>Auction No.</x:v>
      </x:c>
      <x:c r="B33" s="52" t="str">
        <x:v>Team ID</x:v>
      </x:c>
      <x:c r="C33" s="52" t="str">
        <x:v>Manager</x:v>
      </x:c>
      <x:c r="D33" s="52" t="str">
        <x:v>Team Name</x:v>
      </x:c>
      <x:c r="E33" s="52" t="str">
        <x:v>Player</x:v>
      </x:c>
      <x:c r="F33" s="52" t="str">
        <x:v>NFL Team</x:v>
      </x:c>
      <x:c r="G33" s="52" t="str">
        <x:v>Pos</x:v>
      </x:c>
      <x:c r="H33" s="53" t="str">
        <x:v>Amount</x:v>
      </x:c>
    </x:row>
    <x:row r="34">
      <x:c r="A34" s="54" t="n">
        <x:v>24</x:v>
      </x:c>
      <x:c r="B34" s="31" t="n">
        <x:v>14</x:v>
      </x:c>
      <x:c r="C34" s="31" t="str">
        <x:v>David Richards</x:v>
      </x:c>
      <x:c r="D34" s="31" t="str">
        <x:v>Knuckles 🫵🏻🤜🏻</x:v>
      </x:c>
      <x:c r="E34" s="31" t="str">
        <x:v>Justin Jefferson</x:v>
      </x:c>
      <x:c r="F34" s="31" t="str">
        <x:v>Min</x:v>
      </x:c>
      <x:c r="G34" s="31" t="str">
        <x:v>WR</x:v>
      </x:c>
      <x:c r="H34" s="33" t="n">
        <x:v>57</x:v>
      </x:c>
    </x:row>
    <x:row r="35">
      <x:c r="A35" s="55" t="n">
        <x:v>25</x:v>
      </x:c>
      <x:c r="B35" s="32" t="n">
        <x:v>4</x:v>
      </x:c>
      <x:c r="C35" s="32" t="str">
        <x:v>Kendall Bicknell</x:v>
      </x:c>
      <x:c r="D35" s="32" t="str">
        <x:v>LaPorta Potty</x:v>
      </x:c>
      <x:c r="E35" s="32" t="str">
        <x:v>Josh Allen</x:v>
      </x:c>
      <x:c r="F35" s="32" t="str">
        <x:v>Buf</x:v>
      </x:c>
      <x:c r="G35" s="32" t="str">
        <x:v>QB</x:v>
      </x:c>
      <x:c r="H35" s="34" t="n">
        <x:v>25</x:v>
      </x:c>
    </x:row>
    <x:row r="36">
      <x:c r="A36" s="55" t="n">
        <x:v>26</x:v>
      </x:c>
      <x:c r="B36" s="32" t="n">
        <x:v>9</x:v>
      </x:c>
      <x:c r="C36" s="32" t="str">
        <x:v>samir gandhi</x:v>
      </x:c>
      <x:c r="D36" s="32" t="str">
        <x:v>Messenger Pigeons</x:v>
      </x:c>
      <x:c r="E36" s="32" t="str">
        <x:v>Marvin Harrison Jr.</x:v>
      </x:c>
      <x:c r="F36" s="32" t="str">
        <x:v>Ari</x:v>
      </x:c>
      <x:c r="G36" s="32" t="str">
        <x:v>WR</x:v>
      </x:c>
      <x:c r="H36" s="34" t="n">
        <x:v>39</x:v>
      </x:c>
    </x:row>
    <x:row r="37">
      <x:c r="A37" s="55" t="n">
        <x:v>27</x:v>
      </x:c>
      <x:c r="B37" s="32" t="n">
        <x:v>19</x:v>
      </x:c>
      <x:c r="C37" s="32" t="str">
        <x:v>Thomas Atwater</x:v>
      </x:c>
      <x:c r="D37" s="32" t="str">
        <x:v>Garbage Time</x:v>
      </x:c>
      <x:c r="E37" s="32" t="str">
        <x:v>Bijan Robinson</x:v>
      </x:c>
      <x:c r="F37" s="32" t="str">
        <x:v>Atl</x:v>
      </x:c>
      <x:c r="G37" s="32" t="str">
        <x:v>RB</x:v>
      </x:c>
      <x:c r="H37" s="34" t="n">
        <x:v>66</x:v>
      </x:c>
    </x:row>
    <x:row r="38">
      <x:c r="A38" s="55" t="n">
        <x:v>28</x:v>
      </x:c>
      <x:c r="B38" s="32" t="n">
        <x:v>17</x:v>
      </x:c>
      <x:c r="C38" s="32" t="str">
        <x:v>Scott McKnight</x:v>
      </x:c>
      <x:c r="D38" s="32" t="str">
        <x:v>Mahomeless</x:v>
      </x:c>
      <x:c r="E38" s="32" t="str">
        <x:v>A.J. Brown</x:v>
      </x:c>
      <x:c r="F38" s="32" t="str">
        <x:v>Phi</x:v>
      </x:c>
      <x:c r="G38" s="32" t="str">
        <x:v>WR</x:v>
      </x:c>
      <x:c r="H38" s="34" t="n">
        <x:v>57</x:v>
      </x:c>
    </x:row>
    <x:row r="39">
      <x:c r="A39" s="55" t="n">
        <x:v>29</x:v>
      </x:c>
      <x:c r="B39" s="32" t="n">
        <x:v>1</x:v>
      </x:c>
      <x:c r="C39" s="32" t="str">
        <x:v>Brett McKnight</x:v>
      </x:c>
      <x:c r="D39" s="32" t="str">
        <x:v>Limp Brisket</x:v>
      </x:c>
      <x:c r="E39" s="32" t="str">
        <x:v>Patrick Mahomes</x:v>
      </x:c>
      <x:c r="F39" s="32" t="str">
        <x:v>KC</x:v>
      </x:c>
      <x:c r="G39" s="32" t="str">
        <x:v>QB</x:v>
      </x:c>
      <x:c r="H39" s="34" t="n">
        <x:v>23</x:v>
      </x:c>
    </x:row>
    <x:row r="40">
      <x:c r="A40" s="55" t="n">
        <x:v>30</x:v>
      </x:c>
      <x:c r="B40" s="32" t="n">
        <x:v>14</x:v>
      </x:c>
      <x:c r="C40" s="32" t="str">
        <x:v>David Richards</x:v>
      </x:c>
      <x:c r="D40" s="32" t="str">
        <x:v>Knuckles 🫵🏻🤜🏻</x:v>
      </x:c>
      <x:c r="E40" s="32" t="str">
        <x:v>C.J. Stroud</x:v>
      </x:c>
      <x:c r="F40" s="32" t="str">
        <x:v>Hou</x:v>
      </x:c>
      <x:c r="G40" s="32" t="str">
        <x:v>QB</x:v>
      </x:c>
      <x:c r="H40" s="34" t="n">
        <x:v>17</x:v>
      </x:c>
    </x:row>
    <x:row r="41">
      <x:c r="A41" s="55" t="n">
        <x:v>31</x:v>
      </x:c>
      <x:c r="B41" s="32" t="n">
        <x:v>18</x:v>
      </x:c>
      <x:c r="C41" s="32" t="str">
        <x:v>Dan Maland</x:v>
      </x:c>
      <x:c r="D41" s="32" t="str">
        <x:v>The Mile High Club</x:v>
      </x:c>
      <x:c r="E41" s="32" t="str">
        <x:v>Mike Evans</x:v>
      </x:c>
      <x:c r="F41" s="32" t="str">
        <x:v>TB</x:v>
      </x:c>
      <x:c r="G41" s="32" t="str">
        <x:v>WR</x:v>
      </x:c>
      <x:c r="H41" s="34" t="n">
        <x:v>32</x:v>
      </x:c>
    </x:row>
    <x:row r="42">
      <x:c r="A42" s="55" t="n">
        <x:v>32</x:v>
      </x:c>
      <x:c r="B42" s="32" t="n">
        <x:v>15</x:v>
      </x:c>
      <x:c r="C42" s="32" t="str">
        <x:v>Ian Bates</x:v>
      </x:c>
      <x:c r="D42" s="32" t="str">
        <x:v>Let James COOK 🍳🙏🏻🙏🏻</x:v>
      </x:c>
      <x:c r="E42" s="32" t="str">
        <x:v>Malik Nabers</x:v>
      </x:c>
      <x:c r="F42" s="32" t="str">
        <x:v>NYG</x:v>
      </x:c>
      <x:c r="G42" s="32" t="str">
        <x:v>WR</x:v>
      </x:c>
      <x:c r="H42" s="34" t="n">
        <x:v>29</x:v>
      </x:c>
    </x:row>
    <x:row r="43">
      <x:c r="A43" s="55" t="n">
        <x:v>33</x:v>
      </x:c>
      <x:c r="B43" s="32" t="n">
        <x:v>6</x:v>
      </x:c>
      <x:c r="C43" s="32" t="str">
        <x:v>sangfroid bang</x:v>
      </x:c>
      <x:c r="D43" s="32" t="str">
        <x:v>Medically Cleared 2 Crush Dix</x:v>
      </x:c>
      <x:c r="E43" s="32" t="str">
        <x:v>Jahmyr Gibbs</x:v>
      </x:c>
      <x:c r="F43" s="32" t="str">
        <x:v>Det</x:v>
      </x:c>
      <x:c r="G43" s="32" t="str">
        <x:v>RB</x:v>
      </x:c>
      <x:c r="H43" s="34" t="n">
        <x:v>51</x:v>
      </x:c>
    </x:row>
    <x:row r="44">
      <x:c r="A44" s="55" t="n">
        <x:v>34</x:v>
      </x:c>
      <x:c r="B44" s="32" t="n">
        <x:v>15</x:v>
      </x:c>
      <x:c r="C44" s="32" t="str">
        <x:v>Ian Bates</x:v>
      </x:c>
      <x:c r="D44" s="32" t="str">
        <x:v>Let James COOK 🍳🙏🏻🙏🏻</x:v>
      </x:c>
      <x:c r="E44" s="32" t="str">
        <x:v>Amon-Ra St. Brown</x:v>
      </x:c>
      <x:c r="F44" s="32" t="str">
        <x:v>Det</x:v>
      </x:c>
      <x:c r="G44" s="32" t="str">
        <x:v>WR</x:v>
      </x:c>
      <x:c r="H44" s="34" t="n">
        <x:v>63</x:v>
      </x:c>
    </x:row>
    <x:row r="45">
      <x:c r="A45" s="55" t="n">
        <x:v>35</x:v>
      </x:c>
      <x:c r="B45" s="32" t="n">
        <x:v>18</x:v>
      </x:c>
      <x:c r="C45" s="32" t="str">
        <x:v>Dan Maland</x:v>
      </x:c>
      <x:c r="D45" s="32" t="str">
        <x:v>The Mile High Club</x:v>
      </x:c>
      <x:c r="E45" s="32" t="str">
        <x:v>Deebo Samuel Sr.</x:v>
      </x:c>
      <x:c r="F45" s="32" t="str">
        <x:v>Wsh</x:v>
      </x:c>
      <x:c r="G45" s="32" t="str">
        <x:v>WR</x:v>
      </x:c>
      <x:c r="H45" s="34" t="n">
        <x:v>27</x:v>
      </x:c>
    </x:row>
    <x:row r="46">
      <x:c r="A46" s="55" t="n">
        <x:v>36</x:v>
      </x:c>
      <x:c r="B46" s="32" t="n">
        <x:v>1</x:v>
      </x:c>
      <x:c r="C46" s="32" t="str">
        <x:v>Brett McKnight</x:v>
      </x:c>
      <x:c r="D46" s="32" t="str">
        <x:v>Limp Brisket</x:v>
      </x:c>
      <x:c r="E46" s="32" t="str">
        <x:v>Travis Kelce</x:v>
      </x:c>
      <x:c r="F46" s="32" t="str">
        <x:v>KC</x:v>
      </x:c>
      <x:c r="G46" s="32" t="str">
        <x:v>TE</x:v>
      </x:c>
      <x:c r="H46" s="34" t="n">
        <x:v>36</x:v>
      </x:c>
    </x:row>
    <x:row r="47">
      <x:c r="A47" s="55" t="n">
        <x:v>37</x:v>
      </x:c>
      <x:c r="B47" s="32" t="n">
        <x:v>14</x:v>
      </x:c>
      <x:c r="C47" s="32" t="str">
        <x:v>David Richards</x:v>
      </x:c>
      <x:c r="D47" s="32" t="str">
        <x:v>Knuckles 🫵🏻🤜🏻</x:v>
      </x:c>
      <x:c r="E47" s="32" t="str">
        <x:v>Joe Mixon</x:v>
      </x:c>
      <x:c r="F47" s="32" t="str">
        <x:v>Hou</x:v>
      </x:c>
      <x:c r="G47" s="32" t="str">
        <x:v>RB</x:v>
      </x:c>
      <x:c r="H47" s="34" t="n">
        <x:v>33</x:v>
      </x:c>
    </x:row>
    <x:row r="48">
      <x:c r="A48" s="55" t="n">
        <x:v>38</x:v>
      </x:c>
      <x:c r="B48" s="32" t="n">
        <x:v>4</x:v>
      </x:c>
      <x:c r="C48" s="32" t="str">
        <x:v>Kendall Bicknell</x:v>
      </x:c>
      <x:c r="D48" s="32" t="str">
        <x:v>LaPorta Potty</x:v>
      </x:c>
      <x:c r="E48" s="32" t="str">
        <x:v>George Pickens</x:v>
      </x:c>
      <x:c r="F48" s="32" t="str">
        <x:v>Pit</x:v>
      </x:c>
      <x:c r="G48" s="32" t="str">
        <x:v>WR</x:v>
      </x:c>
      <x:c r="H48" s="34" t="n">
        <x:v>12</x:v>
      </x:c>
    </x:row>
    <x:row r="49">
      <x:c r="A49" s="55" t="n">
        <x:v>39</x:v>
      </x:c>
      <x:c r="B49" s="32" t="n">
        <x:v>7</x:v>
      </x:c>
      <x:c r="C49" s="32" t="str">
        <x:v>Ebby Kurian</x:v>
      </x:c>
      <x:c r="D49" s="32" t="str">
        <x:v>The Splenic Flexture</x:v>
      </x:c>
      <x:c r="E49" s="32" t="str">
        <x:v>Jalen Hurts</x:v>
      </x:c>
      <x:c r="F49" s="32" t="str">
        <x:v>Phi</x:v>
      </x:c>
      <x:c r="G49" s="32" t="str">
        <x:v>QB</x:v>
      </x:c>
      <x:c r="H49" s="34" t="n">
        <x:v>25</x:v>
      </x:c>
    </x:row>
    <x:row r="50">
      <x:c r="A50" s="55" t="n">
        <x:v>40</x:v>
      </x:c>
      <x:c r="B50" s="32" t="n">
        <x:v>16</x:v>
      </x:c>
      <x:c r="C50" s="32" t="str">
        <x:v>Eric Boudreau</x:v>
      </x:c>
      <x:c r="D50" s="32" t="str">
        <x:v>Moody Magic</x:v>
      </x:c>
      <x:c r="E50" s="32" t="str">
        <x:v>Davante Adams</x:v>
      </x:c>
      <x:c r="F50" s="32" t="str">
        <x:v>LAR</x:v>
      </x:c>
      <x:c r="G50" s="32" t="str">
        <x:v>WR</x:v>
      </x:c>
      <x:c r="H50" s="34" t="n">
        <x:v>36</x:v>
      </x:c>
    </x:row>
    <x:row r="51">
      <x:c r="A51" s="55" t="n">
        <x:v>41</x:v>
      </x:c>
      <x:c r="B51" s="32" t="n">
        <x:v>19</x:v>
      </x:c>
      <x:c r="C51" s="32" t="str">
        <x:v>Thomas Atwater</x:v>
      </x:c>
      <x:c r="D51" s="32" t="str">
        <x:v>Garbage Time</x:v>
      </x:c>
      <x:c r="E51" s="32" t="str">
        <x:v>Anthony Richardson</x:v>
      </x:c>
      <x:c r="F51" s="32" t="str">
        <x:v>Ind</x:v>
      </x:c>
      <x:c r="G51" s="32" t="str">
        <x:v>QB</x:v>
      </x:c>
      <x:c r="H51" s="34" t="n">
        <x:v>12</x:v>
      </x:c>
    </x:row>
    <x:row r="52">
      <x:c r="A52" s="55" t="n">
        <x:v>42</x:v>
      </x:c>
      <x:c r="B52" s="32" t="n">
        <x:v>17</x:v>
      </x:c>
      <x:c r="C52" s="32" t="str">
        <x:v>Scott McKnight</x:v>
      </x:c>
      <x:c r="D52" s="32" t="str">
        <x:v>Mahomeless</x:v>
      </x:c>
      <x:c r="E52" s="32" t="str">
        <x:v>Derrick Henry</x:v>
      </x:c>
      <x:c r="F52" s="32" t="str">
        <x:v>Bal</x:v>
      </x:c>
      <x:c r="G52" s="32" t="str">
        <x:v>RB</x:v>
      </x:c>
      <x:c r="H52" s="34" t="n">
        <x:v>40</x:v>
      </x:c>
    </x:row>
    <x:row r="53">
      <x:c r="A53" s="55" t="n">
        <x:v>43</x:v>
      </x:c>
      <x:c r="B53" s="32" t="n">
        <x:v>9</x:v>
      </x:c>
      <x:c r="C53" s="32" t="str">
        <x:v>samir gandhi</x:v>
      </x:c>
      <x:c r="D53" s="32" t="str">
        <x:v>Messenger Pigeons</x:v>
      </x:c>
      <x:c r="E53" s="32" t="str">
        <x:v>Saquon Barkley</x:v>
      </x:c>
      <x:c r="F53" s="32" t="str">
        <x:v>Phi</x:v>
      </x:c>
      <x:c r="G53" s="32" t="str">
        <x:v>RB</x:v>
      </x:c>
      <x:c r="H53" s="34" t="n">
        <x:v>65</x:v>
      </x:c>
    </x:row>
    <x:row r="54">
      <x:c r="A54" s="55" t="n">
        <x:v>44</x:v>
      </x:c>
      <x:c r="B54" s="32" t="n">
        <x:v>16</x:v>
      </x:c>
      <x:c r="C54" s="32" t="str">
        <x:v>Eric Boudreau</x:v>
      </x:c>
      <x:c r="D54" s="32" t="str">
        <x:v>Moody Magic</x:v>
      </x:c>
      <x:c r="E54" s="32" t="str">
        <x:v>Alvin Kamara</x:v>
      </x:c>
      <x:c r="F54" s="32" t="str">
        <x:v>NO</x:v>
      </x:c>
      <x:c r="G54" s="32" t="str">
        <x:v>RB</x:v>
      </x:c>
      <x:c r="H54" s="34" t="n">
        <x:v>42</x:v>
      </x:c>
    </x:row>
    <x:row r="55">
      <x:c r="A55" s="55" t="n">
        <x:v>45</x:v>
      </x:c>
      <x:c r="B55" s="32" t="n">
        <x:v>16</x:v>
      </x:c>
      <x:c r="C55" s="32" t="str">
        <x:v>Eric Boudreau</x:v>
      </x:c>
      <x:c r="D55" s="32" t="str">
        <x:v>Moody Magic</x:v>
      </x:c>
      <x:c r="E55" s="32" t="str">
        <x:v>Chris Godwin</x:v>
      </x:c>
      <x:c r="F55" s="32" t="str">
        <x:v>TB</x:v>
      </x:c>
      <x:c r="G55" s="32" t="str">
        <x:v>WR</x:v>
      </x:c>
      <x:c r="H55" s="34" t="n">
        <x:v>8</x:v>
      </x:c>
    </x:row>
    <x:row r="56">
      <x:c r="A56" s="55" t="n">
        <x:v>46</x:v>
      </x:c>
      <x:c r="B56" s="32" t="n">
        <x:v>7</x:v>
      </x:c>
      <x:c r="C56" s="32" t="str">
        <x:v>Ebby Kurian</x:v>
      </x:c>
      <x:c r="D56" s="32" t="str">
        <x:v>The Splenic Flexture</x:v>
      </x:c>
      <x:c r="E56" s="32" t="str">
        <x:v>Kyren Williams</x:v>
      </x:c>
      <x:c r="F56" s="32" t="str">
        <x:v>LAR</x:v>
      </x:c>
      <x:c r="G56" s="32" t="str">
        <x:v>RB</x:v>
      </x:c>
      <x:c r="H56" s="34" t="n">
        <x:v>50</x:v>
      </x:c>
    </x:row>
    <x:row r="57">
      <x:c r="A57" s="55" t="n">
        <x:v>47</x:v>
      </x:c>
      <x:c r="B57" s="32" t="n">
        <x:v>4</x:v>
      </x:c>
      <x:c r="C57" s="32" t="str">
        <x:v>Kendall Bicknell</x:v>
      </x:c>
      <x:c r="D57" s="32" t="str">
        <x:v>LaPorta Potty</x:v>
      </x:c>
      <x:c r="E57" s="32" t="str">
        <x:v>Calvin Ridley</x:v>
      </x:c>
      <x:c r="F57" s="32" t="str">
        <x:v>Ten</x:v>
      </x:c>
      <x:c r="G57" s="32" t="str">
        <x:v>WR</x:v>
      </x:c>
      <x:c r="H57" s="34" t="n">
        <x:v>6</x:v>
      </x:c>
    </x:row>
    <x:row r="58">
      <x:c r="A58" s="55" t="n">
        <x:v>48</x:v>
      </x:c>
      <x:c r="B58" s="32" t="n">
        <x:v>7</x:v>
      </x:c>
      <x:c r="C58" s="32" t="str">
        <x:v>Ebby Kurian</x:v>
      </x:c>
      <x:c r="D58" s="32" t="str">
        <x:v>The Splenic Flexture</x:v>
      </x:c>
      <x:c r="E58" s="32" t="str">
        <x:v>Javonte Williams</x:v>
      </x:c>
      <x:c r="F58" s="32" t="str">
        <x:v>Dal</x:v>
      </x:c>
      <x:c r="G58" s="32" t="str">
        <x:v>RB</x:v>
      </x:c>
      <x:c r="H58" s="34" t="n">
        <x:v>16</x:v>
      </x:c>
    </x:row>
    <x:row r="59">
      <x:c r="A59" s="55" t="n">
        <x:v>49</x:v>
      </x:c>
      <x:c r="B59" s="32" t="n">
        <x:v>5</x:v>
      </x:c>
      <x:c r="C59" s="32" t="str">
        <x:v>George Rakkar</x:v>
      </x:c>
      <x:c r="D59" s="32" t="str">
        <x:v>Fantasy Tech</x:v>
      </x:c>
      <x:c r="E59" s="32" t="str">
        <x:v>Kenneth Walker III</x:v>
      </x:c>
      <x:c r="F59" s="32" t="str">
        <x:v>Sea</x:v>
      </x:c>
      <x:c r="G59" s="32" t="str">
        <x:v>RB</x:v>
      </x:c>
      <x:c r="H59" s="34" t="n">
        <x:v>47</x:v>
      </x:c>
    </x:row>
    <x:row r="60">
      <x:c r="A60" s="55" t="n">
        <x:v>50</x:v>
      </x:c>
      <x:c r="B60" s="32" t="n">
        <x:v>6</x:v>
      </x:c>
      <x:c r="C60" s="32" t="str">
        <x:v>sangfroid bang</x:v>
      </x:c>
      <x:c r="D60" s="32" t="str">
        <x:v>Medically Cleared 2 Crush Dix</x:v>
      </x:c>
      <x:c r="E60" s="32" t="str">
        <x:v>Jaxon Smith-Njigba</x:v>
      </x:c>
      <x:c r="F60" s="32" t="str">
        <x:v>Sea</x:v>
      </x:c>
      <x:c r="G60" s="32" t="str">
        <x:v>WR</x:v>
      </x:c>
      <x:c r="H60" s="34" t="n">
        <x:v>16</x:v>
      </x:c>
    </x:row>
    <x:row r="61">
      <x:c r="A61" s="55" t="n">
        <x:v>51</x:v>
      </x:c>
      <x:c r="B61" s="32" t="n">
        <x:v>1</x:v>
      </x:c>
      <x:c r="C61" s="32" t="str">
        <x:v>Brett McKnight</x:v>
      </x:c>
      <x:c r="D61" s="32" t="str">
        <x:v>Limp Brisket</x:v>
      </x:c>
      <x:c r="E61" s="32" t="str">
        <x:v>Jerome Ford</x:v>
      </x:c>
      <x:c r="F61" s="32" t="str">
        <x:v>Cle</x:v>
      </x:c>
      <x:c r="G61" s="32" t="str">
        <x:v>RB</x:v>
      </x:c>
      <x:c r="H61" s="34" t="n">
        <x:v>11</x:v>
      </x:c>
    </x:row>
    <x:row r="62">
      <x:c r="A62" s="55" t="n">
        <x:v>52</x:v>
      </x:c>
      <x:c r="B62" s="32" t="n">
        <x:v>1</x:v>
      </x:c>
      <x:c r="C62" s="32" t="str">
        <x:v>Brett McKnight</x:v>
      </x:c>
      <x:c r="D62" s="32" t="str">
        <x:v>Limp Brisket</x:v>
      </x:c>
      <x:c r="E62" s="32" t="str">
        <x:v>Stefon Diggs</x:v>
      </x:c>
      <x:c r="F62" s="32" t="str">
        <x:v>Hou</x:v>
      </x:c>
      <x:c r="G62" s="32" t="str">
        <x:v>WR</x:v>
      </x:c>
      <x:c r="H62" s="34" t="n">
        <x:v>23</x:v>
      </x:c>
    </x:row>
    <x:row r="63">
      <x:c r="A63" s="55" t="n">
        <x:v>53</x:v>
      </x:c>
      <x:c r="B63" s="32" t="n">
        <x:v>4</x:v>
      </x:c>
      <x:c r="C63" s="32" t="str">
        <x:v>Kendall Bicknell</x:v>
      </x:c>
      <x:c r="D63" s="32" t="str">
        <x:v>LaPorta Potty</x:v>
      </x:c>
      <x:c r="E63" s="32" t="str">
        <x:v>Sam LaPorta</x:v>
      </x:c>
      <x:c r="F63" s="32" t="str">
        <x:v>Det</x:v>
      </x:c>
      <x:c r="G63" s="32" t="str">
        <x:v>TE</x:v>
      </x:c>
      <x:c r="H63" s="34" t="n">
        <x:v>25</x:v>
      </x:c>
    </x:row>
    <x:row r="64">
      <x:c r="A64" s="55" t="n">
        <x:v>54</x:v>
      </x:c>
      <x:c r="B64" s="32" t="n">
        <x:v>16</x:v>
      </x:c>
      <x:c r="C64" s="32" t="str">
        <x:v>Eric Boudreau</x:v>
      </x:c>
      <x:c r="D64" s="32" t="str">
        <x:v>Moody Magic</x:v>
      </x:c>
      <x:c r="E64" s="32" t="str">
        <x:v>D'Andre Swift</x:v>
      </x:c>
      <x:c r="F64" s="32" t="str">
        <x:v>Chi</x:v>
      </x:c>
      <x:c r="G64" s="32" t="str">
        <x:v>RB</x:v>
      </x:c>
      <x:c r="H64" s="34" t="n">
        <x:v>21</x:v>
      </x:c>
    </x:row>
    <x:row r="65">
      <x:c r="A65" s="55" t="n">
        <x:v>55</x:v>
      </x:c>
      <x:c r="B65" s="32" t="n">
        <x:v>4</x:v>
      </x:c>
      <x:c r="C65" s="32" t="str">
        <x:v>Kendall Bicknell</x:v>
      </x:c>
      <x:c r="D65" s="32" t="str">
        <x:v>LaPorta Potty</x:v>
      </x:c>
      <x:c r="E65" s="32" t="str">
        <x:v>James Conner</x:v>
      </x:c>
      <x:c r="F65" s="32" t="str">
        <x:v>Ari</x:v>
      </x:c>
      <x:c r="G65" s="32" t="str">
        <x:v>RB</x:v>
      </x:c>
      <x:c r="H65" s="34" t="n">
        <x:v>24</x:v>
      </x:c>
    </x:row>
    <x:row r="66">
      <x:c r="A66" s="55" t="n">
        <x:v>56</x:v>
      </x:c>
      <x:c r="B66" s="32" t="n">
        <x:v>6</x:v>
      </x:c>
      <x:c r="C66" s="32" t="str">
        <x:v>sangfroid bang</x:v>
      </x:c>
      <x:c r="D66" s="32" t="str">
        <x:v>Medically Cleared 2 Crush Dix</x:v>
      </x:c>
      <x:c r="E66" s="32" t="str">
        <x:v>Rhamondre Stevenson</x:v>
      </x:c>
      <x:c r="F66" s="32" t="str">
        <x:v>NE</x:v>
      </x:c>
      <x:c r="G66" s="32" t="str">
        <x:v>RB</x:v>
      </x:c>
      <x:c r="H66" s="34" t="n">
        <x:v>10</x:v>
      </x:c>
    </x:row>
    <x:row r="67">
      <x:c r="A67" s="55" t="n">
        <x:v>57</x:v>
      </x:c>
      <x:c r="B67" s="32" t="n">
        <x:v>14</x:v>
      </x:c>
      <x:c r="C67" s="32" t="str">
        <x:v>David Richards</x:v>
      </x:c>
      <x:c r="D67" s="32" t="str">
        <x:v>Knuckles 🫵🏻🤜🏻</x:v>
      </x:c>
      <x:c r="E67" s="32" t="str">
        <x:v>George Kittle</x:v>
      </x:c>
      <x:c r="F67" s="32" t="str">
        <x:v>SF</x:v>
      </x:c>
      <x:c r="G67" s="32" t="str">
        <x:v>TE</x:v>
      </x:c>
      <x:c r="H67" s="34" t="n">
        <x:v>8</x:v>
      </x:c>
    </x:row>
    <x:row r="68">
      <x:c r="A68" s="55" t="n">
        <x:v>58</x:v>
      </x:c>
      <x:c r="B68" s="32" t="n">
        <x:v>15</x:v>
      </x:c>
      <x:c r="C68" s="32" t="str">
        <x:v>Ian Bates</x:v>
      </x:c>
      <x:c r="D68" s="32" t="str">
        <x:v>Let James COOK 🍳🙏🏻🙏🏻</x:v>
      </x:c>
      <x:c r="E68" s="32" t="str">
        <x:v>Evan Engram</x:v>
      </x:c>
      <x:c r="F68" s="32" t="str">
        <x:v>Den</x:v>
      </x:c>
      <x:c r="G68" s="32" t="str">
        <x:v>TE</x:v>
      </x:c>
      <x:c r="H68" s="34" t="n">
        <x:v>13</x:v>
      </x:c>
    </x:row>
    <x:row r="69">
      <x:c r="A69" s="55" t="n">
        <x:v>59</x:v>
      </x:c>
      <x:c r="B69" s="32" t="n">
        <x:v>5</x:v>
      </x:c>
      <x:c r="C69" s="32" t="str">
        <x:v>George Rakkar</x:v>
      </x:c>
      <x:c r="D69" s="32" t="str">
        <x:v>Fantasy Tech</x:v>
      </x:c>
      <x:c r="E69" s="32" t="str">
        <x:v>Kyle Pitts</x:v>
      </x:c>
      <x:c r="F69" s="32" t="str">
        <x:v>Atl</x:v>
      </x:c>
      <x:c r="G69" s="32" t="str">
        <x:v>TE</x:v>
      </x:c>
      <x:c r="H69" s="34" t="n">
        <x:v>11</x:v>
      </x:c>
    </x:row>
    <x:row r="70">
      <x:c r="A70" s="55" t="n">
        <x:v>60</x:v>
      </x:c>
      <x:c r="B70" s="32" t="n">
        <x:v>19</x:v>
      </x:c>
      <x:c r="C70" s="32" t="str">
        <x:v>Thomas Atwater</x:v>
      </x:c>
      <x:c r="D70" s="32" t="str">
        <x:v>Garbage Time</x:v>
      </x:c>
      <x:c r="E70" s="32" t="str">
        <x:v>Jaylen Waddle</x:v>
      </x:c>
      <x:c r="F70" s="32" t="str">
        <x:v>Mia</x:v>
      </x:c>
      <x:c r="G70" s="32" t="str">
        <x:v>WR</x:v>
      </x:c>
      <x:c r="H70" s="34" t="n">
        <x:v>28</x:v>
      </x:c>
    </x:row>
    <x:row r="71">
      <x:c r="A71" s="55" t="n">
        <x:v>61</x:v>
      </x:c>
      <x:c r="B71" s="32" t="n">
        <x:v>4</x:v>
      </x:c>
      <x:c r="C71" s="32" t="str">
        <x:v>Kendall Bicknell</x:v>
      </x:c>
      <x:c r="D71" s="32" t="str">
        <x:v>LaPorta Potty</x:v>
      </x:c>
      <x:c r="E71" s="32" t="str">
        <x:v>Cooper Kupp</x:v>
      </x:c>
      <x:c r="F71" s="32" t="str">
        <x:v>Sea</x:v>
      </x:c>
      <x:c r="G71" s="32" t="str">
        <x:v>WR</x:v>
      </x:c>
      <x:c r="H71" s="34" t="n">
        <x:v>30</x:v>
      </x:c>
    </x:row>
    <x:row r="72">
      <x:c r="A72" s="55" t="n">
        <x:v>62</x:v>
      </x:c>
      <x:c r="B72" s="32" t="n">
        <x:v>5</x:v>
      </x:c>
      <x:c r="C72" s="32" t="str">
        <x:v>George Rakkar</x:v>
      </x:c>
      <x:c r="D72" s="32" t="str">
        <x:v>Fantasy Tech</x:v>
      </x:c>
      <x:c r="E72" s="32" t="str">
        <x:v>Rashee Rice</x:v>
      </x:c>
      <x:c r="F72" s="32" t="str">
        <x:v>KC</x:v>
      </x:c>
      <x:c r="G72" s="32" t="str">
        <x:v>WR</x:v>
      </x:c>
      <x:c r="H72" s="34" t="n">
        <x:v>24</x:v>
      </x:c>
    </x:row>
    <x:row r="73">
      <x:c r="A73" s="55" t="n">
        <x:v>63</x:v>
      </x:c>
      <x:c r="B73" s="32" t="n">
        <x:v>1</x:v>
      </x:c>
      <x:c r="C73" s="32" t="str">
        <x:v>Brett McKnight</x:v>
      </x:c>
      <x:c r="D73" s="32" t="str">
        <x:v>Limp Brisket</x:v>
      </x:c>
      <x:c r="E73" s="32" t="str">
        <x:v>Nick Chubb</x:v>
      </x:c>
      <x:c r="F73" s="32" t="str">
        <x:v>Cle</x:v>
      </x:c>
      <x:c r="G73" s="32" t="str">
        <x:v>RB</x:v>
      </x:c>
      <x:c r="H73" s="34" t="n">
        <x:v>7</x:v>
      </x:c>
    </x:row>
    <x:row r="74">
      <x:c r="A74" s="55" t="n">
        <x:v>64</x:v>
      </x:c>
      <x:c r="B74" s="32" t="n">
        <x:v>17</x:v>
      </x:c>
      <x:c r="C74" s="32" t="str">
        <x:v>Scott McKnight</x:v>
      </x:c>
      <x:c r="D74" s="32" t="str">
        <x:v>Mahomeless</x:v>
      </x:c>
      <x:c r="E74" s="32" t="str">
        <x:v>Lamar Jackson</x:v>
      </x:c>
      <x:c r="F74" s="32" t="str">
        <x:v>Bal</x:v>
      </x:c>
      <x:c r="G74" s="32" t="str">
        <x:v>QB</x:v>
      </x:c>
      <x:c r="H74" s="34" t="n">
        <x:v>16</x:v>
      </x:c>
    </x:row>
    <x:row r="75">
      <x:c r="A75" s="55" t="n">
        <x:v>65</x:v>
      </x:c>
      <x:c r="B75" s="32" t="n">
        <x:v>6</x:v>
      </x:c>
      <x:c r="C75" s="32" t="str">
        <x:v>sangfroid bang</x:v>
      </x:c>
      <x:c r="D75" s="32" t="str">
        <x:v>Medically Cleared 2 Crush Dix</x:v>
      </x:c>
      <x:c r="E75" s="32" t="str">
        <x:v>Tee Higgins</x:v>
      </x:c>
      <x:c r="F75" s="32" t="str">
        <x:v>Cin</x:v>
      </x:c>
      <x:c r="G75" s="32" t="str">
        <x:v>WR</x:v>
      </x:c>
      <x:c r="H75" s="34" t="n">
        <x:v>18</x:v>
      </x:c>
    </x:row>
    <x:row r="76">
      <x:c r="A76" s="55" t="n">
        <x:v>66</x:v>
      </x:c>
      <x:c r="B76" s="32" t="n">
        <x:v>1</x:v>
      </x:c>
      <x:c r="C76" s="32" t="str">
        <x:v>Brett McKnight</x:v>
      </x:c>
      <x:c r="D76" s="32" t="str">
        <x:v>Limp Brisket</x:v>
      </x:c>
      <x:c r="E76" s="32" t="str">
        <x:v>Najee Harris</x:v>
      </x:c>
      <x:c r="F76" s="32" t="str">
        <x:v>LAC</x:v>
      </x:c>
      <x:c r="G76" s="32" t="str">
        <x:v>RB</x:v>
      </x:c>
      <x:c r="H76" s="34" t="n">
        <x:v>22</x:v>
      </x:c>
    </x:row>
    <x:row r="77">
      <x:c r="A77" s="55" t="n">
        <x:v>67</x:v>
      </x:c>
      <x:c r="B77" s="32" t="n">
        <x:v>18</x:v>
      </x:c>
      <x:c r="C77" s="32" t="str">
        <x:v>Dan Maland</x:v>
      </x:c>
      <x:c r="D77" s="32" t="str">
        <x:v>The Mile High Club</x:v>
      </x:c>
      <x:c r="E77" s="32" t="str">
        <x:v>DJ Moore</x:v>
      </x:c>
      <x:c r="F77" s="32" t="str">
        <x:v>Chi</x:v>
      </x:c>
      <x:c r="G77" s="32" t="str">
        <x:v>WR</x:v>
      </x:c>
      <x:c r="H77" s="34" t="n">
        <x:v>19</x:v>
      </x:c>
    </x:row>
    <x:row r="78">
      <x:c r="A78" s="55" t="n">
        <x:v>68</x:v>
      </x:c>
      <x:c r="B78" s="32" t="n">
        <x:v>7</x:v>
      </x:c>
      <x:c r="C78" s="32" t="str">
        <x:v>Ebby Kurian</x:v>
      </x:c>
      <x:c r="D78" s="32" t="str">
        <x:v>The Splenic Flexture</x:v>
      </x:c>
      <x:c r="E78" s="32" t="str">
        <x:v>Mark Andrews</x:v>
      </x:c>
      <x:c r="F78" s="32" t="str">
        <x:v>Bal</x:v>
      </x:c>
      <x:c r="G78" s="32" t="str">
        <x:v>TE</x:v>
      </x:c>
      <x:c r="H78" s="34" t="n">
        <x:v>24</x:v>
      </x:c>
    </x:row>
    <x:row r="79">
      <x:c r="A79" s="55" t="n">
        <x:v>69</x:v>
      </x:c>
      <x:c r="B79" s="32" t="n">
        <x:v>9</x:v>
      </x:c>
      <x:c r="C79" s="32" t="str">
        <x:v>samir gandhi</x:v>
      </x:c>
      <x:c r="D79" s="32" t="str">
        <x:v>Messenger Pigeons</x:v>
      </x:c>
      <x:c r="E79" s="32" t="str">
        <x:v>Tank Dell</x:v>
      </x:c>
      <x:c r="F79" s="32" t="str">
        <x:v>Hou</x:v>
      </x:c>
      <x:c r="G79" s="32" t="str">
        <x:v>WR</x:v>
      </x:c>
      <x:c r="H79" s="34" t="n">
        <x:v>26</x:v>
      </x:c>
    </x:row>
    <x:row r="80">
      <x:c r="A80" s="55" t="n">
        <x:v>70</x:v>
      </x:c>
      <x:c r="B80" s="32" t="n">
        <x:v>5</x:v>
      </x:c>
      <x:c r="C80" s="32" t="str">
        <x:v>George Rakkar</x:v>
      </x:c>
      <x:c r="D80" s="32" t="str">
        <x:v>Fantasy Tech</x:v>
      </x:c>
      <x:c r="E80" s="32" t="str">
        <x:v>Terry McLaurin</x:v>
      </x:c>
      <x:c r="F80" s="32" t="str">
        <x:v>Wsh</x:v>
      </x:c>
      <x:c r="G80" s="32" t="str">
        <x:v>WR</x:v>
      </x:c>
      <x:c r="H80" s="34" t="n">
        <x:v>24</x:v>
      </x:c>
    </x:row>
    <x:row r="81">
      <x:c r="A81" s="55" t="n">
        <x:v>71</x:v>
      </x:c>
      <x:c r="B81" s="32" t="n">
        <x:v>4</x:v>
      </x:c>
      <x:c r="C81" s="32" t="str">
        <x:v>Kendall Bicknell</x:v>
      </x:c>
      <x:c r="D81" s="32" t="str">
        <x:v>LaPorta Potty</x:v>
      </x:c>
      <x:c r="E81" s="32" t="str">
        <x:v>Dak Prescott</x:v>
      </x:c>
      <x:c r="F81" s="32" t="str">
        <x:v>Dal</x:v>
      </x:c>
      <x:c r="G81" s="32" t="str">
        <x:v>QB</x:v>
      </x:c>
      <x:c r="H81" s="34" t="n">
        <x:v>6</x:v>
      </x:c>
    </x:row>
    <x:row r="82">
      <x:c r="A82" s="55" t="n">
        <x:v>72</x:v>
      </x:c>
      <x:c r="B82" s="32" t="n">
        <x:v>4</x:v>
      </x:c>
      <x:c r="C82" s="32" t="str">
        <x:v>Kendall Bicknell</x:v>
      </x:c>
      <x:c r="D82" s="32" t="str">
        <x:v>LaPorta Potty</x:v>
      </x:c>
      <x:c r="E82" s="32" t="str">
        <x:v>Brian Robinson Jr.</x:v>
      </x:c>
      <x:c r="F82" s="32" t="str">
        <x:v>Wsh</x:v>
      </x:c>
      <x:c r="G82" s="32" t="str">
        <x:v>RB</x:v>
      </x:c>
      <x:c r="H82" s="34" t="n">
        <x:v>13</x:v>
      </x:c>
    </x:row>
    <x:row r="83">
      <x:c r="A83" s="55" t="n">
        <x:v>73</x:v>
      </x:c>
      <x:c r="B83" s="32" t="n">
        <x:v>19</x:v>
      </x:c>
      <x:c r="C83" s="32" t="str">
        <x:v>Thomas Atwater</x:v>
      </x:c>
      <x:c r="D83" s="32" t="str">
        <x:v>Garbage Time</x:v>
      </x:c>
      <x:c r="E83" s="32" t="str">
        <x:v>Diontae Johnson</x:v>
      </x:c>
      <x:c r="F83" s="32" t="str">
        <x:v>Bal</x:v>
      </x:c>
      <x:c r="G83" s="32" t="str">
        <x:v>WR</x:v>
      </x:c>
      <x:c r="H83" s="34" t="n">
        <x:v>12</x:v>
      </x:c>
    </x:row>
    <x:row r="84">
      <x:c r="A84" s="55" t="n">
        <x:v>74</x:v>
      </x:c>
      <x:c r="B84" s="32" t="n">
        <x:v>9</x:v>
      </x:c>
      <x:c r="C84" s="32" t="str">
        <x:v>samir gandhi</x:v>
      </x:c>
      <x:c r="D84" s="32" t="str">
        <x:v>Messenger Pigeons</x:v>
      </x:c>
      <x:c r="E84" s="32" t="str">
        <x:v>Xavier Worthy</x:v>
      </x:c>
      <x:c r="F84" s="32" t="str">
        <x:v>KC</x:v>
      </x:c>
      <x:c r="G84" s="32" t="str">
        <x:v>WR</x:v>
      </x:c>
      <x:c r="H84" s="34" t="n">
        <x:v>14</x:v>
      </x:c>
    </x:row>
    <x:row r="85">
      <x:c r="A85" s="55" t="n">
        <x:v>75</x:v>
      </x:c>
      <x:c r="B85" s="32" t="n">
        <x:v>4</x:v>
      </x:c>
      <x:c r="C85" s="32" t="str">
        <x:v>Kendall Bicknell</x:v>
      </x:c>
      <x:c r="D85" s="32" t="str">
        <x:v>LaPorta Potty</x:v>
      </x:c>
      <x:c r="E85" s="32" t="str">
        <x:v>J.K. Dobbins</x:v>
      </x:c>
      <x:c r="F85" s="32" t="str">
        <x:v>LAC</x:v>
      </x:c>
      <x:c r="G85" s="32" t="str">
        <x:v>RB</x:v>
      </x:c>
      <x:c r="H85" s="34" t="n">
        <x:v>6</x:v>
      </x:c>
    </x:row>
    <x:row r="86">
      <x:c r="A86" s="55" t="n">
        <x:v>76</x:v>
      </x:c>
      <x:c r="B86" s="32" t="n">
        <x:v>15</x:v>
      </x:c>
      <x:c r="C86" s="32" t="str">
        <x:v>Ian Bates</x:v>
      </x:c>
      <x:c r="D86" s="32" t="str">
        <x:v>Let James COOK 🍳🙏🏻🙏🏻</x:v>
      </x:c>
      <x:c r="E86" s="32" t="str">
        <x:v>Joe Burrow</x:v>
      </x:c>
      <x:c r="F86" s="32" t="str">
        <x:v>Cin</x:v>
      </x:c>
      <x:c r="G86" s="32" t="str">
        <x:v>QB</x:v>
      </x:c>
      <x:c r="H86" s="34" t="n">
        <x:v>7</x:v>
      </x:c>
    </x:row>
    <x:row r="87">
      <x:c r="A87" s="55" t="n">
        <x:v>77</x:v>
      </x:c>
      <x:c r="B87" s="32" t="n">
        <x:v>7</x:v>
      </x:c>
      <x:c r="C87" s="32" t="str">
        <x:v>Ebby Kurian</x:v>
      </x:c>
      <x:c r="D87" s="32" t="str">
        <x:v>The Splenic Flexture</x:v>
      </x:c>
      <x:c r="E87" s="32" t="str">
        <x:v>Jaylen Warren</x:v>
      </x:c>
      <x:c r="F87" s="32" t="str">
        <x:v>Pit</x:v>
      </x:c>
      <x:c r="G87" s="32" t="str">
        <x:v>RB</x:v>
      </x:c>
      <x:c r="H87" s="34" t="n">
        <x:v>11</x:v>
      </x:c>
    </x:row>
    <x:row r="88">
      <x:c r="A88" s="55" t="n">
        <x:v>78</x:v>
      </x:c>
      <x:c r="B88" s="32" t="n">
        <x:v>18</x:v>
      </x:c>
      <x:c r="C88" s="32" t="str">
        <x:v>Dan Maland</x:v>
      </x:c>
      <x:c r="D88" s="32" t="str">
        <x:v>The Mile High Club</x:v>
      </x:c>
      <x:c r="E88" s="32" t="str">
        <x:v>Aaron Jones</x:v>
      </x:c>
      <x:c r="F88" s="32" t="str">
        <x:v>Min</x:v>
      </x:c>
      <x:c r="G88" s="32" t="str">
        <x:v>RB</x:v>
      </x:c>
      <x:c r="H88" s="34" t="n">
        <x:v>21</x:v>
      </x:c>
    </x:row>
    <x:row r="89">
      <x:c r="A89" s="55" t="n">
        <x:v>79</x:v>
      </x:c>
      <x:c r="B89" s="32" t="n">
        <x:v>16</x:v>
      </x:c>
      <x:c r="C89" s="32" t="str">
        <x:v>Eric Boudreau</x:v>
      </x:c>
      <x:c r="D89" s="32" t="str">
        <x:v>Moody Magic</x:v>
      </x:c>
      <x:c r="E89" s="32" t="str">
        <x:v>Zamir White</x:v>
      </x:c>
      <x:c r="F89" s="32" t="str">
        <x:v>LV</x:v>
      </x:c>
      <x:c r="G89" s="32" t="str">
        <x:v>RB</x:v>
      </x:c>
      <x:c r="H89" s="34" t="n">
        <x:v>26</x:v>
      </x:c>
    </x:row>
    <x:row r="90">
      <x:c r="A90" s="55" t="n">
        <x:v>80</x:v>
      </x:c>
      <x:c r="B90" s="32" t="n">
        <x:v>6</x:v>
      </x:c>
      <x:c r="C90" s="32" t="str">
        <x:v>sangfroid bang</x:v>
      </x:c>
      <x:c r="D90" s="32" t="str">
        <x:v>Medically Cleared 2 Crush Dix</x:v>
      </x:c>
      <x:c r="E90" s="32" t="str">
        <x:v>Dalton Kincaid</x:v>
      </x:c>
      <x:c r="F90" s="32" t="str">
        <x:v>Buf</x:v>
      </x:c>
      <x:c r="G90" s="32" t="str">
        <x:v>TE</x:v>
      </x:c>
      <x:c r="H90" s="34" t="n">
        <x:v>24</x:v>
      </x:c>
    </x:row>
    <x:row r="91">
      <x:c r="A91" s="55" t="n">
        <x:v>81</x:v>
      </x:c>
      <x:c r="B91" s="32" t="n">
        <x:v>17</x:v>
      </x:c>
      <x:c r="C91" s="32" t="str">
        <x:v>Scott McKnight</x:v>
      </x:c>
      <x:c r="D91" s="32" t="str">
        <x:v>Mahomeless</x:v>
      </x:c>
      <x:c r="E91" s="32" t="str">
        <x:v>Christian Watson</x:v>
      </x:c>
      <x:c r="F91" s="32" t="str">
        <x:v>GB</x:v>
      </x:c>
      <x:c r="G91" s="32" t="str">
        <x:v>WR</x:v>
      </x:c>
      <x:c r="H91" s="34" t="n">
        <x:v>6</x:v>
      </x:c>
    </x:row>
    <x:row r="92">
      <x:c r="A92" s="55" t="n">
        <x:v>82</x:v>
      </x:c>
      <x:c r="B92" s="32" t="n">
        <x:v>16</x:v>
      </x:c>
      <x:c r="C92" s="32" t="str">
        <x:v>Eric Boudreau</x:v>
      </x:c>
      <x:c r="D92" s="32" t="str">
        <x:v>Moody Magic</x:v>
      </x:c>
      <x:c r="E92" s="32" t="str">
        <x:v>Kyler Murray</x:v>
      </x:c>
      <x:c r="F92" s="32" t="str">
        <x:v>Ari</x:v>
      </x:c>
      <x:c r="G92" s="32" t="str">
        <x:v>QB</x:v>
      </x:c>
      <x:c r="H92" s="34" t="n">
        <x:v>16</x:v>
      </x:c>
    </x:row>
    <x:row r="93">
      <x:c r="A93" s="55" t="n">
        <x:v>83</x:v>
      </x:c>
      <x:c r="B93" s="32" t="n">
        <x:v>18</x:v>
      </x:c>
      <x:c r="C93" s="32" t="str">
        <x:v>Dan Maland</x:v>
      </x:c>
      <x:c r="D93" s="32" t="str">
        <x:v>The Mile High Club</x:v>
      </x:c>
      <x:c r="E93" s="32" t="str">
        <x:v>Jordan Love</x:v>
      </x:c>
      <x:c r="F93" s="32" t="str">
        <x:v>GB</x:v>
      </x:c>
      <x:c r="G93" s="32" t="str">
        <x:v>QB</x:v>
      </x:c>
      <x:c r="H93" s="34" t="n">
        <x:v>8</x:v>
      </x:c>
    </x:row>
    <x:row r="94">
      <x:c r="A94" s="55" t="n">
        <x:v>84</x:v>
      </x:c>
      <x:c r="B94" s="32" t="n">
        <x:v>18</x:v>
      </x:c>
      <x:c r="C94" s="32" t="str">
        <x:v>Dan Maland</x:v>
      </x:c>
      <x:c r="D94" s="32" t="str">
        <x:v>The Mile High Club</x:v>
      </x:c>
      <x:c r="E94" s="32" t="str">
        <x:v>Brock Bowers</x:v>
      </x:c>
      <x:c r="F94" s="32" t="str">
        <x:v>LV</x:v>
      </x:c>
      <x:c r="G94" s="32" t="str">
        <x:v>TE</x:v>
      </x:c>
      <x:c r="H94" s="34" t="n">
        <x:v>6</x:v>
      </x:c>
    </x:row>
    <x:row r="95">
      <x:c r="A95" s="55" t="n">
        <x:v>85</x:v>
      </x:c>
      <x:c r="B95" s="32" t="n">
        <x:v>1</x:v>
      </x:c>
      <x:c r="C95" s="32" t="str">
        <x:v>Brett McKnight</x:v>
      </x:c>
      <x:c r="D95" s="32" t="str">
        <x:v>Limp Brisket</x:v>
      </x:c>
      <x:c r="E95" s="32" t="str">
        <x:v>Raheem Mostert</x:v>
      </x:c>
      <x:c r="F95" s="32" t="str">
        <x:v>LV</x:v>
      </x:c>
      <x:c r="G95" s="32" t="str">
        <x:v>RB</x:v>
      </x:c>
      <x:c r="H95" s="34" t="n">
        <x:v>9</x:v>
      </x:c>
    </x:row>
    <x:row r="96">
      <x:c r="A96" s="55" t="n">
        <x:v>86</x:v>
      </x:c>
      <x:c r="B96" s="32" t="n">
        <x:v>4</x:v>
      </x:c>
      <x:c r="C96" s="32" t="str">
        <x:v>Kendall Bicknell</x:v>
      </x:c>
      <x:c r="D96" s="32" t="str">
        <x:v>LaPorta Potty</x:v>
      </x:c>
      <x:c r="E96" s="32" t="str">
        <x:v>Amari Cooper</x:v>
      </x:c>
      <x:c r="F96" s="32" t="str">
        <x:v>Buf</x:v>
      </x:c>
      <x:c r="G96" s="32" t="str">
        <x:v>WR</x:v>
      </x:c>
      <x:c r="H96" s="34" t="n">
        <x:v>19</x:v>
      </x:c>
    </x:row>
    <x:row r="97">
      <x:c r="A97" s="55" t="n">
        <x:v>87</x:v>
      </x:c>
      <x:c r="B97" s="32" t="n">
        <x:v>7</x:v>
      </x:c>
      <x:c r="C97" s="32" t="str">
        <x:v>Ebby Kurian</x:v>
      </x:c>
      <x:c r="D97" s="32" t="str">
        <x:v>The Splenic Flexture</x:v>
      </x:c>
      <x:c r="E97" s="32" t="str">
        <x:v>Jordan Addison</x:v>
      </x:c>
      <x:c r="F97" s="32" t="str">
        <x:v>Min</x:v>
      </x:c>
      <x:c r="G97" s="32" t="str">
        <x:v>WR</x:v>
      </x:c>
      <x:c r="H97" s="34" t="n">
        <x:v>2</x:v>
      </x:c>
    </x:row>
    <x:row r="98">
      <x:c r="A98" s="55" t="n">
        <x:v>88</x:v>
      </x:c>
      <x:c r="B98" s="32" t="n">
        <x:v>6</x:v>
      </x:c>
      <x:c r="C98" s="32" t="str">
        <x:v>sangfroid bang</x:v>
      </x:c>
      <x:c r="D98" s="32" t="str">
        <x:v>Medically Cleared 2 Crush Dix</x:v>
      </x:c>
      <x:c r="E98" s="32" t="str">
        <x:v>Rome Odunze</x:v>
      </x:c>
      <x:c r="F98" s="32" t="str">
        <x:v>Chi</x:v>
      </x:c>
      <x:c r="G98" s="32" t="str">
        <x:v>WR</x:v>
      </x:c>
      <x:c r="H98" s="34" t="n">
        <x:v>17</x:v>
      </x:c>
    </x:row>
    <x:row r="99">
      <x:c r="A99" s="55" t="n">
        <x:v>89</x:v>
      </x:c>
      <x:c r="B99" s="32" t="n">
        <x:v>15</x:v>
      </x:c>
      <x:c r="C99" s="32" t="str">
        <x:v>Ian Bates</x:v>
      </x:c>
      <x:c r="D99" s="32" t="str">
        <x:v>Let James COOK 🍳🙏🏻🙏🏻</x:v>
      </x:c>
      <x:c r="E99" s="32" t="str">
        <x:v>Courtland Sutton</x:v>
      </x:c>
      <x:c r="F99" s="32" t="str">
        <x:v>Den</x:v>
      </x:c>
      <x:c r="G99" s="32" t="str">
        <x:v>WR</x:v>
      </x:c>
      <x:c r="H99" s="34" t="n">
        <x:v>6</x:v>
      </x:c>
    </x:row>
    <x:row r="100">
      <x:c r="A100" s="55" t="n">
        <x:v>90</x:v>
      </x:c>
      <x:c r="B100" s="32" t="n">
        <x:v>14</x:v>
      </x:c>
      <x:c r="C100" s="32" t="str">
        <x:v>David Richards</x:v>
      </x:c>
      <x:c r="D100" s="32" t="str">
        <x:v>Knuckles 🫵🏻🤜🏻</x:v>
      </x:c>
      <x:c r="E100" s="32" t="str">
        <x:v>David Montgomery</x:v>
      </x:c>
      <x:c r="F100" s="32" t="str">
        <x:v>Det</x:v>
      </x:c>
      <x:c r="G100" s="32" t="str">
        <x:v>RB</x:v>
      </x:c>
      <x:c r="H100" s="34" t="n">
        <x:v>17</x:v>
      </x:c>
    </x:row>
    <x:row r="101">
      <x:c r="A101" s="55" t="n">
        <x:v>91</x:v>
      </x:c>
      <x:c r="B101" s="32" t="n">
        <x:v>17</x:v>
      </x:c>
      <x:c r="C101" s="32" t="str">
        <x:v>Scott McKnight</x:v>
      </x:c>
      <x:c r="D101" s="32" t="str">
        <x:v>Mahomeless</x:v>
      </x:c>
      <x:c r="E101" s="32" t="str">
        <x:v>Jake Ferguson</x:v>
      </x:c>
      <x:c r="F101" s="32" t="str">
        <x:v>Dal</x:v>
      </x:c>
      <x:c r="G101" s="32" t="str">
        <x:v>TE</x:v>
      </x:c>
      <x:c r="H101" s="34" t="n">
        <x:v>14</x:v>
      </x:c>
    </x:row>
    <x:row r="102">
      <x:c r="A102" s="55" t="n">
        <x:v>92</x:v>
      </x:c>
      <x:c r="B102" s="32" t="n">
        <x:v>7</x:v>
      </x:c>
      <x:c r="C102" s="32" t="str">
        <x:v>Ebby Kurian</x:v>
      </x:c>
      <x:c r="D102" s="32" t="str">
        <x:v>The Splenic Flexture</x:v>
      </x:c>
      <x:c r="E102" s="32" t="str">
        <x:v>Jayden Daniels</x:v>
      </x:c>
      <x:c r="F102" s="32" t="str">
        <x:v>Wsh</x:v>
      </x:c>
      <x:c r="G102" s="32" t="str">
        <x:v>QB</x:v>
      </x:c>
      <x:c r="H102" s="34" t="n">
        <x:v>6</x:v>
      </x:c>
    </x:row>
    <x:row r="103">
      <x:c r="A103" s="55" t="n">
        <x:v>93</x:v>
      </x:c>
      <x:c r="B103" s="32" t="n">
        <x:v>5</x:v>
      </x:c>
      <x:c r="C103" s="32" t="str">
        <x:v>George Rakkar</x:v>
      </x:c>
      <x:c r="D103" s="32" t="str">
        <x:v>Fantasy Tech</x:v>
      </x:c>
      <x:c r="E103" s="32" t="str">
        <x:v>Taysom Hill</x:v>
      </x:c>
      <x:c r="F103" s="32" t="str">
        <x:v>NO</x:v>
      </x:c>
      <x:c r="G103" s="32" t="str">
        <x:v>TE</x:v>
      </x:c>
      <x:c r="H103" s="34" t="n">
        <x:v>2</x:v>
      </x:c>
    </x:row>
    <x:row r="104">
      <x:c r="A104" s="55" t="n">
        <x:v>94</x:v>
      </x:c>
      <x:c r="B104" s="32" t="n">
        <x:v>5</x:v>
      </x:c>
      <x:c r="C104" s="32" t="str">
        <x:v>George Rakkar</x:v>
      </x:c>
      <x:c r="D104" s="32" t="str">
        <x:v>Fantasy Tech</x:v>
      </x:c>
      <x:c r="E104" s="32" t="str">
        <x:v>Brock Purdy</x:v>
      </x:c>
      <x:c r="F104" s="32" t="str">
        <x:v>SF</x:v>
      </x:c>
      <x:c r="G104" s="32" t="str">
        <x:v>QB</x:v>
      </x:c>
      <x:c r="H104" s="34" t="n">
        <x:v>7</x:v>
      </x:c>
    </x:row>
    <x:row r="105">
      <x:c r="A105" s="55" t="n">
        <x:v>95</x:v>
      </x:c>
      <x:c r="B105" s="32" t="n">
        <x:v>1</x:v>
      </x:c>
      <x:c r="C105" s="32" t="str">
        <x:v>Brett McKnight</x:v>
      </x:c>
      <x:c r="D105" s="32" t="str">
        <x:v>Limp Brisket</x:v>
      </x:c>
      <x:c r="E105" s="32" t="str">
        <x:v>Ezekiel Elliott</x:v>
      </x:c>
      <x:c r="F105" s="32" t="str">
        <x:v>FA</x:v>
      </x:c>
      <x:c r="G105" s="32" t="str">
        <x:v>RB</x:v>
      </x:c>
      <x:c r="H105" s="34" t="n">
        <x:v>6</x:v>
      </x:c>
    </x:row>
    <x:row r="106">
      <x:c r="A106" s="55" t="n">
        <x:v>96</x:v>
      </x:c>
      <x:c r="B106" s="32" t="n">
        <x:v>17</x:v>
      </x:c>
      <x:c r="C106" s="32" t="str">
        <x:v>Scott McKnight</x:v>
      </x:c>
      <x:c r="D106" s="32" t="str">
        <x:v>Mahomeless</x:v>
      </x:c>
      <x:c r="E106" s="32" t="str">
        <x:v>Austin Ekeler</x:v>
      </x:c>
      <x:c r="F106" s="32" t="str">
        <x:v>Wsh</x:v>
      </x:c>
      <x:c r="G106" s="32" t="str">
        <x:v>RB</x:v>
      </x:c>
      <x:c r="H106" s="34" t="n">
        <x:v>14</x:v>
      </x:c>
    </x:row>
    <x:row r="107">
      <x:c r="A107" s="55" t="n">
        <x:v>97</x:v>
      </x:c>
      <x:c r="B107" s="32" t="n">
        <x:v>4</x:v>
      </x:c>
      <x:c r="C107" s="32" t="str">
        <x:v>Kendall Bicknell</x:v>
      </x:c>
      <x:c r="D107" s="32" t="str">
        <x:v>LaPorta Potty</x:v>
      </x:c>
      <x:c r="E107" s="32" t="str">
        <x:v>Justin Tucker</x:v>
      </x:c>
      <x:c r="F107" s="32" t="str">
        <x:v>Bal</x:v>
      </x:c>
      <x:c r="G107" s="32" t="str">
        <x:v>K</x:v>
      </x:c>
      <x:c r="H107" s="34" t="n">
        <x:v>3</x:v>
      </x:c>
    </x:row>
    <x:row r="108">
      <x:c r="A108" s="55" t="n">
        <x:v>98</x:v>
      </x:c>
      <x:c r="B108" s="32" t="n">
        <x:v>4</x:v>
      </x:c>
      <x:c r="C108" s="32" t="str">
        <x:v>Kendall Bicknell</x:v>
      </x:c>
      <x:c r="D108" s="32" t="str">
        <x:v>LaPorta Potty</x:v>
      </x:c>
      <x:c r="E108" s="32" t="str">
        <x:v>Jets D/ST</x:v>
      </x:c>
      <x:c r="F108" s="32" t="str">
        <x:v>NYJ</x:v>
      </x:c>
      <x:c r="G108" s="32" t="str">
        <x:v>D/ST</x:v>
      </x:c>
      <x:c r="H108" s="34" t="n">
        <x:v>7</x:v>
      </x:c>
    </x:row>
    <x:row r="109">
      <x:c r="A109" s="55" t="n">
        <x:v>99</x:v>
      </x:c>
      <x:c r="B109" s="32" t="n">
        <x:v>17</x:v>
      </x:c>
      <x:c r="C109" s="32" t="str">
        <x:v>Scott McKnight</x:v>
      </x:c>
      <x:c r="D109" s="32" t="str">
        <x:v>Mahomeless</x:v>
      </x:c>
      <x:c r="E109" s="32" t="str">
        <x:v>Keenan Allen</x:v>
      </x:c>
      <x:c r="F109" s="32" t="str">
        <x:v>Chi</x:v>
      </x:c>
      <x:c r="G109" s="32" t="str">
        <x:v>WR</x:v>
      </x:c>
      <x:c r="H109" s="34" t="n">
        <x:v>8</x:v>
      </x:c>
    </x:row>
    <x:row r="110">
      <x:c r="A110" s="55" t="n">
        <x:v>100</x:v>
      </x:c>
      <x:c r="B110" s="32" t="n">
        <x:v>9</x:v>
      </x:c>
      <x:c r="C110" s="32" t="str">
        <x:v>samir gandhi</x:v>
      </x:c>
      <x:c r="D110" s="32" t="str">
        <x:v>Messenger Pigeons</x:v>
      </x:c>
      <x:c r="E110" s="32" t="str">
        <x:v>DeAndre Hopkins</x:v>
      </x:c>
      <x:c r="F110" s="32" t="str">
        <x:v>Bal</x:v>
      </x:c>
      <x:c r="G110" s="32" t="str">
        <x:v>WR</x:v>
      </x:c>
      <x:c r="H110" s="34" t="n">
        <x:v>4</x:v>
      </x:c>
    </x:row>
    <x:row r="111">
      <x:c r="A111" s="55" t="n">
        <x:v>101</x:v>
      </x:c>
      <x:c r="B111" s="32" t="n">
        <x:v>9</x:v>
      </x:c>
      <x:c r="C111" s="32" t="str">
        <x:v>samir gandhi</x:v>
      </x:c>
      <x:c r="D111" s="32" t="str">
        <x:v>Messenger Pigeons</x:v>
      </x:c>
      <x:c r="E111" s="32" t="str">
        <x:v>Harrison Butker</x:v>
      </x:c>
      <x:c r="F111" s="32" t="str">
        <x:v>KC</x:v>
      </x:c>
      <x:c r="G111" s="32" t="str">
        <x:v>K</x:v>
      </x:c>
      <x:c r="H111" s="34" t="n">
        <x:v>5</x:v>
      </x:c>
    </x:row>
    <x:row r="112">
      <x:c r="A112" s="55" t="n">
        <x:v>102</x:v>
      </x:c>
      <x:c r="B112" s="32" t="n">
        <x:v>19</x:v>
      </x:c>
      <x:c r="C112" s="32" t="str">
        <x:v>Thomas Atwater</x:v>
      </x:c>
      <x:c r="D112" s="32" t="str">
        <x:v>Garbage Time</x:v>
      </x:c>
      <x:c r="E112" s="32" t="str">
        <x:v>Jayden Reed</x:v>
      </x:c>
      <x:c r="F112" s="32" t="str">
        <x:v>GB</x:v>
      </x:c>
      <x:c r="G112" s="32" t="str">
        <x:v>WR</x:v>
      </x:c>
      <x:c r="H112" s="34" t="n">
        <x:v>16</x:v>
      </x:c>
    </x:row>
    <x:row r="113">
      <x:c r="A113" s="55" t="n">
        <x:v>103</x:v>
      </x:c>
      <x:c r="B113" s="32" t="n">
        <x:v>7</x:v>
      </x:c>
      <x:c r="C113" s="32" t="str">
        <x:v>Ebby Kurian</x:v>
      </x:c>
      <x:c r="D113" s="32" t="str">
        <x:v>The Splenic Flexture</x:v>
      </x:c>
      <x:c r="E113" s="32" t="str">
        <x:v>Tony Pollard</x:v>
      </x:c>
      <x:c r="F113" s="32" t="str">
        <x:v>Ten</x:v>
      </x:c>
      <x:c r="G113" s="32" t="str">
        <x:v>RB</x:v>
      </x:c>
      <x:c r="H113" s="34" t="n">
        <x:v>12</x:v>
      </x:c>
    </x:row>
    <x:row r="114">
      <x:c r="A114" s="55" t="n">
        <x:v>104</x:v>
      </x:c>
      <x:c r="B114" s="32" t="n">
        <x:v>15</x:v>
      </x:c>
      <x:c r="C114" s="32" t="str">
        <x:v>Ian Bates</x:v>
      </x:c>
      <x:c r="D114" s="32" t="str">
        <x:v>Let James COOK 🍳🙏🏻🙏🏻</x:v>
      </x:c>
      <x:c r="E114" s="32" t="str">
        <x:v>Browns D/ST</x:v>
      </x:c>
      <x:c r="F114" s="32" t="str">
        <x:v>Cle</x:v>
      </x:c>
      <x:c r="G114" s="32" t="str">
        <x:v>D/ST</x:v>
      </x:c>
      <x:c r="H114" s="34" t="n">
        <x:v>2</x:v>
      </x:c>
    </x:row>
    <x:row r="115">
      <x:c r="A115" s="55" t="n">
        <x:v>105</x:v>
      </x:c>
      <x:c r="B115" s="32" t="n">
        <x:v>9</x:v>
      </x:c>
      <x:c r="C115" s="32" t="str">
        <x:v>samir gandhi</x:v>
      </x:c>
      <x:c r="D115" s="32" t="str">
        <x:v>Messenger Pigeons</x:v>
      </x:c>
      <x:c r="E115" s="32" t="str">
        <x:v>Dalton Schultz</x:v>
      </x:c>
      <x:c r="F115" s="32" t="str">
        <x:v>Hou</x:v>
      </x:c>
      <x:c r="G115" s="32" t="str">
        <x:v>TE</x:v>
      </x:c>
      <x:c r="H115" s="34" t="n">
        <x:v>3</x:v>
      </x:c>
    </x:row>
    <x:row r="116">
      <x:c r="A116" s="55" t="n">
        <x:v>106</x:v>
      </x:c>
      <x:c r="B116" s="32" t="n">
        <x:v>14</x:v>
      </x:c>
      <x:c r="C116" s="32" t="str">
        <x:v>David Richards</x:v>
      </x:c>
      <x:c r="D116" s="32" t="str">
        <x:v>Knuckles 🫵🏻🤜🏻</x:v>
      </x:c>
      <x:c r="E116" s="32" t="str">
        <x:v>Cowboys D/ST</x:v>
      </x:c>
      <x:c r="F116" s="32" t="str">
        <x:v>Dal</x:v>
      </x:c>
      <x:c r="G116" s="32" t="str">
        <x:v>D/ST</x:v>
      </x:c>
      <x:c r="H116" s="34" t="n">
        <x:v>6</x:v>
      </x:c>
    </x:row>
    <x:row r="117">
      <x:c r="A117" s="55" t="n">
        <x:v>107</x:v>
      </x:c>
      <x:c r="B117" s="32" t="n">
        <x:v>15</x:v>
      </x:c>
      <x:c r="C117" s="32" t="str">
        <x:v>Ian Bates</x:v>
      </x:c>
      <x:c r="D117" s="32" t="str">
        <x:v>Let James COOK 🍳🙏🏻🙏🏻</x:v>
      </x:c>
      <x:c r="E117" s="32" t="str">
        <x:v>Brandon Aubrey</x:v>
      </x:c>
      <x:c r="F117" s="32" t="str">
        <x:v>Dal</x:v>
      </x:c>
      <x:c r="G117" s="32" t="str">
        <x:v>K</x:v>
      </x:c>
      <x:c r="H117" s="34" t="n">
        <x:v>6</x:v>
      </x:c>
    </x:row>
    <x:row r="118">
      <x:c r="A118" s="55" t="n">
        <x:v>108</x:v>
      </x:c>
      <x:c r="B118" s="32" t="n">
        <x:v>17</x:v>
      </x:c>
      <x:c r="C118" s="32" t="str">
        <x:v>Scott McKnight</x:v>
      </x:c>
      <x:c r="D118" s="32" t="str">
        <x:v>Mahomeless</x:v>
      </x:c>
      <x:c r="E118" s="32" t="str">
        <x:v>Tyjae Spears</x:v>
      </x:c>
      <x:c r="F118" s="32" t="str">
        <x:v>Ten</x:v>
      </x:c>
      <x:c r="G118" s="32" t="str">
        <x:v>RB</x:v>
      </x:c>
      <x:c r="H118" s="34" t="n">
        <x:v>6</x:v>
      </x:c>
    </x:row>
    <x:row r="119">
      <x:c r="A119" s="55" t="n">
        <x:v>109</x:v>
      </x:c>
      <x:c r="B119" s="32" t="n">
        <x:v>7</x:v>
      </x:c>
      <x:c r="C119" s="32" t="str">
        <x:v>Ebby Kurian</x:v>
      </x:c>
      <x:c r="D119" s="32" t="str">
        <x:v>The Splenic Flexture</x:v>
      </x:c>
      <x:c r="E119" s="32" t="str">
        <x:v>49ers D/ST</x:v>
      </x:c>
      <x:c r="F119" s="32" t="str">
        <x:v>SF</x:v>
      </x:c>
      <x:c r="G119" s="32" t="str">
        <x:v>D/ST</x:v>
      </x:c>
      <x:c r="H119" s="34" t="n">
        <x:v>7</x:v>
      </x:c>
    </x:row>
    <x:row r="120">
      <x:c r="A120" s="55" t="n">
        <x:v>110</x:v>
      </x:c>
      <x:c r="B120" s="32" t="n">
        <x:v>1</x:v>
      </x:c>
      <x:c r="C120" s="32" t="str">
        <x:v>Brett McKnight</x:v>
      </x:c>
      <x:c r="D120" s="32" t="str">
        <x:v>Limp Brisket</x:v>
      </x:c>
      <x:c r="E120" s="32" t="str">
        <x:v>Keon Coleman</x:v>
      </x:c>
      <x:c r="F120" s="32" t="str">
        <x:v>Buf</x:v>
      </x:c>
      <x:c r="G120" s="32" t="str">
        <x:v>WR</x:v>
      </x:c>
      <x:c r="H120" s="34" t="n">
        <x:v>10</x:v>
      </x:c>
    </x:row>
    <x:row r="121">
      <x:c r="A121" s="55" t="n">
        <x:v>111</x:v>
      </x:c>
      <x:c r="B121" s="32" t="n">
        <x:v>7</x:v>
      </x:c>
      <x:c r="C121" s="32" t="str">
        <x:v>Ebby Kurian</x:v>
      </x:c>
      <x:c r="D121" s="32" t="str">
        <x:v>The Splenic Flexture</x:v>
      </x:c>
      <x:c r="E121" s="32" t="str">
        <x:v>Chuba Hubbard</x:v>
      </x:c>
      <x:c r="F121" s="32" t="str">
        <x:v>Car</x:v>
      </x:c>
      <x:c r="G121" s="32" t="str">
        <x:v>RB</x:v>
      </x:c>
      <x:c r="H121" s="34" t="n">
        <x:v>8</x:v>
      </x:c>
    </x:row>
    <x:row r="122">
      <x:c r="A122" s="55" t="n">
        <x:v>112</x:v>
      </x:c>
      <x:c r="B122" s="32" t="n">
        <x:v>5</x:v>
      </x:c>
      <x:c r="C122" s="32" t="str">
        <x:v>George Rakkar</x:v>
      </x:c>
      <x:c r="D122" s="32" t="str">
        <x:v>Fantasy Tech</x:v>
      </x:c>
      <x:c r="E122" s="32" t="str">
        <x:v>Younghoe Koo</x:v>
      </x:c>
      <x:c r="F122" s="32" t="str">
        <x:v>Atl</x:v>
      </x:c>
      <x:c r="G122" s="32" t="str">
        <x:v>K</x:v>
      </x:c>
      <x:c r="H122" s="34" t="n">
        <x:v>2</x:v>
      </x:c>
    </x:row>
    <x:row r="123">
      <x:c r="A123" s="55" t="n">
        <x:v>113</x:v>
      </x:c>
      <x:c r="B123" s="32" t="n">
        <x:v>14</x:v>
      </x:c>
      <x:c r="C123" s="32" t="str">
        <x:v>David Richards</x:v>
      </x:c>
      <x:c r="D123" s="32" t="str">
        <x:v>Knuckles 🫵🏻🤜🏻</x:v>
      </x:c>
      <x:c r="E123" s="32" t="str">
        <x:v>Ladd McConkey</x:v>
      </x:c>
      <x:c r="F123" s="32" t="str">
        <x:v>LAC</x:v>
      </x:c>
      <x:c r="G123" s="32" t="str">
        <x:v>WR</x:v>
      </x:c>
      <x:c r="H123" s="34" t="n">
        <x:v>3</x:v>
      </x:c>
    </x:row>
    <x:row r="124">
      <x:c r="A124" s="55" t="n">
        <x:v>114</x:v>
      </x:c>
      <x:c r="B124" s="32" t="n">
        <x:v>6</x:v>
      </x:c>
      <x:c r="C124" s="32" t="str">
        <x:v>sangfroid bang</x:v>
      </x:c>
      <x:c r="D124" s="32" t="str">
        <x:v>Medically Cleared 2 Crush Dix</x:v>
      </x:c>
      <x:c r="E124" s="32" t="str">
        <x:v>Rico Dowdle</x:v>
      </x:c>
      <x:c r="F124" s="32" t="str">
        <x:v>Car</x:v>
      </x:c>
      <x:c r="G124" s="32" t="str">
        <x:v>RB</x:v>
      </x:c>
      <x:c r="H124" s="34" t="n">
        <x:v>1</x:v>
      </x:c>
    </x:row>
    <x:row r="125">
      <x:c r="A125" s="55" t="n">
        <x:v>115</x:v>
      </x:c>
      <x:c r="B125" s="32" t="n">
        <x:v>16</x:v>
      </x:c>
      <x:c r="C125" s="32" t="str">
        <x:v>Eric Boudreau</x:v>
      </x:c>
      <x:c r="D125" s="32" t="str">
        <x:v>Moody Magic</x:v>
      </x:c>
      <x:c r="E125" s="32" t="str">
        <x:v>Christian Kirk</x:v>
      </x:c>
      <x:c r="F125" s="32" t="str">
        <x:v>Hou</x:v>
      </x:c>
      <x:c r="G125" s="32" t="str">
        <x:v>WR</x:v>
      </x:c>
      <x:c r="H125" s="34" t="n">
        <x:v>18</x:v>
      </x:c>
    </x:row>
    <x:row r="126">
      <x:c r="A126" s="55" t="n">
        <x:v>116</x:v>
      </x:c>
      <x:c r="B126" s="32" t="n">
        <x:v>9</x:v>
      </x:c>
      <x:c r="C126" s="32" t="str">
        <x:v>samir gandhi</x:v>
      </x:c>
      <x:c r="D126" s="32" t="str">
        <x:v>Messenger Pigeons</x:v>
      </x:c>
      <x:c r="E126" s="32" t="str">
        <x:v>Aaron Rodgers</x:v>
      </x:c>
      <x:c r="F126" s="32" t="str">
        <x:v>FA</x:v>
      </x:c>
      <x:c r="G126" s="32" t="str">
        <x:v>QB</x:v>
      </x:c>
      <x:c r="H126" s="34" t="n">
        <x:v>1</x:v>
      </x:c>
    </x:row>
    <x:row r="127">
      <x:c r="A127" s="55" t="n">
        <x:v>117</x:v>
      </x:c>
      <x:c r="B127" s="32" t="n">
        <x:v>9</x:v>
      </x:c>
      <x:c r="C127" s="32" t="str">
        <x:v>samir gandhi</x:v>
      </x:c>
      <x:c r="D127" s="32" t="str">
        <x:v>Messenger Pigeons</x:v>
      </x:c>
      <x:c r="E127" s="32" t="str">
        <x:v>Ravens D/ST</x:v>
      </x:c>
      <x:c r="F127" s="32" t="str">
        <x:v>Bal</x:v>
      </x:c>
      <x:c r="G127" s="32" t="str">
        <x:v>D/ST</x:v>
      </x:c>
      <x:c r="H127" s="34" t="n">
        <x:v>7</x:v>
      </x:c>
    </x:row>
    <x:row r="128">
      <x:c r="A128" s="55" t="n">
        <x:v>118</x:v>
      </x:c>
      <x:c r="B128" s="32" t="n">
        <x:v>14</x:v>
      </x:c>
      <x:c r="C128" s="32" t="str">
        <x:v>David Richards</x:v>
      </x:c>
      <x:c r="D128" s="32" t="str">
        <x:v>Knuckles 🫵🏻🤜🏻</x:v>
      </x:c>
      <x:c r="E128" s="32" t="str">
        <x:v>Jake Elliott</x:v>
      </x:c>
      <x:c r="F128" s="32" t="str">
        <x:v>Phi</x:v>
      </x:c>
      <x:c r="G128" s="32" t="str">
        <x:v>K</x:v>
      </x:c>
      <x:c r="H128" s="34" t="n">
        <x:v>4</x:v>
      </x:c>
    </x:row>
    <x:row r="129">
      <x:c r="A129" s="55" t="n">
        <x:v>119</x:v>
      </x:c>
      <x:c r="B129" s="32" t="n">
        <x:v>15</x:v>
      </x:c>
      <x:c r="C129" s="32" t="str">
        <x:v>Ian Bates</x:v>
      </x:c>
      <x:c r="D129" s="32" t="str">
        <x:v>Let James COOK 🍳🙏🏻🙏🏻</x:v>
      </x:c>
      <x:c r="E129" s="32" t="str">
        <x:v>Khalil Shakir</x:v>
      </x:c>
      <x:c r="F129" s="32" t="str">
        <x:v>Buf</x:v>
      </x:c>
      <x:c r="G129" s="32" t="str">
        <x:v>WR</x:v>
      </x:c>
      <x:c r="H129" s="34" t="n">
        <x:v>8</x:v>
      </x:c>
    </x:row>
    <x:row r="130">
      <x:c r="A130" s="55" t="n">
        <x:v>120</x:v>
      </x:c>
      <x:c r="B130" s="32" t="n">
        <x:v>5</x:v>
      </x:c>
      <x:c r="C130" s="32" t="str">
        <x:v>George Rakkar</x:v>
      </x:c>
      <x:c r="D130" s="32" t="str">
        <x:v>Fantasy Tech</x:v>
      </x:c>
      <x:c r="E130" s="32" t="str">
        <x:v>Dolphins D/ST</x:v>
      </x:c>
      <x:c r="F130" s="32" t="str">
        <x:v>Mia</x:v>
      </x:c>
      <x:c r="G130" s="32" t="str">
        <x:v>D/ST</x:v>
      </x:c>
      <x:c r="H130" s="34" t="n">
        <x:v>3</x:v>
      </x:c>
    </x:row>
    <x:row r="131">
      <x:c r="A131" s="55" t="n">
        <x:v>121</x:v>
      </x:c>
      <x:c r="B131" s="32" t="n">
        <x:v>18</x:v>
      </x:c>
      <x:c r="C131" s="32" t="str">
        <x:v>Dan Maland</x:v>
      </x:c>
      <x:c r="D131" s="32" t="str">
        <x:v>The Mile High Club</x:v>
      </x:c>
      <x:c r="E131" s="32" t="str">
        <x:v>Devin Singletary</x:v>
      </x:c>
      <x:c r="F131" s="32" t="str">
        <x:v>NYG</x:v>
      </x:c>
      <x:c r="G131" s="32" t="str">
        <x:v>RB</x:v>
      </x:c>
      <x:c r="H131" s="34" t="n">
        <x:v>8</x:v>
      </x:c>
    </x:row>
    <x:row r="132">
      <x:c r="A132" s="55" t="n">
        <x:v>122</x:v>
      </x:c>
      <x:c r="B132" s="32" t="n">
        <x:v>17</x:v>
      </x:c>
      <x:c r="C132" s="32" t="str">
        <x:v>Scott McKnight</x:v>
      </x:c>
      <x:c r="D132" s="32" t="str">
        <x:v>Mahomeless</x:v>
      </x:c>
      <x:c r="E132" s="32" t="str">
        <x:v>Greg Zuerlein</x:v>
      </x:c>
      <x:c r="F132" s="32" t="str">
        <x:v>NYJ</x:v>
      </x:c>
      <x:c r="G132" s="32" t="str">
        <x:v>K</x:v>
      </x:c>
      <x:c r="H132" s="34" t="n">
        <x:v>2</x:v>
      </x:c>
    </x:row>
    <x:row r="133">
      <x:c r="A133" s="55" t="n">
        <x:v>123</x:v>
      </x:c>
      <x:c r="B133" s="32" t="n">
        <x:v>1</x:v>
      </x:c>
      <x:c r="C133" s="32" t="str">
        <x:v>Brett McKnight</x:v>
      </x:c>
      <x:c r="D133" s="32" t="str">
        <x:v>Limp Brisket</x:v>
      </x:c>
      <x:c r="E133" s="32" t="str">
        <x:v>Cameron Dicker</x:v>
      </x:c>
      <x:c r="F133" s="32" t="str">
        <x:v>LAC</x:v>
      </x:c>
      <x:c r="G133" s="32" t="str">
        <x:v>K</x:v>
      </x:c>
      <x:c r="H133" s="34" t="n">
        <x:v>3</x:v>
      </x:c>
    </x:row>
    <x:row r="134">
      <x:c r="A134" s="55" t="n">
        <x:v>124</x:v>
      </x:c>
      <x:c r="B134" s="32" t="n">
        <x:v>15</x:v>
      </x:c>
      <x:c r="C134" s="32" t="str">
        <x:v>Ian Bates</x:v>
      </x:c>
      <x:c r="D134" s="32" t="str">
        <x:v>Let James COOK 🍳🙏🏻🙏🏻</x:v>
      </x:c>
      <x:c r="E134" s="32" t="str">
        <x:v>Zack Moss</x:v>
      </x:c>
      <x:c r="F134" s="32" t="str">
        <x:v>Cin</x:v>
      </x:c>
      <x:c r="G134" s="32" t="str">
        <x:v>RB</x:v>
      </x:c>
      <x:c r="H134" s="34" t="n">
        <x:v>4</x:v>
      </x:c>
    </x:row>
    <x:row r="135">
      <x:c r="A135" s="55" t="n">
        <x:v>125</x:v>
      </x:c>
      <x:c r="B135" s="32" t="n">
        <x:v>6</x:v>
      </x:c>
      <x:c r="C135" s="32" t="str">
        <x:v>sangfroid bang</x:v>
      </x:c>
      <x:c r="D135" s="32" t="str">
        <x:v>Medically Cleared 2 Crush Dix</x:v>
      </x:c>
      <x:c r="E135" s="32" t="str">
        <x:v>Trevor Lawrence</x:v>
      </x:c>
      <x:c r="F135" s="32" t="str">
        <x:v>Jax</x:v>
      </x:c>
      <x:c r="G135" s="32" t="str">
        <x:v>QB</x:v>
      </x:c>
      <x:c r="H135" s="34" t="n">
        <x:v>1</x:v>
      </x:c>
    </x:row>
    <x:row r="136">
      <x:c r="A136" s="55" t="n">
        <x:v>126</x:v>
      </x:c>
      <x:c r="B136" s="32" t="n">
        <x:v>6</x:v>
      </x:c>
      <x:c r="C136" s="32" t="str">
        <x:v>sangfroid bang</x:v>
      </x:c>
      <x:c r="D136" s="32" t="str">
        <x:v>Medically Cleared 2 Crush Dix</x:v>
      </x:c>
      <x:c r="E136" s="32" t="str">
        <x:v>Jonathon Brooks</x:v>
      </x:c>
      <x:c r="F136" s="32" t="str">
        <x:v>Car</x:v>
      </x:c>
      <x:c r="G136" s="32" t="str">
        <x:v>RB</x:v>
      </x:c>
      <x:c r="H136" s="34" t="n">
        <x:v>5</x:v>
      </x:c>
    </x:row>
    <x:row r="137">
      <x:c r="A137" s="55" t="n">
        <x:v>127</x:v>
      </x:c>
      <x:c r="B137" s="32" t="n">
        <x:v>9</x:v>
      </x:c>
      <x:c r="C137" s="32" t="str">
        <x:v>samir gandhi</x:v>
      </x:c>
      <x:c r="D137" s="32" t="str">
        <x:v>Messenger Pigeons</x:v>
      </x:c>
      <x:c r="E137" s="32" t="str">
        <x:v>Jakobi Meyers</x:v>
      </x:c>
      <x:c r="F137" s="32" t="str">
        <x:v>LV</x:v>
      </x:c>
      <x:c r="G137" s="32" t="str">
        <x:v>WR</x:v>
      </x:c>
      <x:c r="H137" s="34" t="n">
        <x:v>5</x:v>
      </x:c>
    </x:row>
    <x:row r="138">
      <x:c r="A138" s="55" t="n">
        <x:v>128</x:v>
      </x:c>
      <x:c r="B138" s="32" t="n">
        <x:v>15</x:v>
      </x:c>
      <x:c r="C138" s="32" t="str">
        <x:v>Ian Bates</x:v>
      </x:c>
      <x:c r="D138" s="32" t="str">
        <x:v>Let James COOK 🍳🙏🏻🙏🏻</x:v>
      </x:c>
      <x:c r="E138" s="32" t="str">
        <x:v>Caleb Williams</x:v>
      </x:c>
      <x:c r="F138" s="32" t="str">
        <x:v>Chi</x:v>
      </x:c>
      <x:c r="G138" s="32" t="str">
        <x:v>QB</x:v>
      </x:c>
      <x:c r="H138" s="34" t="n">
        <x:v>3</x:v>
      </x:c>
    </x:row>
    <x:row r="139">
      <x:c r="A139" s="55" t="n">
        <x:v>129</x:v>
      </x:c>
      <x:c r="B139" s="32" t="n">
        <x:v>17</x:v>
      </x:c>
      <x:c r="C139" s="32" t="str">
        <x:v>Scott McKnight</x:v>
      </x:c>
      <x:c r="D139" s="32" t="str">
        <x:v>Mahomeless</x:v>
      </x:c>
      <x:c r="E139" s="32" t="str">
        <x:v>Bengals D/ST</x:v>
      </x:c>
      <x:c r="F139" s="32" t="str">
        <x:v>Cin</x:v>
      </x:c>
      <x:c r="G139" s="32" t="str">
        <x:v>D/ST</x:v>
      </x:c>
      <x:c r="H139" s="34" t="n">
        <x:v>1</x:v>
      </x:c>
    </x:row>
    <x:row r="140">
      <x:c r="A140" s="55" t="n">
        <x:v>130</x:v>
      </x:c>
      <x:c r="B140" s="32" t="n">
        <x:v>19</x:v>
      </x:c>
      <x:c r="C140" s="32" t="str">
        <x:v>Thomas Atwater</x:v>
      </x:c>
      <x:c r="D140" s="32" t="str">
        <x:v>Garbage Time</x:v>
      </x:c>
      <x:c r="E140" s="32" t="str">
        <x:v>David Njoku</x:v>
      </x:c>
      <x:c r="F140" s="32" t="str">
        <x:v>Cle</x:v>
      </x:c>
      <x:c r="G140" s="32" t="str">
        <x:v>TE</x:v>
      </x:c>
      <x:c r="H140" s="34" t="n">
        <x:v>1</x:v>
      </x:c>
    </x:row>
    <x:row r="141">
      <x:c r="A141" s="55" t="n">
        <x:v>131</x:v>
      </x:c>
      <x:c r="B141" s="32" t="n">
        <x:v>6</x:v>
      </x:c>
      <x:c r="C141" s="32" t="str">
        <x:v>sangfroid bang</x:v>
      </x:c>
      <x:c r="D141" s="32" t="str">
        <x:v>Medically Cleared 2 Crush Dix</x:v>
      </x:c>
      <x:c r="E141" s="32" t="str">
        <x:v>Jordan Mason</x:v>
      </x:c>
      <x:c r="F141" s="32" t="str">
        <x:v>Min</x:v>
      </x:c>
      <x:c r="G141" s="32" t="str">
        <x:v>RB</x:v>
      </x:c>
      <x:c r="H141" s="34" t="n">
        <x:v>4</x:v>
      </x:c>
    </x:row>
    <x:row r="142">
      <x:c r="A142" s="55" t="n">
        <x:v>132</x:v>
      </x:c>
      <x:c r="B142" s="32" t="n">
        <x:v>9</x:v>
      </x:c>
      <x:c r="C142" s="32" t="str">
        <x:v>samir gandhi</x:v>
      </x:c>
      <x:c r="D142" s="32" t="str">
        <x:v>Messenger Pigeons</x:v>
      </x:c>
      <x:c r="E142" s="32" t="str">
        <x:v>Jaleel McLaughlin</x:v>
      </x:c>
      <x:c r="F142" s="32" t="str">
        <x:v>Den</x:v>
      </x:c>
      <x:c r="G142" s="32" t="str">
        <x:v>RB</x:v>
      </x:c>
      <x:c r="H142" s="34" t="n">
        <x:v>6</x:v>
      </x:c>
    </x:row>
    <x:row r="143">
      <x:c r="A143" s="55" t="n">
        <x:v>133</x:v>
      </x:c>
      <x:c r="B143" s="32" t="n">
        <x:v>7</x:v>
      </x:c>
      <x:c r="C143" s="32" t="str">
        <x:v>Ebby Kurian</x:v>
      </x:c>
      <x:c r="D143" s="32" t="str">
        <x:v>The Splenic Flexture</x:v>
      </x:c>
      <x:c r="E143" s="32" t="str">
        <x:v>Ka'imi Fairbairn</x:v>
      </x:c>
      <x:c r="F143" s="32" t="str">
        <x:v>Hou</x:v>
      </x:c>
      <x:c r="G143" s="32" t="str">
        <x:v>K</x:v>
      </x:c>
      <x:c r="H143" s="34" t="n">
        <x:v>1</x:v>
      </x:c>
    </x:row>
    <x:row r="144">
      <x:c r="A144" s="55" t="n">
        <x:v>134</x:v>
      </x:c>
      <x:c r="B144" s="32" t="n">
        <x:v>6</x:v>
      </x:c>
      <x:c r="C144" s="32" t="str">
        <x:v>sangfroid bang</x:v>
      </x:c>
      <x:c r="D144" s="32" t="str">
        <x:v>Medically Cleared 2 Crush Dix</x:v>
      </x:c>
      <x:c r="E144" s="32" t="str">
        <x:v>Steelers D/ST</x:v>
      </x:c>
      <x:c r="F144" s="32" t="str">
        <x:v>Pit</x:v>
      </x:c>
      <x:c r="G144" s="32" t="str">
        <x:v>D/ST</x:v>
      </x:c>
      <x:c r="H144" s="34" t="n">
        <x:v>2</x:v>
      </x:c>
    </x:row>
    <x:row r="145">
      <x:c r="A145" s="55" t="n">
        <x:v>135</x:v>
      </x:c>
      <x:c r="B145" s="32" t="n">
        <x:v>9</x:v>
      </x:c>
      <x:c r="C145" s="32" t="str">
        <x:v>samir gandhi</x:v>
      </x:c>
      <x:c r="D145" s="32" t="str">
        <x:v>Messenger Pigeons</x:v>
      </x:c>
      <x:c r="E145" s="32" t="str">
        <x:v>Chase Brown</x:v>
      </x:c>
      <x:c r="F145" s="32" t="str">
        <x:v>Cin</x:v>
      </x:c>
      <x:c r="G145" s="32" t="str">
        <x:v>RB</x:v>
      </x:c>
      <x:c r="H145" s="34" t="n">
        <x:v>7</x:v>
      </x:c>
    </x:row>
    <x:row r="146">
      <x:c r="A146" s="55" t="n">
        <x:v>136</x:v>
      </x:c>
      <x:c r="B146" s="32" t="n">
        <x:v>6</x:v>
      </x:c>
      <x:c r="C146" s="32" t="str">
        <x:v>sangfroid bang</x:v>
      </x:c>
      <x:c r="D146" s="32" t="str">
        <x:v>Medically Cleared 2 Crush Dix</x:v>
      </x:c>
      <x:c r="E146" s="32" t="str">
        <x:v>Evan McPherson</x:v>
      </x:c>
      <x:c r="F146" s="32" t="str">
        <x:v>Cin</x:v>
      </x:c>
      <x:c r="G146" s="32" t="str">
        <x:v>K</x:v>
      </x:c>
      <x:c r="H146" s="34" t="n">
        <x:v>1</x:v>
      </x:c>
    </x:row>
    <x:row r="147">
      <x:c r="A147" s="55" t="n">
        <x:v>137</x:v>
      </x:c>
      <x:c r="B147" s="32" t="n">
        <x:v>15</x:v>
      </x:c>
      <x:c r="C147" s="32" t="str">
        <x:v>Ian Bates</x:v>
      </x:c>
      <x:c r="D147" s="32" t="str">
        <x:v>Let James COOK 🍳🙏🏻🙏🏻</x:v>
      </x:c>
      <x:c r="E147" s="32" t="str">
        <x:v>Brian Thomas Jr.</x:v>
      </x:c>
      <x:c r="F147" s="32" t="str">
        <x:v>Jax</x:v>
      </x:c>
      <x:c r="G147" s="32" t="str">
        <x:v>WR</x:v>
      </x:c>
      <x:c r="H147" s="34" t="n">
        <x:v>5</x:v>
      </x:c>
    </x:row>
    <x:row r="148">
      <x:c r="A148" s="55" t="n">
        <x:v>138</x:v>
      </x:c>
      <x:c r="B148" s="32" t="n">
        <x:v>17</x:v>
      </x:c>
      <x:c r="C148" s="32" t="str">
        <x:v>Scott McKnight</x:v>
      </x:c>
      <x:c r="D148" s="32" t="str">
        <x:v>Mahomeless</x:v>
      </x:c>
      <x:c r="E148" s="32" t="str">
        <x:v>Blake Corum</x:v>
      </x:c>
      <x:c r="F148" s="32" t="str">
        <x:v>LAR</x:v>
      </x:c>
      <x:c r="G148" s="32" t="str">
        <x:v>RB</x:v>
      </x:c>
      <x:c r="H148" s="34" t="n">
        <x:v>5</x:v>
      </x:c>
    </x:row>
    <x:row r="149">
      <x:c r="A149" s="55" t="n">
        <x:v>139</x:v>
      </x:c>
      <x:c r="B149" s="32" t="n">
        <x:v>16</x:v>
      </x:c>
      <x:c r="C149" s="32" t="str">
        <x:v>Eric Boudreau</x:v>
      </x:c>
      <x:c r="D149" s="32" t="str">
        <x:v>Moody Magic</x:v>
      </x:c>
      <x:c r="E149" s="32" t="str">
        <x:v>Joshua Palmer</x:v>
      </x:c>
      <x:c r="F149" s="32" t="str">
        <x:v>Buf</x:v>
      </x:c>
      <x:c r="G149" s="32" t="str">
        <x:v>WR</x:v>
      </x:c>
      <x:c r="H149" s="34" t="n">
        <x:v>4</x:v>
      </x:c>
    </x:row>
    <x:row r="150">
      <x:c r="A150" s="55" t="n">
        <x:v>140</x:v>
      </x:c>
      <x:c r="B150" s="32" t="n">
        <x:v>17</x:v>
      </x:c>
      <x:c r="C150" s="32" t="str">
        <x:v>Scott McKnight</x:v>
      </x:c>
      <x:c r="D150" s="32" t="str">
        <x:v>Mahomeless</x:v>
      </x:c>
      <x:c r="E150" s="32" t="str">
        <x:v>Hollywood Brown</x:v>
      </x:c>
      <x:c r="F150" s="32" t="str">
        <x:v>KC</x:v>
      </x:c>
      <x:c r="G150" s="32" t="str">
        <x:v>WR</x:v>
      </x:c>
      <x:c r="H150" s="34" t="n">
        <x:v>1</x:v>
      </x:c>
    </x:row>
    <x:row r="151">
      <x:c r="A151" s="55" t="n">
        <x:v>141</x:v>
      </x:c>
      <x:c r="B151" s="32" t="n">
        <x:v>14</x:v>
      </x:c>
      <x:c r="C151" s="32" t="str">
        <x:v>David Richards</x:v>
      </x:c>
      <x:c r="D151" s="32" t="str">
        <x:v>Knuckles 🫵🏻🤜🏻</x:v>
      </x:c>
      <x:c r="E151" s="32" t="str">
        <x:v>Darnell Mooney</x:v>
      </x:c>
      <x:c r="F151" s="32" t="str">
        <x:v>Atl</x:v>
      </x:c>
      <x:c r="G151" s="32" t="str">
        <x:v>WR</x:v>
      </x:c>
      <x:c r="H151" s="34" t="n">
        <x:v>2</x:v>
      </x:c>
    </x:row>
    <x:row r="152">
      <x:c r="A152" s="55" t="n">
        <x:v>142</x:v>
      </x:c>
      <x:c r="B152" s="32" t="n">
        <x:v>5</x:v>
      </x:c>
      <x:c r="C152" s="32" t="str">
        <x:v>George Rakkar</x:v>
      </x:c>
      <x:c r="D152" s="32" t="str">
        <x:v>Fantasy Tech</x:v>
      </x:c>
      <x:c r="E152" s="32" t="str">
        <x:v>Zach Charbonnet</x:v>
      </x:c>
      <x:c r="F152" s="32" t="str">
        <x:v>Sea</x:v>
      </x:c>
      <x:c r="G152" s="32" t="str">
        <x:v>RB</x:v>
      </x:c>
      <x:c r="H152" s="34" t="n">
        <x:v>1</x:v>
      </x:c>
    </x:row>
    <x:row r="153">
      <x:c r="A153" s="55" t="n">
        <x:v>143</x:v>
      </x:c>
      <x:c r="B153" s="32" t="n">
        <x:v>5</x:v>
      </x:c>
      <x:c r="C153" s="32" t="str">
        <x:v>George Rakkar</x:v>
      </x:c>
      <x:c r="D153" s="32" t="str">
        <x:v>Fantasy Tech</x:v>
      </x:c>
      <x:c r="E153" s="32" t="str">
        <x:v>Tyrone Tracy Jr.</x:v>
      </x:c>
      <x:c r="F153" s="32" t="str">
        <x:v>NYG</x:v>
      </x:c>
      <x:c r="G153" s="32" t="str">
        <x:v>RB</x:v>
      </x:c>
      <x:c r="H153" s="34" t="n">
        <x:v>2</x:v>
      </x:c>
    </x:row>
    <x:row r="154">
      <x:c r="A154" s="55" t="n">
        <x:v>144</x:v>
      </x:c>
      <x:c r="B154" s="32" t="n">
        <x:v>7</x:v>
      </x:c>
      <x:c r="C154" s="32" t="str">
        <x:v>Ebby Kurian</x:v>
      </x:c>
      <x:c r="D154" s="32" t="str">
        <x:v>The Splenic Flexture</x:v>
      </x:c>
      <x:c r="E154" s="32" t="str">
        <x:v>Brandin Cooks</x:v>
      </x:c>
      <x:c r="F154" s="32" t="str">
        <x:v>Dal</x:v>
      </x:c>
      <x:c r="G154" s="32" t="str">
        <x:v>WR</x:v>
      </x:c>
      <x:c r="H154" s="34" t="n">
        <x:v>1</x:v>
      </x:c>
    </x:row>
    <x:row r="155">
      <x:c r="A155" s="55" t="n">
        <x:v>145</x:v>
      </x:c>
      <x:c r="B155" s="32" t="n">
        <x:v>16</x:v>
      </x:c>
      <x:c r="C155" s="32" t="str">
        <x:v>Eric Boudreau</x:v>
      </x:c>
      <x:c r="D155" s="32" t="str">
        <x:v>Moody Magic</x:v>
      </x:c>
      <x:c r="E155" s="32" t="str">
        <x:v>Jake Moody</x:v>
      </x:c>
      <x:c r="F155" s="32" t="str">
        <x:v>SF</x:v>
      </x:c>
      <x:c r="G155" s="32" t="str">
        <x:v>K</x:v>
      </x:c>
      <x:c r="H155" s="34" t="n">
        <x:v>1</x:v>
      </x:c>
    </x:row>
    <x:row r="156">
      <x:c r="A156" s="55" t="n">
        <x:v>146</x:v>
      </x:c>
      <x:c r="B156" s="32" t="n">
        <x:v>19</x:v>
      </x:c>
      <x:c r="C156" s="32" t="str">
        <x:v>Thomas Atwater</x:v>
      </x:c>
      <x:c r="D156" s="32" t="str">
        <x:v>Garbage Time</x:v>
      </x:c>
      <x:c r="E156" s="32" t="str">
        <x:v>Gus Edwards</x:v>
      </x:c>
      <x:c r="F156" s="32" t="str">
        <x:v>FA</x:v>
      </x:c>
      <x:c r="G156" s="32" t="str">
        <x:v>RB</x:v>
      </x:c>
      <x:c r="H156" s="34" t="n">
        <x:v>4</x:v>
      </x:c>
    </x:row>
    <x:row r="157">
      <x:c r="A157" s="55" t="n">
        <x:v>147</x:v>
      </x:c>
      <x:c r="B157" s="32" t="n">
        <x:v>14</x:v>
      </x:c>
      <x:c r="C157" s="32" t="str">
        <x:v>David Richards</x:v>
      </x:c>
      <x:c r="D157" s="32" t="str">
        <x:v>Knuckles 🫵🏻🤜🏻</x:v>
      </x:c>
      <x:c r="E157" s="32" t="str">
        <x:v>Ty Chandler</x:v>
      </x:c>
      <x:c r="F157" s="32" t="str">
        <x:v>Min</x:v>
      </x:c>
      <x:c r="G157" s="32" t="str">
        <x:v>RB</x:v>
      </x:c>
      <x:c r="H157" s="34" t="n">
        <x:v>2</x:v>
      </x:c>
    </x:row>
    <x:row r="158">
      <x:c r="A158" s="55" t="n">
        <x:v>148</x:v>
      </x:c>
      <x:c r="B158" s="32" t="n">
        <x:v>9</x:v>
      </x:c>
      <x:c r="C158" s="32" t="str">
        <x:v>samir gandhi</x:v>
      </x:c>
      <x:c r="D158" s="32" t="str">
        <x:v>Messenger Pigeons</x:v>
      </x:c>
      <x:c r="E158" s="32" t="str">
        <x:v>Rashid Shaheed</x:v>
      </x:c>
      <x:c r="F158" s="32" t="str">
        <x:v>NO</x:v>
      </x:c>
      <x:c r="G158" s="32" t="str">
        <x:v>WR</x:v>
      </x:c>
      <x:c r="H158" s="34" t="n">
        <x:v>1</x:v>
      </x:c>
    </x:row>
    <x:row r="159">
      <x:c r="A159" s="55" t="n">
        <x:v>149</x:v>
      </x:c>
      <x:c r="B159" s="32" t="n">
        <x:v>14</x:v>
      </x:c>
      <x:c r="C159" s="32" t="str">
        <x:v>David Richards</x:v>
      </x:c>
      <x:c r="D159" s="32" t="str">
        <x:v>Knuckles 🫵🏻🤜🏻</x:v>
      </x:c>
      <x:c r="E159" s="32" t="str">
        <x:v>Demarcus Robinson</x:v>
      </x:c>
      <x:c r="F159" s="32" t="str">
        <x:v>SF</x:v>
      </x:c>
      <x:c r="G159" s="32" t="str">
        <x:v>WR</x:v>
      </x:c>
      <x:c r="H159" s="34" t="n">
        <x:v>2</x:v>
      </x:c>
    </x:row>
    <x:row r="160">
      <x:c r="A160" s="55" t="n">
        <x:v>150</x:v>
      </x:c>
      <x:c r="B160" s="32" t="n">
        <x:v>19</x:v>
      </x:c>
      <x:c r="C160" s="32" t="str">
        <x:v>Thomas Atwater</x:v>
      </x:c>
      <x:c r="D160" s="32" t="str">
        <x:v>Garbage Time</x:v>
      </x:c>
      <x:c r="E160" s="32" t="str">
        <x:v>Trey Benson</x:v>
      </x:c>
      <x:c r="F160" s="32" t="str">
        <x:v>Ari</x:v>
      </x:c>
      <x:c r="G160" s="32" t="str">
        <x:v>RB</x:v>
      </x:c>
      <x:c r="H160" s="34" t="n">
        <x:v>1</x:v>
      </x:c>
    </x:row>
    <x:row r="161">
      <x:c r="A161" s="55" t="n">
        <x:v>151</x:v>
      </x:c>
      <x:c r="B161" s="32" t="n">
        <x:v>5</x:v>
      </x:c>
      <x:c r="C161" s="32" t="str">
        <x:v>George Rakkar</x:v>
      </x:c>
      <x:c r="D161" s="32" t="str">
        <x:v>Fantasy Tech</x:v>
      </x:c>
      <x:c r="E161" s="32" t="str">
        <x:v>Braelon Allen</x:v>
      </x:c>
      <x:c r="F161" s="32" t="str">
        <x:v>NYJ</x:v>
      </x:c>
      <x:c r="G161" s="32" t="str">
        <x:v>RB</x:v>
      </x:c>
      <x:c r="H161" s="34" t="n">
        <x:v>1</x:v>
      </x:c>
    </x:row>
    <x:row r="162">
      <x:c r="A162" s="55" t="n">
        <x:v>152</x:v>
      </x:c>
      <x:c r="B162" s="32" t="n">
        <x:v>1</x:v>
      </x:c>
      <x:c r="C162" s="32" t="str">
        <x:v>Brett McKnight</x:v>
      </x:c>
      <x:c r="D162" s="32" t="str">
        <x:v>Limp Brisket</x:v>
      </x:c>
      <x:c r="E162" s="32" t="str">
        <x:v>Chiefs D/ST</x:v>
      </x:c>
      <x:c r="F162" s="32" t="str">
        <x:v>KC</x:v>
      </x:c>
      <x:c r="G162" s="32" t="str">
        <x:v>D/ST</x:v>
      </x:c>
      <x:c r="H162" s="34" t="n">
        <x:v>1</x:v>
      </x:c>
    </x:row>
    <x:row r="163">
      <x:c r="A163" s="55" t="n">
        <x:v>153</x:v>
      </x:c>
      <x:c r="B163" s="32" t="n">
        <x:v>16</x:v>
      </x:c>
      <x:c r="C163" s="32" t="str">
        <x:v>Eric Boudreau</x:v>
      </x:c>
      <x:c r="D163" s="32" t="str">
        <x:v>Moody Magic</x:v>
      </x:c>
      <x:c r="E163" s="32" t="str">
        <x:v>Saints D/ST</x:v>
      </x:c>
      <x:c r="F163" s="32" t="str">
        <x:v>NO</x:v>
      </x:c>
      <x:c r="G163" s="32" t="str">
        <x:v>D/ST</x:v>
      </x:c>
      <x:c r="H163" s="34" t="n">
        <x:v>1</x:v>
      </x:c>
    </x:row>
    <x:row r="164">
      <x:c r="A164" s="55" t="n">
        <x:v>154</x:v>
      </x:c>
      <x:c r="B164" s="32" t="n">
        <x:v>14</x:v>
      </x:c>
      <x:c r="C164" s="32" t="str">
        <x:v>David Richards</x:v>
      </x:c>
      <x:c r="D164" s="32" t="str">
        <x:v>Knuckles 🫵🏻🤜🏻</x:v>
      </x:c>
      <x:c r="E164" s="32" t="str">
        <x:v>Tyler Allgeier</x:v>
      </x:c>
      <x:c r="F164" s="32" t="str">
        <x:v>Atl</x:v>
      </x:c>
      <x:c r="G164" s="32" t="str">
        <x:v>RB</x:v>
      </x:c>
      <x:c r="H164" s="34" t="n">
        <x:v>1</x:v>
      </x:c>
    </x:row>
    <x:row r="165">
      <x:c r="A165" s="55" t="n">
        <x:v>155</x:v>
      </x:c>
      <x:c r="B165" s="32" t="n">
        <x:v>18</x:v>
      </x:c>
      <x:c r="C165" s="32" t="str">
        <x:v>Dan Maland</x:v>
      </x:c>
      <x:c r="D165" s="32" t="str">
        <x:v>The Mile High Club</x:v>
      </x:c>
      <x:c r="E165" s="32" t="str">
        <x:v>MarShawn Lloyd</x:v>
      </x:c>
      <x:c r="F165" s="32" t="str">
        <x:v>GB</x:v>
      </x:c>
      <x:c r="G165" s="32" t="str">
        <x:v>RB</x:v>
      </x:c>
      <x:c r="H165" s="34" t="n">
        <x:v>1</x:v>
      </x:c>
    </x:row>
    <x:row r="166">
      <x:c r="A166" s="55" t="n">
        <x:v>156</x:v>
      </x:c>
      <x:c r="B166" s="32" t="n">
        <x:v>15</x:v>
      </x:c>
      <x:c r="C166" s="32" t="str">
        <x:v>Ian Bates</x:v>
      </x:c>
      <x:c r="D166" s="32" t="str">
        <x:v>Let James COOK 🍳🙏🏻🙏🏻</x:v>
      </x:c>
      <x:c r="E166" s="32" t="str">
        <x:v>T.J. Hockenson</x:v>
      </x:c>
      <x:c r="F166" s="32" t="str">
        <x:v>Min</x:v>
      </x:c>
      <x:c r="G166" s="32" t="str">
        <x:v>TE</x:v>
      </x:c>
      <x:c r="H166" s="34" t="n">
        <x:v>1</x:v>
      </x:c>
    </x:row>
    <x:row r="167">
      <x:c r="A167" s="55" t="n">
        <x:v>157</x:v>
      </x:c>
      <x:c r="B167" s="32" t="n">
        <x:v>19</x:v>
      </x:c>
      <x:c r="C167" s="32" t="str">
        <x:v>Thomas Atwater</x:v>
      </x:c>
      <x:c r="D167" s="32" t="str">
        <x:v>Garbage Time</x:v>
      </x:c>
      <x:c r="E167" s="32" t="str">
        <x:v>Adonai Mitchell</x:v>
      </x:c>
      <x:c r="F167" s="32" t="str">
        <x:v>Ind</x:v>
      </x:c>
      <x:c r="G167" s="32" t="str">
        <x:v>WR</x:v>
      </x:c>
      <x:c r="H167" s="34" t="n">
        <x:v>1</x:v>
      </x:c>
    </x:row>
    <x:row r="168">
      <x:c r="A168" s="55" t="n">
        <x:v>158</x:v>
      </x:c>
      <x:c r="B168" s="32" t="n">
        <x:v>5</x:v>
      </x:c>
      <x:c r="C168" s="32" t="str">
        <x:v>George Rakkar</x:v>
      </x:c>
      <x:c r="D168" s="32" t="str">
        <x:v>Fantasy Tech</x:v>
      </x:c>
      <x:c r="E168" s="32" t="str">
        <x:v>Ja'Lynn Polk</x:v>
      </x:c>
      <x:c r="F168" s="32" t="str">
        <x:v>NE</x:v>
      </x:c>
      <x:c r="G168" s="32" t="str">
        <x:v>WR</x:v>
      </x:c>
      <x:c r="H168" s="34" t="n">
        <x:v>1</x:v>
      </x:c>
    </x:row>
    <x:row r="169">
      <x:c r="A169" s="55" t="n">
        <x:v>159</x:v>
      </x:c>
      <x:c r="B169" s="32" t="n">
        <x:v>1</x:v>
      </x:c>
      <x:c r="C169" s="32" t="str">
        <x:v>Brett McKnight</x:v>
      </x:c>
      <x:c r="D169" s="32" t="str">
        <x:v>Limp Brisket</x:v>
      </x:c>
      <x:c r="E169" s="32" t="str">
        <x:v>D'Onta Foreman</x:v>
      </x:c>
      <x:c r="F169" s="32" t="str">
        <x:v>Cle</x:v>
      </x:c>
      <x:c r="G169" s="32" t="str">
        <x:v>RB</x:v>
      </x:c>
      <x:c r="H169" s="34" t="n">
        <x:v>1</x:v>
      </x:c>
    </x:row>
    <x:row r="170">
      <x:c r="A170" s="55" t="n">
        <x:v>160</x:v>
      </x:c>
      <x:c r="B170" s="32" t="n">
        <x:v>16</x:v>
      </x:c>
      <x:c r="C170" s="32" t="str">
        <x:v>Eric Boudreau</x:v>
      </x:c>
      <x:c r="D170" s="32" t="str">
        <x:v>Moody Magic</x:v>
      </x:c>
      <x:c r="E170" s="32" t="str">
        <x:v>Ray Davis</x:v>
      </x:c>
      <x:c r="F170" s="32" t="str">
        <x:v>Buf</x:v>
      </x:c>
      <x:c r="G170" s="32" t="str">
        <x:v>RB</x:v>
      </x:c>
      <x:c r="H170" s="34" t="n">
        <x:v>1</x:v>
      </x:c>
    </x:row>
    <x:row r="171">
      <x:c r="A171" s="55" t="n">
        <x:v>161</x:v>
      </x:c>
      <x:c r="B171" s="32" t="n">
        <x:v>18</x:v>
      </x:c>
      <x:c r="C171" s="32" t="str">
        <x:v>Dan Maland</x:v>
      </x:c>
      <x:c r="D171" s="32" t="str">
        <x:v>The Mile High Club</x:v>
      </x:c>
      <x:c r="E171" s="32" t="str">
        <x:v>Mike Williams</x:v>
      </x:c>
      <x:c r="F171" s="32" t="str">
        <x:v>LAC</x:v>
      </x:c>
      <x:c r="G171" s="32" t="str">
        <x:v>WR</x:v>
      </x:c>
      <x:c r="H171" s="34" t="n">
        <x:v>1</x:v>
      </x:c>
    </x:row>
    <x:row r="172">
      <x:c r="A172" s="55" t="n">
        <x:v>162</x:v>
      </x:c>
      <x:c r="B172" s="32" t="n">
        <x:v>19</x:v>
      </x:c>
      <x:c r="C172" s="32" t="str">
        <x:v>Thomas Atwater</x:v>
      </x:c>
      <x:c r="D172" s="32" t="str">
        <x:v>Garbage Time</x:v>
      </x:c>
      <x:c r="E172" s="32" t="str">
        <x:v>Texans D/ST</x:v>
      </x:c>
      <x:c r="F172" s="32" t="str">
        <x:v>Hou</x:v>
      </x:c>
      <x:c r="G172" s="32" t="str">
        <x:v>D/ST</x:v>
      </x:c>
      <x:c r="H172" s="34" t="n">
        <x:v>1</x:v>
      </x:c>
    </x:row>
    <x:row r="173">
      <x:c r="A173" s="55" t="n">
        <x:v>163</x:v>
      </x:c>
      <x:c r="B173" s="32" t="n">
        <x:v>16</x:v>
      </x:c>
      <x:c r="C173" s="32" t="str">
        <x:v>Eric Boudreau</x:v>
      </x:c>
      <x:c r="D173" s="32" t="str">
        <x:v>Moody Magic</x:v>
      </x:c>
      <x:c r="E173" s="32" t="str">
        <x:v>Dontayvion Wicks</x:v>
      </x:c>
      <x:c r="F173" s="32" t="str">
        <x:v>GB</x:v>
      </x:c>
      <x:c r="G173" s="32" t="str">
        <x:v>WR</x:v>
      </x:c>
      <x:c r="H173" s="34" t="n">
        <x:v>1</x:v>
      </x:c>
    </x:row>
    <x:row r="174">
      <x:c r="A174" s="55" t="n">
        <x:v>164</x:v>
      </x:c>
      <x:c r="B174" s="32" t="n">
        <x:v>18</x:v>
      </x:c>
      <x:c r="C174" s="32" t="str">
        <x:v>Dan Maland</x:v>
      </x:c>
      <x:c r="D174" s="32" t="str">
        <x:v>The Mile High Club</x:v>
      </x:c>
      <x:c r="E174" s="32" t="str">
        <x:v>Bucky Irving</x:v>
      </x:c>
      <x:c r="F174" s="32" t="str">
        <x:v>TB</x:v>
      </x:c>
      <x:c r="G174" s="32" t="str">
        <x:v>RB</x:v>
      </x:c>
      <x:c r="H174" s="34" t="n">
        <x:v>1</x:v>
      </x:c>
    </x:row>
    <x:row r="175">
      <x:c r="A175" s="55" t="n">
        <x:v>165</x:v>
      </x:c>
      <x:c r="B175" s="32" t="n">
        <x:v>19</x:v>
      </x:c>
      <x:c r="C175" s="32" t="str">
        <x:v>Thomas Atwater</x:v>
      </x:c>
      <x:c r="D175" s="32" t="str">
        <x:v>Garbage Time</x:v>
      </x:c>
      <x:c r="E175" s="32" t="str">
        <x:v>Jake Bates</x:v>
      </x:c>
      <x:c r="F175" s="32" t="str">
        <x:v>Det</x:v>
      </x:c>
      <x:c r="G175" s="32" t="str">
        <x:v>K</x:v>
      </x:c>
      <x:c r="H175" s="34" t="n">
        <x:v>1</x:v>
      </x:c>
    </x:row>
    <x:row r="176">
      <x:c r="A176" s="55" t="n">
        <x:v>166</x:v>
      </x:c>
      <x:c r="B176" s="32" t="n">
        <x:v>18</x:v>
      </x:c>
      <x:c r="C176" s="32" t="str">
        <x:v>Dan Maland</x:v>
      </x:c>
      <x:c r="D176" s="32" t="str">
        <x:v>The Mile High Club</x:v>
      </x:c>
      <x:c r="E176" s="32" t="str">
        <x:v>Jaguars D/ST</x:v>
      </x:c>
      <x:c r="F176" s="32" t="str">
        <x:v>Jax</x:v>
      </x:c>
      <x:c r="G176" s="32" t="str">
        <x:v>D/ST</x:v>
      </x:c>
      <x:c r="H176" s="34" t="n">
        <x:v>1</x:v>
      </x:c>
    </x:row>
    <x:row r="177">
      <x:c r="A177" s="55" t="n">
        <x:v>167</x:v>
      </x:c>
      <x:c r="B177" s="32" t="n">
        <x:v>19</x:v>
      </x:c>
      <x:c r="C177" s="32" t="str">
        <x:v>Thomas Atwater</x:v>
      </x:c>
      <x:c r="D177" s="32" t="str">
        <x:v>Garbage Time</x:v>
      </x:c>
      <x:c r="E177" s="32" t="str">
        <x:v>DeMario Douglas</x:v>
      </x:c>
      <x:c r="F177" s="32" t="str">
        <x:v>NE</x:v>
      </x:c>
      <x:c r="G177" s="32" t="str">
        <x:v>WR</x:v>
      </x:c>
      <x:c r="H177" s="34" t="n">
        <x:v>1</x:v>
      </x:c>
    </x:row>
    <x:row r="178">
      <x:c r="A178" s="55" t="n">
        <x:v>168</x:v>
      </x:c>
      <x:c r="B178" s="32" t="n">
        <x:v>18</x:v>
      </x:c>
      <x:c r="C178" s="32" t="str">
        <x:v>Dan Maland</x:v>
      </x:c>
      <x:c r="D178" s="32" t="str">
        <x:v>The Mile High Club</x:v>
      </x:c>
      <x:c r="E178" s="32" t="str">
        <x:v>Cairo Santos</x:v>
      </x:c>
      <x:c r="F178" s="32" t="str">
        <x:v>Chi</x:v>
      </x:c>
      <x:c r="G178" s="32" t="str">
        <x:v>K</x:v>
      </x:c>
      <x:c r="H178" s="34" t="n">
        <x:v>1</x:v>
      </x:c>
    </x:row>
  </x:sheetData>
  <x:mergeCells>
    <x:mergeCell ref="A1:H1"/>
    <x:mergeCell ref="A2:H2"/>
    <x:mergeCell ref="A3:H3"/>
    <x:mergeCell ref="A5:H5"/>
    <x:mergeCell ref="A32:H32"/>
  </x:mergeCells>
  <x:pageMargins left="0.7" right="0.7" top="0.75" bottom="0.75" header="0.3" footer="0.3"/>
  <x:tableParts count="2">
    <x:tablePart xmlns:r="http://schemas.openxmlformats.org/officeDocument/2006/relationships" r:id="R0d92915147bd4390"/>
    <x:tablePart xmlns:r="http://schemas.openxmlformats.org/officeDocument/2006/relationships" r:id="R24723e19be9a44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32" hidden="0" customWidth="1"/>
    <x:col min="5" max="5" width="28" hidden="0" customWidth="1"/>
    <x:col min="6" max="6" width="11" hidden="0" customWidth="1"/>
    <x:col min="7" max="7" width="9" hidden="0" customWidth="1"/>
    <x:col min="8" max="8" width="13" hidden="0" customWidth="1"/>
  </x:cols>
  <x:sheetData>
    <x:row r="1" ht="32" customHeight="1">
      <x:c r="A1" s="59" t="str">
        <x:v>2023 Auction Draft Recap</x:v>
      </x:c>
      <x:c r="B1" s="59" t="str">
        <x:v>2023 Auction Draft Recap</x:v>
      </x:c>
      <x:c r="C1" s="58" t="str">
        <x:v>2023 Auction Draft Recap</x:v>
      </x:c>
      <x:c r="D1" s="58" t="str">
        <x:v>2023 Auction Draft Recap</x:v>
      </x:c>
      <x:c r="E1" s="58" t="str">
        <x:v>2023 Auction Draft Recap</x:v>
      </x:c>
      <x:c r="F1" s="59" t="str">
        <x:v>2023 Auction Draft Recap</x:v>
      </x:c>
      <x:c r="G1" s="59" t="str">
        <x:v>2023 Auction Draft Recap</x:v>
      </x:c>
      <x:c r="H1" s="60" t="str">
        <x:v>2023 Auction Draft Recap</x:v>
      </x:c>
    </x:row>
    <x:row r="2">
      <x:c r="A2" s="57" t="str">
        <x:v>Source: https://fantasy.espn.com/football/league/draftrecap?seasonId=2023&amp;leagueId=555583</x:v>
      </x:c>
      <x:c r="B2" s="57"/>
      <x:c r="C2" s="57"/>
      <x:c r="D2" s="57"/>
      <x:c r="E2" s="57"/>
      <x:c r="F2" s="57"/>
      <x:c r="G2" s="57"/>
      <x:c r="H2" s="57"/>
    </x:row>
    <x:row r="3" ht="28" customHeight="1">
      <x:c r="A3" s="8" t="str">
        <x:v>Keepers are identified only by ESPN's Keeper marker and are excluded from the auction table below. NFL team abbreviations are displayed as ESPN showed them when collected.</x:v>
      </x:c>
      <x:c r="B3" s="8"/>
      <x:c r="C3" s="8"/>
      <x:c r="D3" s="8"/>
      <x:c r="E3" s="8"/>
      <x:c r="F3" s="8"/>
      <x:c r="G3" s="8"/>
      <x:c r="H3" s="8"/>
    </x:row>
    <x:row r="5" ht="23" customHeight="1">
      <x:c r="A5" s="11" t="str">
        <x:v>Keepers (24)</x:v>
      </x:c>
      <x:c r="B5" s="11"/>
      <x:c r="C5" s="11"/>
      <x:c r="D5" s="11"/>
      <x:c r="E5" s="11"/>
      <x:c r="F5" s="11"/>
      <x:c r="G5" s="11"/>
      <x:c r="H5" s="11"/>
    </x:row>
    <x:row r="6" ht="28" customHeight="1">
      <x:c r="A6" s="25" t="str">
        <x:v>No.</x:v>
      </x:c>
      <x:c r="B6" s="26" t="str">
        <x:v>Team ID</x:v>
      </x:c>
      <x:c r="C6" s="26" t="str">
        <x:v>Manager</x:v>
      </x:c>
      <x:c r="D6" s="26" t="str">
        <x:v>Team Name</x:v>
      </x:c>
      <x:c r="E6" s="26" t="str">
        <x:v>Player</x:v>
      </x:c>
      <x:c r="F6" s="26" t="str">
        <x:v>NFL Team</x:v>
      </x:c>
      <x:c r="G6" s="26" t="str">
        <x:v>Pos</x:v>
      </x:c>
      <x:c r="H6" s="27" t="str">
        <x:v>Keeper Cost</x:v>
      </x:c>
    </x:row>
    <x:row r="7">
      <x:c r="A7" s="35" t="n">
        <x:v>1</x:v>
      </x:c>
      <x:c r="B7" s="31" t="n">
        <x:v>1</x:v>
      </x:c>
      <x:c r="C7" s="31" t="str">
        <x:v>Brett McKnight</x:v>
      </x:c>
      <x:c r="D7" s="31" t="str">
        <x:v>Ravenclaw Shirt Sunday</x:v>
      </x:c>
      <x:c r="E7" s="31" t="str">
        <x:v>Tyreek Hill</x:v>
      </x:c>
      <x:c r="F7" s="31" t="str">
        <x:v>Mia</x:v>
      </x:c>
      <x:c r="G7" s="31" t="str">
        <x:v>WR</x:v>
      </x:c>
      <x:c r="H7" s="33" t="n">
        <x:v>31</x:v>
      </x:c>
    </x:row>
    <x:row r="8">
      <x:c r="A8" s="36" t="n">
        <x:v>2</x:v>
      </x:c>
      <x:c r="B8" s="32" t="n">
        <x:v>1</x:v>
      </x:c>
      <x:c r="C8" s="32" t="str">
        <x:v>Brett McKnight</x:v>
      </x:c>
      <x:c r="D8" s="32" t="str">
        <x:v>Ravenclaw Shirt Sunday</x:v>
      </x:c>
      <x:c r="E8" s="32" t="str">
        <x:v>CeeDee Lamb</x:v>
      </x:c>
      <x:c r="F8" s="32" t="str">
        <x:v>Dal</x:v>
      </x:c>
      <x:c r="G8" s="32" t="str">
        <x:v>WR</x:v>
      </x:c>
      <x:c r="H8" s="34" t="n">
        <x:v>22</x:v>
      </x:c>
    </x:row>
    <x:row r="9">
      <x:c r="A9" s="36" t="n">
        <x:v>3</x:v>
      </x:c>
      <x:c r="B9" s="32" t="n">
        <x:v>4</x:v>
      </x:c>
      <x:c r="C9" s="32" t="str">
        <x:v>Kendall Bicknell</x:v>
      </x:c>
      <x:c r="D9" s="32" t="str">
        <x:v>The Toothbrush Violater</x:v>
      </x:c>
      <x:c r="E9" s="32" t="str">
        <x:v>Rhamondre Stevenson</x:v>
      </x:c>
      <x:c r="F9" s="32" t="str">
        <x:v>NE</x:v>
      </x:c>
      <x:c r="G9" s="32" t="str">
        <x:v>RB</x:v>
      </x:c>
      <x:c r="H9" s="34" t="n">
        <x:v>23</x:v>
      </x:c>
    </x:row>
    <x:row r="10">
      <x:c r="A10" s="36" t="n">
        <x:v>4</x:v>
      </x:c>
      <x:c r="B10" s="32" t="n">
        <x:v>4</x:v>
      </x:c>
      <x:c r="C10" s="32" t="str">
        <x:v>Kendall Bicknell</x:v>
      </x:c>
      <x:c r="D10" s="32" t="str">
        <x:v>The Toothbrush Violater</x:v>
      </x:c>
      <x:c r="E10" s="32" t="str">
        <x:v>Austin Ekeler</x:v>
      </x:c>
      <x:c r="F10" s="32" t="str">
        <x:v>Wsh</x:v>
      </x:c>
      <x:c r="G10" s="32" t="str">
        <x:v>RB</x:v>
      </x:c>
      <x:c r="H10" s="34" t="n">
        <x:v>41</x:v>
      </x:c>
    </x:row>
    <x:row r="11">
      <x:c r="A11" s="36" t="n">
        <x:v>5</x:v>
      </x:c>
      <x:c r="B11" s="32" t="n">
        <x:v>5</x:v>
      </x:c>
      <x:c r="C11" s="32" t="str">
        <x:v>George Rakkar</x:v>
      </x:c>
      <x:c r="D11" s="32" t="str">
        <x:v>8================ D</x:v>
      </x:c>
      <x:c r="E11" s="32" t="str">
        <x:v>DeVonta Smith</x:v>
      </x:c>
      <x:c r="F11" s="32" t="str">
        <x:v>Phi</x:v>
      </x:c>
      <x:c r="G11" s="32" t="str">
        <x:v>WR</x:v>
      </x:c>
      <x:c r="H11" s="34" t="n">
        <x:v>11</x:v>
      </x:c>
    </x:row>
    <x:row r="12">
      <x:c r="A12" s="36" t="n">
        <x:v>6</x:v>
      </x:c>
      <x:c r="B12" s="32" t="n">
        <x:v>5</x:v>
      </x:c>
      <x:c r="C12" s="32" t="str">
        <x:v>George Rakkar</x:v>
      </x:c>
      <x:c r="D12" s="32" t="str">
        <x:v>8================ D</x:v>
      </x:c>
      <x:c r="E12" s="32" t="str">
        <x:v>Christian McCaffrey</x:v>
      </x:c>
      <x:c r="F12" s="32" t="str">
        <x:v>SF</x:v>
      </x:c>
      <x:c r="G12" s="32" t="str">
        <x:v>RB</x:v>
      </x:c>
      <x:c r="H12" s="34" t="n">
        <x:v>55</x:v>
      </x:c>
    </x:row>
    <x:row r="13">
      <x:c r="A13" s="36" t="n">
        <x:v>7</x:v>
      </x:c>
      <x:c r="B13" s="32" t="n">
        <x:v>6</x:v>
      </x:c>
      <x:c r="C13" s="32" t="str">
        <x:v>sangfroid bang</x:v>
      </x:c>
      <x:c r="D13" s="32" t="str">
        <x:v>Uncle C-ass</x:v>
      </x:c>
      <x:c r="E13" s="32" t="str">
        <x:v>James Cook</x:v>
      </x:c>
      <x:c r="F13" s="32" t="str">
        <x:v>Buf</x:v>
      </x:c>
      <x:c r="G13" s="32" t="str">
        <x:v>RB</x:v>
      </x:c>
      <x:c r="H13" s="34" t="n">
        <x:v>10</x:v>
      </x:c>
    </x:row>
    <x:row r="14">
      <x:c r="A14" s="36" t="n">
        <x:v>8</x:v>
      </x:c>
      <x:c r="B14" s="32" t="n">
        <x:v>6</x:v>
      </x:c>
      <x:c r="C14" s="32" t="str">
        <x:v>sangfroid bang</x:v>
      </x:c>
      <x:c r="D14" s="32" t="str">
        <x:v>Uncle C-ass</x:v>
      </x:c>
      <x:c r="E14" s="32" t="str">
        <x:v>Darren Waller</x:v>
      </x:c>
      <x:c r="F14" s="32" t="str">
        <x:v>NYG</x:v>
      </x:c>
      <x:c r="G14" s="32" t="str">
        <x:v>TE</x:v>
      </x:c>
      <x:c r="H14" s="34" t="n">
        <x:v>24</x:v>
      </x:c>
    </x:row>
    <x:row r="15">
      <x:c r="A15" s="36" t="n">
        <x:v>9</x:v>
      </x:c>
      <x:c r="B15" s="32" t="n">
        <x:v>7</x:v>
      </x:c>
      <x:c r="C15" s="32" t="str">
        <x:v>Ebby Kurian</x:v>
      </x:c>
      <x:c r="D15" s="32" t="str">
        <x:v>The Splenic Flexture</x:v>
      </x:c>
      <x:c r="E15" s="32" t="str">
        <x:v>Joe Burrow</x:v>
      </x:c>
      <x:c r="F15" s="32" t="str">
        <x:v>Cin</x:v>
      </x:c>
      <x:c r="G15" s="32" t="str">
        <x:v>QB</x:v>
      </x:c>
      <x:c r="H15" s="34" t="n">
        <x:v>19</x:v>
      </x:c>
    </x:row>
    <x:row r="16">
      <x:c r="A16" s="36" t="n">
        <x:v>10</x:v>
      </x:c>
      <x:c r="B16" s="32" t="n">
        <x:v>7</x:v>
      </x:c>
      <x:c r="C16" s="32" t="str">
        <x:v>Ebby Kurian</x:v>
      </x:c>
      <x:c r="D16" s="32" t="str">
        <x:v>The Splenic Flexture</x:v>
      </x:c>
      <x:c r="E16" s="32" t="str">
        <x:v>DK Metcalf</x:v>
      </x:c>
      <x:c r="F16" s="32" t="str">
        <x:v>Sea</x:v>
      </x:c>
      <x:c r="G16" s="32" t="str">
        <x:v>WR</x:v>
      </x:c>
      <x:c r="H16" s="34" t="n">
        <x:v>18</x:v>
      </x:c>
    </x:row>
    <x:row r="17">
      <x:c r="A17" s="36" t="n">
        <x:v>11</x:v>
      </x:c>
      <x:c r="B17" s="32" t="n">
        <x:v>9</x:v>
      </x:c>
      <x:c r="C17" s="32" t="str">
        <x:v>samir gandhi</x:v>
      </x:c>
      <x:c r="D17" s="32" t="str">
        <x:v>Old Money</x:v>
      </x:c>
      <x:c r="E17" s="32" t="str">
        <x:v>Rachaad White</x:v>
      </x:c>
      <x:c r="F17" s="32" t="str">
        <x:v>TB</x:v>
      </x:c>
      <x:c r="G17" s="32" t="str">
        <x:v>RB</x:v>
      </x:c>
      <x:c r="H17" s="34" t="n">
        <x:v>10</x:v>
      </x:c>
    </x:row>
    <x:row r="18">
      <x:c r="A18" s="36" t="n">
        <x:v>12</x:v>
      </x:c>
      <x:c r="B18" s="32" t="n">
        <x:v>9</x:v>
      </x:c>
      <x:c r="C18" s="32" t="str">
        <x:v>samir gandhi</x:v>
      </x:c>
      <x:c r="D18" s="32" t="str">
        <x:v>Old Money</x:v>
      </x:c>
      <x:c r="E18" s="32" t="str">
        <x:v>Tony Pollard</x:v>
      </x:c>
      <x:c r="F18" s="32" t="str">
        <x:v>Ten</x:v>
      </x:c>
      <x:c r="G18" s="32" t="str">
        <x:v>RB</x:v>
      </x:c>
      <x:c r="H18" s="34" t="n">
        <x:v>14</x:v>
      </x:c>
    </x:row>
    <x:row r="19">
      <x:c r="A19" s="36" t="n">
        <x:v>13</x:v>
      </x:c>
      <x:c r="B19" s="32" t="n">
        <x:v>14</x:v>
      </x:c>
      <x:c r="C19" s="32" t="str">
        <x:v>David Richards</x:v>
      </x:c>
      <x:c r="D19" s="32" t="str">
        <x:v>Rode and Dode</x:v>
      </x:c>
      <x:c r="E19" s="32" t="str">
        <x:v>Josh Allen</x:v>
      </x:c>
      <x:c r="F19" s="32" t="str">
        <x:v>Buf</x:v>
      </x:c>
      <x:c r="G19" s="32" t="str">
        <x:v>QB</x:v>
      </x:c>
      <x:c r="H19" s="34" t="n">
        <x:v>38</x:v>
      </x:c>
    </x:row>
    <x:row r="20">
      <x:c r="A20" s="36" t="n">
        <x:v>14</x:v>
      </x:c>
      <x:c r="B20" s="32" t="n">
        <x:v>14</x:v>
      </x:c>
      <x:c r="C20" s="32" t="str">
        <x:v>David Richards</x:v>
      </x:c>
      <x:c r="D20" s="32" t="str">
        <x:v>Rode and Dode</x:v>
      </x:c>
      <x:c r="E20" s="32" t="str">
        <x:v>Stefon Diggs</x:v>
      </x:c>
      <x:c r="F20" s="32" t="str">
        <x:v>Buf</x:v>
      </x:c>
      <x:c r="G20" s="32" t="str">
        <x:v>WR</x:v>
      </x:c>
      <x:c r="H20" s="34" t="n">
        <x:v>25</x:v>
      </x:c>
    </x:row>
    <x:row r="21">
      <x:c r="A21" s="36" t="n">
        <x:v>15</x:v>
      </x:c>
      <x:c r="B21" s="32" t="n">
        <x:v>15</x:v>
      </x:c>
      <x:c r="C21" s="32" t="str">
        <x:v>Ian Bates</x:v>
      </x:c>
      <x:c r="D21" s="32" t="str">
        <x:v>Ai Mike 🤖 From Orlando 🍺🤣</x:v>
      </x:c>
      <x:c r="E21" s="32" t="str">
        <x:v>Derrick Henry</x:v>
      </x:c>
      <x:c r="F21" s="32" t="str">
        <x:v>Bal</x:v>
      </x:c>
      <x:c r="G21" s="32" t="str">
        <x:v>RB</x:v>
      </x:c>
      <x:c r="H21" s="34" t="n">
        <x:v>44</x:v>
      </x:c>
    </x:row>
    <x:row r="22">
      <x:c r="A22" s="36" t="n">
        <x:v>16</x:v>
      </x:c>
      <x:c r="B22" s="32" t="n">
        <x:v>15</x:v>
      </x:c>
      <x:c r="C22" s="32" t="str">
        <x:v>Ian Bates</x:v>
      </x:c>
      <x:c r="D22" s="32" t="str">
        <x:v>Ai Mike 🤖 From Orlando 🍺🤣</x:v>
      </x:c>
      <x:c r="E22" s="32" t="str">
        <x:v>Josh Jacobs</x:v>
      </x:c>
      <x:c r="F22" s="32" t="str">
        <x:v>GB</x:v>
      </x:c>
      <x:c r="G22" s="32" t="str">
        <x:v>RB</x:v>
      </x:c>
      <x:c r="H22" s="34" t="n">
        <x:v>28</x:v>
      </x:c>
    </x:row>
    <x:row r="23">
      <x:c r="A23" s="36" t="n">
        <x:v>17</x:v>
      </x:c>
      <x:c r="B23" s="32" t="n">
        <x:v>16</x:v>
      </x:c>
      <x:c r="C23" s="32" t="str">
        <x:v>Eric Boudreau</x:v>
      </x:c>
      <x:c r="D23" s="32" t="str">
        <x:v>Corn-fed Masseuses</x:v>
      </x:c>
      <x:c r="E23" s="32" t="str">
        <x:v>Garrett Wilson</x:v>
      </x:c>
      <x:c r="F23" s="32" t="str">
        <x:v>NYJ</x:v>
      </x:c>
      <x:c r="G23" s="32" t="str">
        <x:v>WR</x:v>
      </x:c>
      <x:c r="H23" s="34" t="n">
        <x:v>0</x:v>
      </x:c>
    </x:row>
    <x:row r="24">
      <x:c r="A24" s="36" t="n">
        <x:v>18</x:v>
      </x:c>
      <x:c r="B24" s="32" t="n">
        <x:v>16</x:v>
      </x:c>
      <x:c r="C24" s="32" t="str">
        <x:v>Eric Boudreau</x:v>
      </x:c>
      <x:c r="D24" s="32" t="str">
        <x:v>Corn-fed Masseuses</x:v>
      </x:c>
      <x:c r="E24" s="32" t="str">
        <x:v>Nick Chubb</x:v>
      </x:c>
      <x:c r="F24" s="32" t="str">
        <x:v>Cle</x:v>
      </x:c>
      <x:c r="G24" s="32" t="str">
        <x:v>RB</x:v>
      </x:c>
      <x:c r="H24" s="34" t="n">
        <x:v>30</x:v>
      </x:c>
    </x:row>
    <x:row r="25">
      <x:c r="A25" s="36" t="n">
        <x:v>19</x:v>
      </x:c>
      <x:c r="B25" s="32" t="n">
        <x:v>17</x:v>
      </x:c>
      <x:c r="C25" s="32" t="str">
        <x:v>Scott McKnight</x:v>
      </x:c>
      <x:c r="D25" s="32" t="str">
        <x:v>Trophy Mahome Save me</x:v>
      </x:c>
      <x:c r="E25" s="32" t="str">
        <x:v>A.J. Brown</x:v>
      </x:c>
      <x:c r="F25" s="32" t="str">
        <x:v>Phi</x:v>
      </x:c>
      <x:c r="G25" s="32" t="str">
        <x:v>WR</x:v>
      </x:c>
      <x:c r="H25" s="34" t="n">
        <x:v>43</x:v>
      </x:c>
    </x:row>
    <x:row r="26">
      <x:c r="A26" s="36" t="n">
        <x:v>20</x:v>
      </x:c>
      <x:c r="B26" s="32" t="n">
        <x:v>17</x:v>
      </x:c>
      <x:c r="C26" s="32" t="str">
        <x:v>Scott McKnight</x:v>
      </x:c>
      <x:c r="D26" s="32" t="str">
        <x:v>Trophy Mahome Save me</x:v>
      </x:c>
      <x:c r="E26" s="32" t="str">
        <x:v>Travis Kelce</x:v>
      </x:c>
      <x:c r="F26" s="32" t="str">
        <x:v>KC</x:v>
      </x:c>
      <x:c r="G26" s="32" t="str">
        <x:v>TE</x:v>
      </x:c>
      <x:c r="H26" s="34" t="n">
        <x:v>53</x:v>
      </x:c>
    </x:row>
    <x:row r="27">
      <x:c r="A27" s="36" t="n">
        <x:v>21</x:v>
      </x:c>
      <x:c r="B27" s="32" t="n">
        <x:v>18</x:v>
      </x:c>
      <x:c r="C27" s="32" t="str">
        <x:v>Dan Maland</x:v>
      </x:c>
      <x:c r="D27" s="32" t="str">
        <x:v>Fecal Fiasco</x:v>
      </x:c>
      <x:c r="E27" s="32" t="str">
        <x:v>Justin Jefferson</x:v>
      </x:c>
      <x:c r="F27" s="32" t="str">
        <x:v>Min</x:v>
      </x:c>
      <x:c r="G27" s="32" t="str">
        <x:v>WR</x:v>
      </x:c>
      <x:c r="H27" s="34" t="n">
        <x:v>44</x:v>
      </x:c>
    </x:row>
    <x:row r="28">
      <x:c r="A28" s="36" t="n">
        <x:v>22</x:v>
      </x:c>
      <x:c r="B28" s="32" t="n">
        <x:v>18</x:v>
      </x:c>
      <x:c r="C28" s="32" t="str">
        <x:v>Dan Maland</x:v>
      </x:c>
      <x:c r="D28" s="32" t="str">
        <x:v>Fecal Fiasco</x:v>
      </x:c>
      <x:c r="E28" s="32" t="str">
        <x:v>Chris Olave</x:v>
      </x:c>
      <x:c r="F28" s="32" t="str">
        <x:v>NO</x:v>
      </x:c>
      <x:c r="G28" s="32" t="str">
        <x:v>WR</x:v>
      </x:c>
      <x:c r="H28" s="34" t="n">
        <x:v>14</x:v>
      </x:c>
    </x:row>
    <x:row r="29">
      <x:c r="A29" s="36" t="n">
        <x:v>23</x:v>
      </x:c>
      <x:c r="B29" s="32" t="n">
        <x:v>19</x:v>
      </x:c>
      <x:c r="C29" s="32" t="str">
        <x:v>Thomas Atwater</x:v>
      </x:c>
      <x:c r="D29" s="32" t="str">
        <x:v>Garbage Time</x:v>
      </x:c>
      <x:c r="E29" s="32" t="str">
        <x:v>Ja'Marr Chase</x:v>
      </x:c>
      <x:c r="F29" s="32" t="str">
        <x:v>Cin</x:v>
      </x:c>
      <x:c r="G29" s="32" t="str">
        <x:v>WR</x:v>
      </x:c>
      <x:c r="H29" s="34" t="n">
        <x:v>19</x:v>
      </x:c>
    </x:row>
    <x:row r="30">
      <x:c r="A30" s="36" t="n">
        <x:v>24</x:v>
      </x:c>
      <x:c r="B30" s="32" t="n">
        <x:v>19</x:v>
      </x:c>
      <x:c r="C30" s="32" t="str">
        <x:v>Thomas Atwater</x:v>
      </x:c>
      <x:c r="D30" s="32" t="str">
        <x:v>Garbage Time</x:v>
      </x:c>
      <x:c r="E30" s="32" t="str">
        <x:v>T.J. Hockenson</x:v>
      </x:c>
      <x:c r="F30" s="32" t="str">
        <x:v>Min</x:v>
      </x:c>
      <x:c r="G30" s="32" t="str">
        <x:v>TE</x:v>
      </x:c>
      <x:c r="H30" s="34" t="n">
        <x:v>13</x:v>
      </x:c>
    </x:row>
    <x:row r="32" ht="23" customHeight="1">
      <x:c r="A32" s="39" t="str">
        <x:v>Auction Results — Keepers Excluded (144 purchases, ordered by No.)</x:v>
      </x:c>
      <x:c r="B32" s="39"/>
      <x:c r="C32" s="39"/>
      <x:c r="D32" s="39"/>
      <x:c r="E32" s="39"/>
      <x:c r="F32" s="39"/>
      <x:c r="G32" s="39"/>
      <x:c r="H32" s="39"/>
    </x:row>
    <x:row r="33" ht="28" customHeight="1">
      <x:c r="A33" s="51" t="str">
        <x:v>Auction No.</x:v>
      </x:c>
      <x:c r="B33" s="52" t="str">
        <x:v>Team ID</x:v>
      </x:c>
      <x:c r="C33" s="52" t="str">
        <x:v>Manager</x:v>
      </x:c>
      <x:c r="D33" s="52" t="str">
        <x:v>Team Name</x:v>
      </x:c>
      <x:c r="E33" s="52" t="str">
        <x:v>Player</x:v>
      </x:c>
      <x:c r="F33" s="52" t="str">
        <x:v>NFL Team</x:v>
      </x:c>
      <x:c r="G33" s="52" t="str">
        <x:v>Pos</x:v>
      </x:c>
      <x:c r="H33" s="53" t="str">
        <x:v>Amount</x:v>
      </x:c>
    </x:row>
    <x:row r="34">
      <x:c r="A34" s="54" t="n">
        <x:v>25</x:v>
      </x:c>
      <x:c r="B34" s="31" t="n">
        <x:v>6</x:v>
      </x:c>
      <x:c r="C34" s="31" t="str">
        <x:v>sangfroid bang</x:v>
      </x:c>
      <x:c r="D34" s="31" t="str">
        <x:v>Uncle C-ass</x:v>
      </x:c>
      <x:c r="E34" s="31" t="str">
        <x:v>Bijan Robinson</x:v>
      </x:c>
      <x:c r="F34" s="31" t="str">
        <x:v>Atl</x:v>
      </x:c>
      <x:c r="G34" s="31" t="str">
        <x:v>RB</x:v>
      </x:c>
      <x:c r="H34" s="33" t="n">
        <x:v>61</x:v>
      </x:c>
    </x:row>
    <x:row r="35">
      <x:c r="A35" s="55" t="n">
        <x:v>26</x:v>
      </x:c>
      <x:c r="B35" s="32" t="n">
        <x:v>18</x:v>
      </x:c>
      <x:c r="C35" s="32" t="str">
        <x:v>Dan Maland</x:v>
      </x:c>
      <x:c r="D35" s="32" t="str">
        <x:v>Fecal Fiasco</x:v>
      </x:c>
      <x:c r="E35" s="32" t="str">
        <x:v>Mark Andrews</x:v>
      </x:c>
      <x:c r="F35" s="32" t="str">
        <x:v>Bal</x:v>
      </x:c>
      <x:c r="G35" s="32" t="str">
        <x:v>TE</x:v>
      </x:c>
      <x:c r="H35" s="34" t="n">
        <x:v>34</x:v>
      </x:c>
    </x:row>
    <x:row r="36">
      <x:c r="A36" s="55" t="n">
        <x:v>27</x:v>
      </x:c>
      <x:c r="B36" s="32" t="n">
        <x:v>14</x:v>
      </x:c>
      <x:c r="C36" s="32" t="str">
        <x:v>David Richards</x:v>
      </x:c>
      <x:c r="D36" s="32" t="str">
        <x:v>Rode and Dode</x:v>
      </x:c>
      <x:c r="E36" s="32" t="str">
        <x:v>Travis Etienne Jr.</x:v>
      </x:c>
      <x:c r="F36" s="32" t="str">
        <x:v>Jax</x:v>
      </x:c>
      <x:c r="G36" s="32" t="str">
        <x:v>RB</x:v>
      </x:c>
      <x:c r="H36" s="34" t="n">
        <x:v>33</x:v>
      </x:c>
    </x:row>
    <x:row r="37">
      <x:c r="A37" s="55" t="n">
        <x:v>28</x:v>
      </x:c>
      <x:c r="B37" s="32" t="n">
        <x:v>14</x:v>
      </x:c>
      <x:c r="C37" s="32" t="str">
        <x:v>David Richards</x:v>
      </x:c>
      <x:c r="D37" s="32" t="str">
        <x:v>Rode and Dode</x:v>
      </x:c>
      <x:c r="E37" s="32" t="str">
        <x:v>Saquon Barkley</x:v>
      </x:c>
      <x:c r="F37" s="32" t="str">
        <x:v>Phi</x:v>
      </x:c>
      <x:c r="G37" s="32" t="str">
        <x:v>RB</x:v>
      </x:c>
      <x:c r="H37" s="34" t="n">
        <x:v>60</x:v>
      </x:c>
    </x:row>
    <x:row r="38">
      <x:c r="A38" s="55" t="n">
        <x:v>29</x:v>
      </x:c>
      <x:c r="B38" s="32" t="n">
        <x:v>7</x:v>
      </x:c>
      <x:c r="C38" s="32" t="str">
        <x:v>Ebby Kurian</x:v>
      </x:c>
      <x:c r="D38" s="32" t="str">
        <x:v>The Splenic Flexture</x:v>
      </x:c>
      <x:c r="E38" s="32" t="str">
        <x:v>Davante Adams</x:v>
      </x:c>
      <x:c r="F38" s="32" t="str">
        <x:v>LV</x:v>
      </x:c>
      <x:c r="G38" s="32" t="str">
        <x:v>WR</x:v>
      </x:c>
      <x:c r="H38" s="34" t="n">
        <x:v>46</x:v>
      </x:c>
    </x:row>
    <x:row r="39">
      <x:c r="A39" s="55" t="n">
        <x:v>30</x:v>
      </x:c>
      <x:c r="B39" s="32" t="n">
        <x:v>5</x:v>
      </x:c>
      <x:c r="C39" s="32" t="str">
        <x:v>George Rakkar</x:v>
      </x:c>
      <x:c r="D39" s="32" t="str">
        <x:v>8================ D</x:v>
      </x:c>
      <x:c r="E39" s="32" t="str">
        <x:v>Amon-Ra St. Brown</x:v>
      </x:c>
      <x:c r="F39" s="32" t="str">
        <x:v>Det</x:v>
      </x:c>
      <x:c r="G39" s="32" t="str">
        <x:v>WR</x:v>
      </x:c>
      <x:c r="H39" s="34" t="n">
        <x:v>48</x:v>
      </x:c>
    </x:row>
    <x:row r="40">
      <x:c r="A40" s="55" t="n">
        <x:v>31</x:v>
      </x:c>
      <x:c r="B40" s="32" t="n">
        <x:v>4</x:v>
      </x:c>
      <x:c r="C40" s="32" t="str">
        <x:v>Kendall Bicknell</x:v>
      </x:c>
      <x:c r="D40" s="32" t="str">
        <x:v>The Toothbrush Violater</x:v>
      </x:c>
      <x:c r="E40" s="32" t="str">
        <x:v>Keenan Allen</x:v>
      </x:c>
      <x:c r="F40" s="32" t="str">
        <x:v>Chi</x:v>
      </x:c>
      <x:c r="G40" s="32" t="str">
        <x:v>WR</x:v>
      </x:c>
      <x:c r="H40" s="34" t="n">
        <x:v>22</x:v>
      </x:c>
    </x:row>
    <x:row r="41">
      <x:c r="A41" s="55" t="n">
        <x:v>32</x:v>
      </x:c>
      <x:c r="B41" s="32" t="n">
        <x:v>7</x:v>
      </x:c>
      <x:c r="C41" s="32" t="str">
        <x:v>Ebby Kurian</x:v>
      </x:c>
      <x:c r="D41" s="32" t="str">
        <x:v>The Splenic Flexture</x:v>
      </x:c>
      <x:c r="E41" s="32" t="str">
        <x:v>Cooper Kupp</x:v>
      </x:c>
      <x:c r="F41" s="32" t="str">
        <x:v>LAR</x:v>
      </x:c>
      <x:c r="G41" s="32" t="str">
        <x:v>WR</x:v>
      </x:c>
      <x:c r="H41" s="34" t="n">
        <x:v>29</x:v>
      </x:c>
    </x:row>
    <x:row r="42">
      <x:c r="A42" s="55" t="n">
        <x:v>33</x:v>
      </x:c>
      <x:c r="B42" s="32" t="n">
        <x:v>16</x:v>
      </x:c>
      <x:c r="C42" s="32" t="str">
        <x:v>Eric Boudreau</x:v>
      </x:c>
      <x:c r="D42" s="32" t="str">
        <x:v>Corn-fed Masseuses</x:v>
      </x:c>
      <x:c r="E42" s="32" t="str">
        <x:v>Joe Mixon</x:v>
      </x:c>
      <x:c r="F42" s="32" t="str">
        <x:v>Hou</x:v>
      </x:c>
      <x:c r="G42" s="32" t="str">
        <x:v>RB</x:v>
      </x:c>
      <x:c r="H42" s="34" t="n">
        <x:v>55</x:v>
      </x:c>
    </x:row>
    <x:row r="43">
      <x:c r="A43" s="55" t="n">
        <x:v>34</x:v>
      </x:c>
      <x:c r="B43" s="32" t="n">
        <x:v>9</x:v>
      </x:c>
      <x:c r="C43" s="32" t="str">
        <x:v>samir gandhi</x:v>
      </x:c>
      <x:c r="D43" s="32" t="str">
        <x:v>Old Money</x:v>
      </x:c>
      <x:c r="E43" s="32" t="str">
        <x:v>Jalen Hurts</x:v>
      </x:c>
      <x:c r="F43" s="32" t="str">
        <x:v>Phi</x:v>
      </x:c>
      <x:c r="G43" s="32" t="str">
        <x:v>QB</x:v>
      </x:c>
      <x:c r="H43" s="34" t="n">
        <x:v>31</x:v>
      </x:c>
    </x:row>
    <x:row r="44">
      <x:c r="A44" s="55" t="n">
        <x:v>35</x:v>
      </x:c>
      <x:c r="B44" s="32" t="n">
        <x:v>4</x:v>
      </x:c>
      <x:c r="C44" s="32" t="str">
        <x:v>Kendall Bicknell</x:v>
      </x:c>
      <x:c r="D44" s="32" t="str">
        <x:v>The Toothbrush Violater</x:v>
      </x:c>
      <x:c r="E44" s="32" t="str">
        <x:v>Jaylen Waddle</x:v>
      </x:c>
      <x:c r="F44" s="32" t="str">
        <x:v>Mia</x:v>
      </x:c>
      <x:c r="G44" s="32" t="str">
        <x:v>WR</x:v>
      </x:c>
      <x:c r="H44" s="34" t="n">
        <x:v>36</x:v>
      </x:c>
    </x:row>
    <x:row r="45">
      <x:c r="A45" s="55" t="n">
        <x:v>36</x:v>
      </x:c>
      <x:c r="B45" s="32" t="n">
        <x:v>17</x:v>
      </x:c>
      <x:c r="C45" s="32" t="str">
        <x:v>Scott McKnight</x:v>
      </x:c>
      <x:c r="D45" s="32" t="str">
        <x:v>Trophy Mahome Save me</x:v>
      </x:c>
      <x:c r="E45" s="32" t="str">
        <x:v>Tyler Lockett</x:v>
      </x:c>
      <x:c r="F45" s="32" t="str">
        <x:v>Sea</x:v>
      </x:c>
      <x:c r="G45" s="32" t="str">
        <x:v>WR</x:v>
      </x:c>
      <x:c r="H45" s="34" t="n">
        <x:v>14</x:v>
      </x:c>
    </x:row>
    <x:row r="46">
      <x:c r="A46" s="55" t="n">
        <x:v>37</x:v>
      </x:c>
      <x:c r="B46" s="32" t="n">
        <x:v>1</x:v>
      </x:c>
      <x:c r="C46" s="32" t="str">
        <x:v>Brett McKnight</x:v>
      </x:c>
      <x:c r="D46" s="32" t="str">
        <x:v>Ravenclaw Shirt Sunday</x:v>
      </x:c>
      <x:c r="E46" s="32" t="str">
        <x:v>Quentin Johnston</x:v>
      </x:c>
      <x:c r="F46" s="32" t="str">
        <x:v>LAC</x:v>
      </x:c>
      <x:c r="G46" s="32" t="str">
        <x:v>WR</x:v>
      </x:c>
      <x:c r="H46" s="34" t="n">
        <x:v>8</x:v>
      </x:c>
    </x:row>
    <x:row r="47">
      <x:c r="A47" s="55" t="n">
        <x:v>38</x:v>
      </x:c>
      <x:c r="B47" s="32" t="n">
        <x:v>4</x:v>
      </x:c>
      <x:c r="C47" s="32" t="str">
        <x:v>Kendall Bicknell</x:v>
      </x:c>
      <x:c r="D47" s="32" t="str">
        <x:v>The Toothbrush Violater</x:v>
      </x:c>
      <x:c r="E47" s="32" t="str">
        <x:v>Justin Fields</x:v>
      </x:c>
      <x:c r="F47" s="32" t="str">
        <x:v>Pit</x:v>
      </x:c>
      <x:c r="G47" s="32" t="str">
        <x:v>QB</x:v>
      </x:c>
      <x:c r="H47" s="34" t="n">
        <x:v>24</x:v>
      </x:c>
    </x:row>
    <x:row r="48">
      <x:c r="A48" s="55" t="n">
        <x:v>39</x:v>
      </x:c>
      <x:c r="B48" s="32" t="n">
        <x:v>17</x:v>
      </x:c>
      <x:c r="C48" s="32" t="str">
        <x:v>Scott McKnight</x:v>
      </x:c>
      <x:c r="D48" s="32" t="str">
        <x:v>Trophy Mahome Save me</x:v>
      </x:c>
      <x:c r="E48" s="32" t="str">
        <x:v>Aaron Jones</x:v>
      </x:c>
      <x:c r="F48" s="32" t="str">
        <x:v>Min</x:v>
      </x:c>
      <x:c r="G48" s="32" t="str">
        <x:v>RB</x:v>
      </x:c>
      <x:c r="H48" s="34" t="n">
        <x:v>40</x:v>
      </x:c>
    </x:row>
    <x:row r="49">
      <x:c r="A49" s="55" t="n">
        <x:v>40</x:v>
      </x:c>
      <x:c r="B49" s="32" t="n">
        <x:v>15</x:v>
      </x:c>
      <x:c r="C49" s="32" t="str">
        <x:v>Ian Bates</x:v>
      </x:c>
      <x:c r="D49" s="32" t="str">
        <x:v>Ai Mike 🤖 From Orlando 🍺🤣</x:v>
      </x:c>
      <x:c r="E49" s="32" t="str">
        <x:v>DJ Moore</x:v>
      </x:c>
      <x:c r="F49" s="32" t="str">
        <x:v>Chi</x:v>
      </x:c>
      <x:c r="G49" s="32" t="str">
        <x:v>WR</x:v>
      </x:c>
      <x:c r="H49" s="34" t="n">
        <x:v>17</x:v>
      </x:c>
    </x:row>
    <x:row r="50">
      <x:c r="A50" s="55" t="n">
        <x:v>41</x:v>
      </x:c>
      <x:c r="B50" s="32" t="n">
        <x:v>19</x:v>
      </x:c>
      <x:c r="C50" s="32" t="str">
        <x:v>Thomas Atwater</x:v>
      </x:c>
      <x:c r="D50" s="32" t="str">
        <x:v>Garbage Time</x:v>
      </x:c>
      <x:c r="E50" s="32" t="str">
        <x:v>DeAndre Hopkins</x:v>
      </x:c>
      <x:c r="F50" s="32" t="str">
        <x:v>Ten</x:v>
      </x:c>
      <x:c r="G50" s="32" t="str">
        <x:v>WR</x:v>
      </x:c>
      <x:c r="H50" s="34" t="n">
        <x:v>10</x:v>
      </x:c>
    </x:row>
    <x:row r="51">
      <x:c r="A51" s="55" t="n">
        <x:v>42</x:v>
      </x:c>
      <x:c r="B51" s="32" t="n">
        <x:v>14</x:v>
      </x:c>
      <x:c r="C51" s="32" t="str">
        <x:v>David Richards</x:v>
      </x:c>
      <x:c r="D51" s="32" t="str">
        <x:v>Rode and Dode</x:v>
      </x:c>
      <x:c r="E51" s="32" t="str">
        <x:v>Deebo Samuel</x:v>
      </x:c>
      <x:c r="F51" s="32" t="str">
        <x:v>SF</x:v>
      </x:c>
      <x:c r="G51" s="32" t="str">
        <x:v>WR</x:v>
      </x:c>
      <x:c r="H51" s="34" t="n">
        <x:v>26</x:v>
      </x:c>
    </x:row>
    <x:row r="52">
      <x:c r="A52" s="55" t="n">
        <x:v>43</x:v>
      </x:c>
      <x:c r="B52" s="32" t="n">
        <x:v>6</x:v>
      </x:c>
      <x:c r="C52" s="32" t="str">
        <x:v>sangfroid bang</x:v>
      </x:c>
      <x:c r="D52" s="32" t="str">
        <x:v>Uncle C-ass</x:v>
      </x:c>
      <x:c r="E52" s="32" t="str">
        <x:v>Jahmyr Gibbs</x:v>
      </x:c>
      <x:c r="F52" s="32" t="str">
        <x:v>Det</x:v>
      </x:c>
      <x:c r="G52" s="32" t="str">
        <x:v>RB</x:v>
      </x:c>
      <x:c r="H52" s="34" t="n">
        <x:v>49</x:v>
      </x:c>
    </x:row>
    <x:row r="53">
      <x:c r="A53" s="55" t="n">
        <x:v>44</x:v>
      </x:c>
      <x:c r="B53" s="32" t="n">
        <x:v>18</x:v>
      </x:c>
      <x:c r="C53" s="32" t="str">
        <x:v>Dan Maland</x:v>
      </x:c>
      <x:c r="D53" s="32" t="str">
        <x:v>Fecal Fiasco</x:v>
      </x:c>
      <x:c r="E53" s="32" t="str">
        <x:v>Lamar Jackson</x:v>
      </x:c>
      <x:c r="F53" s="32" t="str">
        <x:v>Bal</x:v>
      </x:c>
      <x:c r="G53" s="32" t="str">
        <x:v>QB</x:v>
      </x:c>
      <x:c r="H53" s="34" t="n">
        <x:v>29</x:v>
      </x:c>
    </x:row>
    <x:row r="54">
      <x:c r="A54" s="55" t="n">
        <x:v>45</x:v>
      </x:c>
      <x:c r="B54" s="32" t="n">
        <x:v>1</x:v>
      </x:c>
      <x:c r="C54" s="32" t="str">
        <x:v>Brett McKnight</x:v>
      </x:c>
      <x:c r="D54" s="32" t="str">
        <x:v>Ravenclaw Shirt Sunday</x:v>
      </x:c>
      <x:c r="E54" s="32" t="str">
        <x:v>Isiah Pacheco</x:v>
      </x:c>
      <x:c r="F54" s="32" t="str">
        <x:v>KC</x:v>
      </x:c>
      <x:c r="G54" s="32" t="str">
        <x:v>RB</x:v>
      </x:c>
      <x:c r="H54" s="34" t="n">
        <x:v>13</x:v>
      </x:c>
    </x:row>
    <x:row r="55">
      <x:c r="A55" s="55" t="n">
        <x:v>46</x:v>
      </x:c>
      <x:c r="B55" s="32" t="n">
        <x:v>17</x:v>
      </x:c>
      <x:c r="C55" s="32" t="str">
        <x:v>Scott McKnight</x:v>
      </x:c>
      <x:c r="D55" s="32" t="str">
        <x:v>Trophy Mahome Save me</x:v>
      </x:c>
      <x:c r="E55" s="32" t="str">
        <x:v>Patrick Mahomes</x:v>
      </x:c>
      <x:c r="F55" s="32" t="str">
        <x:v>KC</x:v>
      </x:c>
      <x:c r="G55" s="32" t="str">
        <x:v>QB</x:v>
      </x:c>
      <x:c r="H55" s="34" t="n">
        <x:v>36</x:v>
      </x:c>
    </x:row>
    <x:row r="56">
      <x:c r="A56" s="55" t="n">
        <x:v>47</x:v>
      </x:c>
      <x:c r="B56" s="32" t="n">
        <x:v>19</x:v>
      </x:c>
      <x:c r="C56" s="32" t="str">
        <x:v>Thomas Atwater</x:v>
      </x:c>
      <x:c r="D56" s="32" t="str">
        <x:v>Garbage Time</x:v>
      </x:c>
      <x:c r="E56" s="32" t="str">
        <x:v>Jonathan Taylor</x:v>
      </x:c>
      <x:c r="F56" s="32" t="str">
        <x:v>Ind</x:v>
      </x:c>
      <x:c r="G56" s="32" t="str">
        <x:v>RB</x:v>
      </x:c>
      <x:c r="H56" s="34" t="n">
        <x:v>24</x:v>
      </x:c>
    </x:row>
    <x:row r="57">
      <x:c r="A57" s="55" t="n">
        <x:v>48</x:v>
      </x:c>
      <x:c r="B57" s="32" t="n">
        <x:v>9</x:v>
      </x:c>
      <x:c r="C57" s="32" t="str">
        <x:v>samir gandhi</x:v>
      </x:c>
      <x:c r="D57" s="32" t="str">
        <x:v>Old Money</x:v>
      </x:c>
      <x:c r="E57" s="32" t="str">
        <x:v>Tee Higgins</x:v>
      </x:c>
      <x:c r="F57" s="32" t="str">
        <x:v>Cin</x:v>
      </x:c>
      <x:c r="G57" s="32" t="str">
        <x:v>WR</x:v>
      </x:c>
      <x:c r="H57" s="34" t="n">
        <x:v>43</x:v>
      </x:c>
    </x:row>
    <x:row r="58">
      <x:c r="A58" s="55" t="n">
        <x:v>49</x:v>
      </x:c>
      <x:c r="B58" s="32" t="n">
        <x:v>4</x:v>
      </x:c>
      <x:c r="C58" s="32" t="str">
        <x:v>Kendall Bicknell</x:v>
      </x:c>
      <x:c r="D58" s="32" t="str">
        <x:v>The Toothbrush Violater</x:v>
      </x:c>
      <x:c r="E58" s="32" t="str">
        <x:v>Antonio Gibson</x:v>
      </x:c>
      <x:c r="F58" s="32" t="str">
        <x:v>NE</x:v>
      </x:c>
      <x:c r="G58" s="32" t="str">
        <x:v>RB</x:v>
      </x:c>
      <x:c r="H58" s="34" t="n">
        <x:v>11</x:v>
      </x:c>
    </x:row>
    <x:row r="59">
      <x:c r="A59" s="55" t="n">
        <x:v>50</x:v>
      </x:c>
      <x:c r="B59" s="32" t="n">
        <x:v>1</x:v>
      </x:c>
      <x:c r="C59" s="32" t="str">
        <x:v>Brett McKnight</x:v>
      </x:c>
      <x:c r="D59" s="32" t="str">
        <x:v>Ravenclaw Shirt Sunday</x:v>
      </x:c>
      <x:c r="E59" s="32" t="str">
        <x:v>Justin Herbert</x:v>
      </x:c>
      <x:c r="F59" s="32" t="str">
        <x:v>LAC</x:v>
      </x:c>
      <x:c r="G59" s="32" t="str">
        <x:v>QB</x:v>
      </x:c>
      <x:c r="H59" s="34" t="n">
        <x:v>31</x:v>
      </x:c>
    </x:row>
    <x:row r="60">
      <x:c r="A60" s="55" t="n">
        <x:v>51</x:v>
      </x:c>
      <x:c r="B60" s="32" t="n">
        <x:v>19</x:v>
      </x:c>
      <x:c r="C60" s="32" t="str">
        <x:v>Thomas Atwater</x:v>
      </x:c>
      <x:c r="D60" s="32" t="str">
        <x:v>Garbage Time</x:v>
      </x:c>
      <x:c r="E60" s="32" t="str">
        <x:v>Miles Sanders</x:v>
      </x:c>
      <x:c r="F60" s="32" t="str">
        <x:v>Car</x:v>
      </x:c>
      <x:c r="G60" s="32" t="str">
        <x:v>RB</x:v>
      </x:c>
      <x:c r="H60" s="34" t="n">
        <x:v>23</x:v>
      </x:c>
    </x:row>
    <x:row r="61">
      <x:c r="A61" s="55" t="n">
        <x:v>52</x:v>
      </x:c>
      <x:c r="B61" s="32" t="n">
        <x:v>15</x:v>
      </x:c>
      <x:c r="C61" s="32" t="str">
        <x:v>Ian Bates</x:v>
      </x:c>
      <x:c r="D61" s="32" t="str">
        <x:v>Ai Mike 🤖 From Orlando 🍺🤣</x:v>
      </x:c>
      <x:c r="E61" s="32" t="str">
        <x:v>Amari Cooper</x:v>
      </x:c>
      <x:c r="F61" s="32" t="str">
        <x:v>Cle</x:v>
      </x:c>
      <x:c r="G61" s="32" t="str">
        <x:v>WR</x:v>
      </x:c>
      <x:c r="H61" s="34" t="n">
        <x:v>26</x:v>
      </x:c>
    </x:row>
    <x:row r="62">
      <x:c r="A62" s="55" t="n">
        <x:v>53</x:v>
      </x:c>
      <x:c r="B62" s="32" t="n">
        <x:v>19</x:v>
      </x:c>
      <x:c r="C62" s="32" t="str">
        <x:v>Thomas Atwater</x:v>
      </x:c>
      <x:c r="D62" s="32" t="str">
        <x:v>Garbage Time</x:v>
      </x:c>
      <x:c r="E62" s="32" t="str">
        <x:v>Najee Harris</x:v>
      </x:c>
      <x:c r="F62" s="32" t="str">
        <x:v>Pit</x:v>
      </x:c>
      <x:c r="G62" s="32" t="str">
        <x:v>RB</x:v>
      </x:c>
      <x:c r="H62" s="34" t="n">
        <x:v>44</x:v>
      </x:c>
    </x:row>
    <x:row r="63">
      <x:c r="A63" s="55" t="n">
        <x:v>54</x:v>
      </x:c>
      <x:c r="B63" s="32" t="n">
        <x:v>19</x:v>
      </x:c>
      <x:c r="C63" s="32" t="str">
        <x:v>Thomas Atwater</x:v>
      </x:c>
      <x:c r="D63" s="32" t="str">
        <x:v>Garbage Time</x:v>
      </x:c>
      <x:c r="E63" s="32" t="str">
        <x:v>Calvin Ridley</x:v>
      </x:c>
      <x:c r="F63" s="32" t="str">
        <x:v>Ten</x:v>
      </x:c>
      <x:c r="G63" s="32" t="str">
        <x:v>WR</x:v>
      </x:c>
      <x:c r="H63" s="34" t="n">
        <x:v>35</x:v>
      </x:c>
    </x:row>
    <x:row r="64">
      <x:c r="A64" s="55" t="n">
        <x:v>55</x:v>
      </x:c>
      <x:c r="B64" s="32" t="n">
        <x:v>1</x:v>
      </x:c>
      <x:c r="C64" s="32" t="str">
        <x:v>Brett McKnight</x:v>
      </x:c>
      <x:c r="D64" s="32" t="str">
        <x:v>Ravenclaw Shirt Sunday</x:v>
      </x:c>
      <x:c r="E64" s="32" t="str">
        <x:v>Breece Hall</x:v>
      </x:c>
      <x:c r="F64" s="32" t="str">
        <x:v>NYJ</x:v>
      </x:c>
      <x:c r="G64" s="32" t="str">
        <x:v>RB</x:v>
      </x:c>
      <x:c r="H64" s="34" t="n">
        <x:v>32</x:v>
      </x:c>
    </x:row>
    <x:row r="65">
      <x:c r="A65" s="55" t="n">
        <x:v>56</x:v>
      </x:c>
      <x:c r="B65" s="32" t="n">
        <x:v>9</x:v>
      </x:c>
      <x:c r="C65" s="32" t="str">
        <x:v>samir gandhi</x:v>
      </x:c>
      <x:c r="D65" s="32" t="str">
        <x:v>Old Money</x:v>
      </x:c>
      <x:c r="E65" s="32" t="str">
        <x:v>Dameon Pierce</x:v>
      </x:c>
      <x:c r="F65" s="32" t="str">
        <x:v>Hou</x:v>
      </x:c>
      <x:c r="G65" s="32" t="str">
        <x:v>RB</x:v>
      </x:c>
      <x:c r="H65" s="34" t="n">
        <x:v>34</x:v>
      </x:c>
    </x:row>
    <x:row r="66">
      <x:c r="A66" s="55" t="n">
        <x:v>57</x:v>
      </x:c>
      <x:c r="B66" s="32" t="n">
        <x:v>18</x:v>
      </x:c>
      <x:c r="C66" s="32" t="str">
        <x:v>Dan Maland</x:v>
      </x:c>
      <x:c r="D66" s="32" t="str">
        <x:v>Fecal Fiasco</x:v>
      </x:c>
      <x:c r="E66" s="32" t="str">
        <x:v>Cam Akers</x:v>
      </x:c>
      <x:c r="F66" s="32" t="str">
        <x:v>Min</x:v>
      </x:c>
      <x:c r="G66" s="32" t="str">
        <x:v>RB</x:v>
      </x:c>
      <x:c r="H66" s="34" t="n">
        <x:v>20</x:v>
      </x:c>
    </x:row>
    <x:row r="67">
      <x:c r="A67" s="55" t="n">
        <x:v>58</x:v>
      </x:c>
      <x:c r="B67" s="32" t="n">
        <x:v>15</x:v>
      </x:c>
      <x:c r="C67" s="32" t="str">
        <x:v>Ian Bates</x:v>
      </x:c>
      <x:c r="D67" s="32" t="str">
        <x:v>Ai Mike 🤖 From Orlando 🍺🤣</x:v>
      </x:c>
      <x:c r="E67" s="32" t="str">
        <x:v>Trevor Lawrence</x:v>
      </x:c>
      <x:c r="F67" s="32" t="str">
        <x:v>Jax</x:v>
      </x:c>
      <x:c r="G67" s="32" t="str">
        <x:v>QB</x:v>
      </x:c>
      <x:c r="H67" s="34" t="n">
        <x:v>26</x:v>
      </x:c>
    </x:row>
    <x:row r="68">
      <x:c r="A68" s="55" t="n">
        <x:v>59</x:v>
      </x:c>
      <x:c r="B68" s="32" t="n">
        <x:v>16</x:v>
      </x:c>
      <x:c r="C68" s="32" t="str">
        <x:v>Eric Boudreau</x:v>
      </x:c>
      <x:c r="D68" s="32" t="str">
        <x:v>Corn-fed Masseuses</x:v>
      </x:c>
      <x:c r="E68" s="32" t="str">
        <x:v>Deshaun Watson</x:v>
      </x:c>
      <x:c r="F68" s="32" t="str">
        <x:v>Cle</x:v>
      </x:c>
      <x:c r="G68" s="32" t="str">
        <x:v>QB</x:v>
      </x:c>
      <x:c r="H68" s="34" t="n">
        <x:v>5</x:v>
      </x:c>
    </x:row>
    <x:row r="69">
      <x:c r="A69" s="55" t="n">
        <x:v>60</x:v>
      </x:c>
      <x:c r="B69" s="32" t="n">
        <x:v>18</x:v>
      </x:c>
      <x:c r="C69" s="32" t="str">
        <x:v>Dan Maland</x:v>
      </x:c>
      <x:c r="D69" s="32" t="str">
        <x:v>Fecal Fiasco</x:v>
      </x:c>
      <x:c r="E69" s="32" t="str">
        <x:v>Alvin Kamara</x:v>
      </x:c>
      <x:c r="F69" s="32" t="str">
        <x:v>NO</x:v>
      </x:c>
      <x:c r="G69" s="32" t="str">
        <x:v>RB</x:v>
      </x:c>
      <x:c r="H69" s="34" t="n">
        <x:v>13</x:v>
      </x:c>
    </x:row>
    <x:row r="70">
      <x:c r="A70" s="55" t="n">
        <x:v>61</x:v>
      </x:c>
      <x:c r="B70" s="32" t="n">
        <x:v>4</x:v>
      </x:c>
      <x:c r="C70" s="32" t="str">
        <x:v>Kendall Bicknell</x:v>
      </x:c>
      <x:c r="D70" s="32" t="str">
        <x:v>The Toothbrush Violater</x:v>
      </x:c>
      <x:c r="E70" s="32" t="str">
        <x:v>Jahan Dotson</x:v>
      </x:c>
      <x:c r="F70" s="32" t="str">
        <x:v>Wsh</x:v>
      </x:c>
      <x:c r="G70" s="32" t="str">
        <x:v>WR</x:v>
      </x:c>
      <x:c r="H70" s="34" t="n">
        <x:v>18</x:v>
      </x:c>
    </x:row>
    <x:row r="71">
      <x:c r="A71" s="55" t="n">
        <x:v>62</x:v>
      </x:c>
      <x:c r="B71" s="32" t="n">
        <x:v>1</x:v>
      </x:c>
      <x:c r="C71" s="32" t="str">
        <x:v>Brett McKnight</x:v>
      </x:c>
      <x:c r="D71" s="32" t="str">
        <x:v>Ravenclaw Shirt Sunday</x:v>
      </x:c>
      <x:c r="E71" s="32" t="str">
        <x:v>Skyy Moore</x:v>
      </x:c>
      <x:c r="F71" s="32" t="str">
        <x:v>KC</x:v>
      </x:c>
      <x:c r="G71" s="32" t="str">
        <x:v>WR</x:v>
      </x:c>
      <x:c r="H71" s="34" t="n">
        <x:v>6</x:v>
      </x:c>
    </x:row>
    <x:row r="72">
      <x:c r="A72" s="55" t="n">
        <x:v>63</x:v>
      </x:c>
      <x:c r="B72" s="32" t="n">
        <x:v>7</x:v>
      </x:c>
      <x:c r="C72" s="32" t="str">
        <x:v>Ebby Kurian</x:v>
      </x:c>
      <x:c r="D72" s="32" t="str">
        <x:v>The Splenic Flexture</x:v>
      </x:c>
      <x:c r="E72" s="32" t="str">
        <x:v>Dalvin Cook</x:v>
      </x:c>
      <x:c r="F72" s="32" t="str">
        <x:v>Bal</x:v>
      </x:c>
      <x:c r="G72" s="32" t="str">
        <x:v>RB</x:v>
      </x:c>
      <x:c r="H72" s="34" t="n">
        <x:v>8</x:v>
      </x:c>
    </x:row>
    <x:row r="73">
      <x:c r="A73" s="55" t="n">
        <x:v>64</x:v>
      </x:c>
      <x:c r="B73" s="32" t="n">
        <x:v>6</x:v>
      </x:c>
      <x:c r="C73" s="32" t="str">
        <x:v>sangfroid bang</x:v>
      </x:c>
      <x:c r="D73" s="32" t="str">
        <x:v>Uncle C-ass</x:v>
      </x:c>
      <x:c r="E73" s="32" t="str">
        <x:v>Christian Watson</x:v>
      </x:c>
      <x:c r="F73" s="32" t="str">
        <x:v>GB</x:v>
      </x:c>
      <x:c r="G73" s="32" t="str">
        <x:v>WR</x:v>
      </x:c>
      <x:c r="H73" s="34" t="n">
        <x:v>28</x:v>
      </x:c>
    </x:row>
    <x:row r="74">
      <x:c r="A74" s="55" t="n">
        <x:v>65</x:v>
      </x:c>
      <x:c r="B74" s="32" t="n">
        <x:v>16</x:v>
      </x:c>
      <x:c r="C74" s="32" t="str">
        <x:v>Eric Boudreau</x:v>
      </x:c>
      <x:c r="D74" s="32" t="str">
        <x:v>Corn-fed Masseuses</x:v>
      </x:c>
      <x:c r="E74" s="32" t="str">
        <x:v>Diontae Johnson</x:v>
      </x:c>
      <x:c r="F74" s="32" t="str">
        <x:v>Car</x:v>
      </x:c>
      <x:c r="G74" s="32" t="str">
        <x:v>WR</x:v>
      </x:c>
      <x:c r="H74" s="34" t="n">
        <x:v>26</x:v>
      </x:c>
    </x:row>
    <x:row r="75">
      <x:c r="A75" s="55" t="n">
        <x:v>66</x:v>
      </x:c>
      <x:c r="B75" s="32" t="n">
        <x:v>14</x:v>
      </x:c>
      <x:c r="C75" s="32" t="str">
        <x:v>David Richards</x:v>
      </x:c>
      <x:c r="D75" s="32" t="str">
        <x:v>Rode and Dode</x:v>
      </x:c>
      <x:c r="E75" s="32" t="str">
        <x:v>Chigoziem Okonkwo</x:v>
      </x:c>
      <x:c r="F75" s="32" t="str">
        <x:v>Ten</x:v>
      </x:c>
      <x:c r="G75" s="32" t="str">
        <x:v>TE</x:v>
      </x:c>
      <x:c r="H75" s="34" t="n">
        <x:v>1</x:v>
      </x:c>
    </x:row>
    <x:row r="76">
      <x:c r="A76" s="55" t="n">
        <x:v>67</x:v>
      </x:c>
      <x:c r="B76" s="32" t="n">
        <x:v>16</x:v>
      </x:c>
      <x:c r="C76" s="32" t="str">
        <x:v>Eric Boudreau</x:v>
      </x:c>
      <x:c r="D76" s="32" t="str">
        <x:v>Corn-fed Masseuses</x:v>
      </x:c>
      <x:c r="E76" s="32" t="str">
        <x:v>Javonte Williams</x:v>
      </x:c>
      <x:c r="F76" s="32" t="str">
        <x:v>Den</x:v>
      </x:c>
      <x:c r="G76" s="32" t="str">
        <x:v>RB</x:v>
      </x:c>
      <x:c r="H76" s="34" t="n">
        <x:v>26</x:v>
      </x:c>
    </x:row>
    <x:row r="77">
      <x:c r="A77" s="55" t="n">
        <x:v>68</x:v>
      </x:c>
      <x:c r="B77" s="32" t="n">
        <x:v>18</x:v>
      </x:c>
      <x:c r="C77" s="32" t="str">
        <x:v>Dan Maland</x:v>
      </x:c>
      <x:c r="D77" s="32" t="str">
        <x:v>Fecal Fiasco</x:v>
      </x:c>
      <x:c r="E77" s="32" t="str">
        <x:v>Chris Godwin</x:v>
      </x:c>
      <x:c r="F77" s="32" t="str">
        <x:v>TB</x:v>
      </x:c>
      <x:c r="G77" s="32" t="str">
        <x:v>WR</x:v>
      </x:c>
      <x:c r="H77" s="34" t="n">
        <x:v>14</x:v>
      </x:c>
    </x:row>
    <x:row r="78">
      <x:c r="A78" s="55" t="n">
        <x:v>69</x:v>
      </x:c>
      <x:c r="B78" s="32" t="n">
        <x:v>16</x:v>
      </x:c>
      <x:c r="C78" s="32" t="str">
        <x:v>Eric Boudreau</x:v>
      </x:c>
      <x:c r="D78" s="32" t="str">
        <x:v>Corn-fed Masseuses</x:v>
      </x:c>
      <x:c r="E78" s="32" t="str">
        <x:v>James Conner</x:v>
      </x:c>
      <x:c r="F78" s="32" t="str">
        <x:v>Ari</x:v>
      </x:c>
      <x:c r="G78" s="32" t="str">
        <x:v>RB</x:v>
      </x:c>
      <x:c r="H78" s="34" t="n">
        <x:v>9</x:v>
      </x:c>
    </x:row>
    <x:row r="79">
      <x:c r="A79" s="55" t="n">
        <x:v>70</x:v>
      </x:c>
      <x:c r="B79" s="32" t="n">
        <x:v>19</x:v>
      </x:c>
      <x:c r="C79" s="32" t="str">
        <x:v>Thomas Atwater</x:v>
      </x:c>
      <x:c r="D79" s="32" t="str">
        <x:v>Garbage Time</x:v>
      </x:c>
      <x:c r="E79" s="32" t="str">
        <x:v>Tua Tagovailoa</x:v>
      </x:c>
      <x:c r="F79" s="32" t="str">
        <x:v>Mia</x:v>
      </x:c>
      <x:c r="G79" s="32" t="str">
        <x:v>QB</x:v>
      </x:c>
      <x:c r="H79" s="34" t="n">
        <x:v>23</x:v>
      </x:c>
    </x:row>
    <x:row r="80">
      <x:c r="A80" s="55" t="n">
        <x:v>71</x:v>
      </x:c>
      <x:c r="B80" s="32" t="n">
        <x:v>18</x:v>
      </x:c>
      <x:c r="C80" s="32" t="str">
        <x:v>Dan Maland</x:v>
      </x:c>
      <x:c r="D80" s="32" t="str">
        <x:v>Fecal Fiasco</x:v>
      </x:c>
      <x:c r="E80" s="32" t="str">
        <x:v>Mike Williams</x:v>
      </x:c>
      <x:c r="F80" s="32" t="str">
        <x:v>NYJ</x:v>
      </x:c>
      <x:c r="G80" s="32" t="str">
        <x:v>WR</x:v>
      </x:c>
      <x:c r="H80" s="34" t="n">
        <x:v>13</x:v>
      </x:c>
    </x:row>
    <x:row r="81">
      <x:c r="A81" s="55" t="n">
        <x:v>72</x:v>
      </x:c>
      <x:c r="B81" s="32" t="n">
        <x:v>16</x:v>
      </x:c>
      <x:c r="C81" s="32" t="str">
        <x:v>Eric Boudreau</x:v>
      </x:c>
      <x:c r="D81" s="32" t="str">
        <x:v>Corn-fed Masseuses</x:v>
      </x:c>
      <x:c r="E81" s="32" t="str">
        <x:v>Terry McLaurin</x:v>
      </x:c>
      <x:c r="F81" s="32" t="str">
        <x:v>Wsh</x:v>
      </x:c>
      <x:c r="G81" s="32" t="str">
        <x:v>WR</x:v>
      </x:c>
      <x:c r="H81" s="34" t="n">
        <x:v>17</x:v>
      </x:c>
    </x:row>
    <x:row r="82">
      <x:c r="A82" s="55" t="n">
        <x:v>73</x:v>
      </x:c>
      <x:c r="B82" s="32" t="n">
        <x:v>4</x:v>
      </x:c>
      <x:c r="C82" s="32" t="str">
        <x:v>Kendall Bicknell</x:v>
      </x:c>
      <x:c r="D82" s="32" t="str">
        <x:v>The Toothbrush Violater</x:v>
      </x:c>
      <x:c r="E82" s="32" t="str">
        <x:v>De'Von Achane</x:v>
      </x:c>
      <x:c r="F82" s="32" t="str">
        <x:v>Mia</x:v>
      </x:c>
      <x:c r="G82" s="32" t="str">
        <x:v>RB</x:v>
      </x:c>
      <x:c r="H82" s="34" t="n">
        <x:v>7</x:v>
      </x:c>
    </x:row>
    <x:row r="83">
      <x:c r="A83" s="55" t="n">
        <x:v>74</x:v>
      </x:c>
      <x:c r="B83" s="32" t="n">
        <x:v>5</x:v>
      </x:c>
      <x:c r="C83" s="32" t="str">
        <x:v>George Rakkar</x:v>
      </x:c>
      <x:c r="D83" s="32" t="str">
        <x:v>8================ D</x:v>
      </x:c>
      <x:c r="E83" s="32" t="str">
        <x:v>Kenneth Walker III</x:v>
      </x:c>
      <x:c r="F83" s="32" t="str">
        <x:v>Sea</x:v>
      </x:c>
      <x:c r="G83" s="32" t="str">
        <x:v>RB</x:v>
      </x:c>
      <x:c r="H83" s="34" t="n">
        <x:v>36</x:v>
      </x:c>
    </x:row>
    <x:row r="84">
      <x:c r="A84" s="55" t="n">
        <x:v>75</x:v>
      </x:c>
      <x:c r="B84" s="32" t="n">
        <x:v>15</x:v>
      </x:c>
      <x:c r="C84" s="32" t="str">
        <x:v>Ian Bates</x:v>
      </x:c>
      <x:c r="D84" s="32" t="str">
        <x:v>Ai Mike 🤖 From Orlando 🍺🤣</x:v>
      </x:c>
      <x:c r="E84" s="32" t="str">
        <x:v>Alexander Mattison</x:v>
      </x:c>
      <x:c r="F84" s="32" t="str">
        <x:v>LV</x:v>
      </x:c>
      <x:c r="G84" s="32" t="str">
        <x:v>RB</x:v>
      </x:c>
      <x:c r="H84" s="34" t="n">
        <x:v>43</x:v>
      </x:c>
    </x:row>
    <x:row r="85">
      <x:c r="A85" s="55" t="n">
        <x:v>76</x:v>
      </x:c>
      <x:c r="B85" s="32" t="n">
        <x:v>9</x:v>
      </x:c>
      <x:c r="C85" s="32" t="str">
        <x:v>samir gandhi</x:v>
      </x:c>
      <x:c r="D85" s="32" t="str">
        <x:v>Old Money</x:v>
      </x:c>
      <x:c r="E85" s="32" t="str">
        <x:v>Dallas Goedert</x:v>
      </x:c>
      <x:c r="F85" s="32" t="str">
        <x:v>Phi</x:v>
      </x:c>
      <x:c r="G85" s="32" t="str">
        <x:v>TE</x:v>
      </x:c>
      <x:c r="H85" s="34" t="n">
        <x:v>12</x:v>
      </x:c>
    </x:row>
    <x:row r="86">
      <x:c r="A86" s="55" t="n">
        <x:v>77</x:v>
      </x:c>
      <x:c r="B86" s="32" t="n">
        <x:v>7</x:v>
      </x:c>
      <x:c r="C86" s="32" t="str">
        <x:v>Ebby Kurian</x:v>
      </x:c>
      <x:c r="D86" s="32" t="str">
        <x:v>The Splenic Flexture</x:v>
      </x:c>
      <x:c r="E86" s="32" t="str">
        <x:v>George Kittle</x:v>
      </x:c>
      <x:c r="F86" s="32" t="str">
        <x:v>SF</x:v>
      </x:c>
      <x:c r="G86" s="32" t="str">
        <x:v>TE</x:v>
      </x:c>
      <x:c r="H86" s="34" t="n">
        <x:v>6</x:v>
      </x:c>
    </x:row>
    <x:row r="87">
      <x:c r="A87" s="55" t="n">
        <x:v>78</x:v>
      </x:c>
      <x:c r="B87" s="32" t="n">
        <x:v>14</x:v>
      </x:c>
      <x:c r="C87" s="32" t="str">
        <x:v>David Richards</x:v>
      </x:c>
      <x:c r="D87" s="32" t="str">
        <x:v>Rode and Dode</x:v>
      </x:c>
      <x:c r="E87" s="32" t="str">
        <x:v>Isaiah Spiller</x:v>
      </x:c>
      <x:c r="F87" s="32" t="str">
        <x:v>LAC</x:v>
      </x:c>
      <x:c r="G87" s="32" t="str">
        <x:v>RB</x:v>
      </x:c>
      <x:c r="H87" s="34" t="n">
        <x:v>1</x:v>
      </x:c>
    </x:row>
    <x:row r="88">
      <x:c r="A88" s="55" t="n">
        <x:v>79</x:v>
      </x:c>
      <x:c r="B88" s="32" t="n">
        <x:v>7</x:v>
      </x:c>
      <x:c r="C88" s="32" t="str">
        <x:v>Ebby Kurian</x:v>
      </x:c>
      <x:c r="D88" s="32" t="str">
        <x:v>The Splenic Flexture</x:v>
      </x:c>
      <x:c r="E88" s="32" t="str">
        <x:v>J.K. Dobbins</x:v>
      </x:c>
      <x:c r="F88" s="32" t="str">
        <x:v>Bal</x:v>
      </x:c>
      <x:c r="G88" s="32" t="str">
        <x:v>RB</x:v>
      </x:c>
      <x:c r="H88" s="34" t="n">
        <x:v>27</x:v>
      </x:c>
    </x:row>
    <x:row r="89">
      <x:c r="A89" s="55" t="n">
        <x:v>80</x:v>
      </x:c>
      <x:c r="B89" s="32" t="n">
        <x:v>1</x:v>
      </x:c>
      <x:c r="C89" s="32" t="str">
        <x:v>Brett McKnight</x:v>
      </x:c>
      <x:c r="D89" s="32" t="str">
        <x:v>Ravenclaw Shirt Sunday</x:v>
      </x:c>
      <x:c r="E89" s="32" t="str">
        <x:v>David Montgomery</x:v>
      </x:c>
      <x:c r="F89" s="32" t="str">
        <x:v>Det</x:v>
      </x:c>
      <x:c r="G89" s="32" t="str">
        <x:v>RB</x:v>
      </x:c>
      <x:c r="H89" s="34" t="n">
        <x:v>15</x:v>
      </x:c>
    </x:row>
    <x:row r="90">
      <x:c r="A90" s="55" t="n">
        <x:v>81</x:v>
      </x:c>
      <x:c r="B90" s="32" t="n">
        <x:v>18</x:v>
      </x:c>
      <x:c r="C90" s="32" t="str">
        <x:v>Dan Maland</x:v>
      </x:c>
      <x:c r="D90" s="32" t="str">
        <x:v>Fecal Fiasco</x:v>
      </x:c>
      <x:c r="E90" s="32" t="str">
        <x:v>Brian Robinson Jr.</x:v>
      </x:c>
      <x:c r="F90" s="32" t="str">
        <x:v>Wsh</x:v>
      </x:c>
      <x:c r="G90" s="32" t="str">
        <x:v>RB</x:v>
      </x:c>
      <x:c r="H90" s="34" t="n">
        <x:v>8</x:v>
      </x:c>
    </x:row>
    <x:row r="91">
      <x:c r="A91" s="55" t="n">
        <x:v>82</x:v>
      </x:c>
      <x:c r="B91" s="32" t="n">
        <x:v>4</x:v>
      </x:c>
      <x:c r="C91" s="32" t="str">
        <x:v>Kendall Bicknell</x:v>
      </x:c>
      <x:c r="D91" s="32" t="str">
        <x:v>The Toothbrush Violater</x:v>
      </x:c>
      <x:c r="E91" s="32" t="str">
        <x:v>Pat Freiermuth</x:v>
      </x:c>
      <x:c r="F91" s="32" t="str">
        <x:v>Pit</x:v>
      </x:c>
      <x:c r="G91" s="32" t="str">
        <x:v>TE</x:v>
      </x:c>
      <x:c r="H91" s="34" t="n">
        <x:v>10</x:v>
      </x:c>
    </x:row>
    <x:row r="92">
      <x:c r="A92" s="55" t="n">
        <x:v>83</x:v>
      </x:c>
      <x:c r="B92" s="32" t="n">
        <x:v>1</x:v>
      </x:c>
      <x:c r="C92" s="32" t="str">
        <x:v>Brett McKnight</x:v>
      </x:c>
      <x:c r="D92" s="32" t="str">
        <x:v>Ravenclaw Shirt Sunday</x:v>
      </x:c>
      <x:c r="E92" s="32" t="str">
        <x:v>Khalil Herbert</x:v>
      </x:c>
      <x:c r="F92" s="32" t="str">
        <x:v>Chi</x:v>
      </x:c>
      <x:c r="G92" s="32" t="str">
        <x:v>RB</x:v>
      </x:c>
      <x:c r="H92" s="34" t="n">
        <x:v>10</x:v>
      </x:c>
    </x:row>
    <x:row r="93">
      <x:c r="A93" s="55" t="n">
        <x:v>84</x:v>
      </x:c>
      <x:c r="B93" s="32" t="n">
        <x:v>16</x:v>
      </x:c>
      <x:c r="C93" s="32" t="str">
        <x:v>Eric Boudreau</x:v>
      </x:c>
      <x:c r="D93" s="32" t="str">
        <x:v>Corn-fed Masseuses</x:v>
      </x:c>
      <x:c r="E93" s="32" t="str">
        <x:v>Mike Evans</x:v>
      </x:c>
      <x:c r="F93" s="32" t="str">
        <x:v>TB</x:v>
      </x:c>
      <x:c r="G93" s="32" t="str">
        <x:v>WR</x:v>
      </x:c>
      <x:c r="H93" s="34" t="n">
        <x:v>8</x:v>
      </x:c>
    </x:row>
    <x:row r="94">
      <x:c r="A94" s="55" t="n">
        <x:v>85</x:v>
      </x:c>
      <x:c r="B94" s="32" t="n">
        <x:v>7</x:v>
      </x:c>
      <x:c r="C94" s="32" t="str">
        <x:v>Ebby Kurian</x:v>
      </x:c>
      <x:c r="D94" s="32" t="str">
        <x:v>The Splenic Flexture</x:v>
      </x:c>
      <x:c r="E94" s="32" t="str">
        <x:v>Jaxon Smith-Njigba</x:v>
      </x:c>
      <x:c r="F94" s="32" t="str">
        <x:v>Sea</x:v>
      </x:c>
      <x:c r="G94" s="32" t="str">
        <x:v>WR</x:v>
      </x:c>
      <x:c r="H94" s="34" t="n">
        <x:v>11</x:v>
      </x:c>
    </x:row>
    <x:row r="95">
      <x:c r="A95" s="55" t="n">
        <x:v>86</x:v>
      </x:c>
      <x:c r="B95" s="32" t="n">
        <x:v>5</x:v>
      </x:c>
      <x:c r="C95" s="32" t="str">
        <x:v>George Rakkar</x:v>
      </x:c>
      <x:c r="D95" s="32" t="str">
        <x:v>8================ D</x:v>
      </x:c>
      <x:c r="E95" s="32" t="str">
        <x:v>George Pickens</x:v>
      </x:c>
      <x:c r="F95" s="32" t="str">
        <x:v>Pit</x:v>
      </x:c>
      <x:c r="G95" s="32" t="str">
        <x:v>WR</x:v>
      </x:c>
      <x:c r="H95" s="34" t="n">
        <x:v>20</x:v>
      </x:c>
    </x:row>
    <x:row r="96">
      <x:c r="A96" s="55" t="n">
        <x:v>87</x:v>
      </x:c>
      <x:c r="B96" s="32" t="n">
        <x:v>9</x:v>
      </x:c>
      <x:c r="C96" s="32" t="str">
        <x:v>samir gandhi</x:v>
      </x:c>
      <x:c r="D96" s="32" t="str">
        <x:v>Old Money</x:v>
      </x:c>
      <x:c r="E96" s="32" t="str">
        <x:v>AJ Dillon</x:v>
      </x:c>
      <x:c r="F96" s="32" t="str">
        <x:v>GB</x:v>
      </x:c>
      <x:c r="G96" s="32" t="str">
        <x:v>RB</x:v>
      </x:c>
      <x:c r="H96" s="34" t="n">
        <x:v>10</x:v>
      </x:c>
    </x:row>
    <x:row r="97">
      <x:c r="A97" s="55" t="n">
        <x:v>88</x:v>
      </x:c>
      <x:c r="B97" s="32" t="n">
        <x:v>15</x:v>
      </x:c>
      <x:c r="C97" s="32" t="str">
        <x:v>Ian Bates</x:v>
      </x:c>
      <x:c r="D97" s="32" t="str">
        <x:v>Ai Mike 🤖 From Orlando 🍺🤣</x:v>
      </x:c>
      <x:c r="E97" s="32" t="str">
        <x:v>Evan Engram</x:v>
      </x:c>
      <x:c r="F97" s="32" t="str">
        <x:v>Jax</x:v>
      </x:c>
      <x:c r="G97" s="32" t="str">
        <x:v>TE</x:v>
      </x:c>
      <x:c r="H97" s="34" t="n">
        <x:v>3</x:v>
      </x:c>
    </x:row>
    <x:row r="98">
      <x:c r="A98" s="55" t="n">
        <x:v>89</x:v>
      </x:c>
      <x:c r="B98" s="32" t="n">
        <x:v>17</x:v>
      </x:c>
      <x:c r="C98" s="32" t="str">
        <x:v>Scott McKnight</x:v>
      </x:c>
      <x:c r="D98" s="32" t="str">
        <x:v>Trophy Mahome Save me</x:v>
      </x:c>
      <x:c r="E98" s="32" t="str">
        <x:v>Puka Nacua</x:v>
      </x:c>
      <x:c r="F98" s="32" t="str">
        <x:v>LAR</x:v>
      </x:c>
      <x:c r="G98" s="32" t="str">
        <x:v>WR</x:v>
      </x:c>
      <x:c r="H98" s="34" t="n">
        <x:v>1</x:v>
      </x:c>
    </x:row>
    <x:row r="99">
      <x:c r="A99" s="55" t="n">
        <x:v>90</x:v>
      </x:c>
      <x:c r="B99" s="32" t="n">
        <x:v>14</x:v>
      </x:c>
      <x:c r="C99" s="32" t="str">
        <x:v>David Richards</x:v>
      </x:c>
      <x:c r="D99" s="32" t="str">
        <x:v>Rode and Dode</x:v>
      </x:c>
      <x:c r="E99" s="32" t="str">
        <x:v>Ravens D/ST</x:v>
      </x:c>
      <x:c r="F99" s="32" t="str">
        <x:v>Bal</x:v>
      </x:c>
      <x:c r="G99" s="32" t="str">
        <x:v>D/ST</x:v>
      </x:c>
      <x:c r="H99" s="34" t="n">
        <x:v>3</x:v>
      </x:c>
    </x:row>
    <x:row r="100">
      <x:c r="A100" s="55" t="n">
        <x:v>91</x:v>
      </x:c>
      <x:c r="B100" s="32" t="n">
        <x:v>6</x:v>
      </x:c>
      <x:c r="C100" s="32" t="str">
        <x:v>sangfroid bang</x:v>
      </x:c>
      <x:c r="D100" s="32" t="str">
        <x:v>Uncle C-ass</x:v>
      </x:c>
      <x:c r="E100" s="32" t="str">
        <x:v>Drake London</x:v>
      </x:c>
      <x:c r="F100" s="32" t="str">
        <x:v>Atl</x:v>
      </x:c>
      <x:c r="G100" s="32" t="str">
        <x:v>WR</x:v>
      </x:c>
      <x:c r="H100" s="34" t="n">
        <x:v>16</x:v>
      </x:c>
    </x:row>
    <x:row r="101">
      <x:c r="A101" s="55" t="n">
        <x:v>92</x:v>
      </x:c>
      <x:c r="B101" s="32" t="n">
        <x:v>9</x:v>
      </x:c>
      <x:c r="C101" s="32" t="str">
        <x:v>samir gandhi</x:v>
      </x:c>
      <x:c r="D101" s="32" t="str">
        <x:v>Old Money</x:v>
      </x:c>
      <x:c r="E101" s="32" t="str">
        <x:v>Brandin Cooks</x:v>
      </x:c>
      <x:c r="F101" s="32" t="str">
        <x:v>Dal</x:v>
      </x:c>
      <x:c r="G101" s="32" t="str">
        <x:v>WR</x:v>
      </x:c>
      <x:c r="H101" s="34" t="n">
        <x:v>3</x:v>
      </x:c>
    </x:row>
    <x:row r="102">
      <x:c r="A102" s="55" t="n">
        <x:v>93</x:v>
      </x:c>
      <x:c r="B102" s="32" t="n">
        <x:v>16</x:v>
      </x:c>
      <x:c r="C102" s="32" t="str">
        <x:v>Eric Boudreau</x:v>
      </x:c>
      <x:c r="D102" s="32" t="str">
        <x:v>Corn-fed Masseuses</x:v>
      </x:c>
      <x:c r="E102" s="32" t="str">
        <x:v>Jerry Jeudy</x:v>
      </x:c>
      <x:c r="F102" s="32" t="str">
        <x:v>Cle</x:v>
      </x:c>
      <x:c r="G102" s="32" t="str">
        <x:v>WR</x:v>
      </x:c>
      <x:c r="H102" s="34" t="n">
        <x:v>4</x:v>
      </x:c>
    </x:row>
    <x:row r="103">
      <x:c r="A103" s="55" t="n">
        <x:v>94</x:v>
      </x:c>
      <x:c r="B103" s="32" t="n">
        <x:v>5</x:v>
      </x:c>
      <x:c r="C103" s="32" t="str">
        <x:v>George Rakkar</x:v>
      </x:c>
      <x:c r="D103" s="32" t="str">
        <x:v>8================ D</x:v>
      </x:c>
      <x:c r="E103" s="32" t="str">
        <x:v>David Njoku</x:v>
      </x:c>
      <x:c r="F103" s="32" t="str">
        <x:v>Cle</x:v>
      </x:c>
      <x:c r="G103" s="32" t="str">
        <x:v>TE</x:v>
      </x:c>
      <x:c r="H103" s="34" t="n">
        <x:v>3</x:v>
      </x:c>
    </x:row>
    <x:row r="104">
      <x:c r="A104" s="55" t="n">
        <x:v>95</x:v>
      </x:c>
      <x:c r="B104" s="32" t="n">
        <x:v>17</x:v>
      </x:c>
      <x:c r="C104" s="32" t="str">
        <x:v>Scott McKnight</x:v>
      </x:c>
      <x:c r="D104" s="32" t="str">
        <x:v>Trophy Mahome Save me</x:v>
      </x:c>
      <x:c r="E104" s="32" t="str">
        <x:v>Marquise Brown</x:v>
      </x:c>
      <x:c r="F104" s="32" t="str">
        <x:v>KC</x:v>
      </x:c>
      <x:c r="G104" s="32" t="str">
        <x:v>WR</x:v>
      </x:c>
      <x:c r="H104" s="34" t="n">
        <x:v>4</x:v>
      </x:c>
    </x:row>
    <x:row r="105">
      <x:c r="A105" s="55" t="n">
        <x:v>96</x:v>
      </x:c>
      <x:c r="B105" s="32" t="n">
        <x:v>14</x:v>
      </x:c>
      <x:c r="C105" s="32" t="str">
        <x:v>David Richards</x:v>
      </x:c>
      <x:c r="D105" s="32" t="str">
        <x:v>Rode and Dode</x:v>
      </x:c>
      <x:c r="E105" s="32" t="str">
        <x:v>Brandon Aiyuk</x:v>
      </x:c>
      <x:c r="F105" s="32" t="str">
        <x:v>SF</x:v>
      </x:c>
      <x:c r="G105" s="32" t="str">
        <x:v>WR</x:v>
      </x:c>
      <x:c r="H105" s="34" t="n">
        <x:v>5</x:v>
      </x:c>
    </x:row>
    <x:row r="106">
      <x:c r="A106" s="55" t="n">
        <x:v>97</x:v>
      </x:c>
      <x:c r="B106" s="32" t="n">
        <x:v>15</x:v>
      </x:c>
      <x:c r="C106" s="32" t="str">
        <x:v>Ian Bates</x:v>
      </x:c>
      <x:c r="D106" s="32" t="str">
        <x:v>Ai Mike 🤖 From Orlando 🍺🤣</x:v>
      </x:c>
      <x:c r="E106" s="32" t="str">
        <x:v>Jets D/ST</x:v>
      </x:c>
      <x:c r="F106" s="32" t="str">
        <x:v>NYJ</x:v>
      </x:c>
      <x:c r="G106" s="32" t="str">
        <x:v>D/ST</x:v>
      </x:c>
      <x:c r="H106" s="34" t="n">
        <x:v>3</x:v>
      </x:c>
    </x:row>
    <x:row r="107">
      <x:c r="A107" s="55" t="n">
        <x:v>98</x:v>
      </x:c>
      <x:c r="B107" s="32" t="n">
        <x:v>1</x:v>
      </x:c>
      <x:c r="C107" s="32" t="str">
        <x:v>Brett McKnight</x:v>
      </x:c>
      <x:c r="D107" s="32" t="str">
        <x:v>Ravenclaw Shirt Sunday</x:v>
      </x:c>
      <x:c r="E107" s="32" t="str">
        <x:v>Kyle Pitts</x:v>
      </x:c>
      <x:c r="F107" s="32" t="str">
        <x:v>Atl</x:v>
      </x:c>
      <x:c r="G107" s="32" t="str">
        <x:v>TE</x:v>
      </x:c>
      <x:c r="H107" s="34" t="n">
        <x:v>17</x:v>
      </x:c>
    </x:row>
    <x:row r="108">
      <x:c r="A108" s="55" t="n">
        <x:v>99</x:v>
      </x:c>
      <x:c r="B108" s="32" t="n">
        <x:v>5</x:v>
      </x:c>
      <x:c r="C108" s="32" t="str">
        <x:v>George Rakkar</x:v>
      </x:c>
      <x:c r="D108" s="32" t="str">
        <x:v>8================ D</x:v>
      </x:c>
      <x:c r="E108" s="32" t="str">
        <x:v>Michael Pittman Jr.</x:v>
      </x:c>
      <x:c r="F108" s="32" t="str">
        <x:v>Ind</x:v>
      </x:c>
      <x:c r="G108" s="32" t="str">
        <x:v>WR</x:v>
      </x:c>
      <x:c r="H108" s="34" t="n">
        <x:v>5</x:v>
      </x:c>
    </x:row>
    <x:row r="109">
      <x:c r="A109" s="55" t="n">
        <x:v>100</x:v>
      </x:c>
      <x:c r="B109" s="32" t="n">
        <x:v>15</x:v>
      </x:c>
      <x:c r="C109" s="32" t="str">
        <x:v>Ian Bates</x:v>
      </x:c>
      <x:c r="D109" s="32" t="str">
        <x:v>Ai Mike 🤖 From Orlando 🍺🤣</x:v>
      </x:c>
      <x:c r="E109" s="32" t="str">
        <x:v>Christian Kirk</x:v>
      </x:c>
      <x:c r="F109" s="32" t="str">
        <x:v>Jax</x:v>
      </x:c>
      <x:c r="G109" s="32" t="str">
        <x:v>WR</x:v>
      </x:c>
      <x:c r="H109" s="34" t="n">
        <x:v>5</x:v>
      </x:c>
    </x:row>
    <x:row r="110">
      <x:c r="A110" s="55" t="n">
        <x:v>101</x:v>
      </x:c>
      <x:c r="B110" s="32" t="n">
        <x:v>1</x:v>
      </x:c>
      <x:c r="C110" s="32" t="str">
        <x:v>Brett McKnight</x:v>
      </x:c>
      <x:c r="D110" s="32" t="str">
        <x:v>Ravenclaw Shirt Sunday</x:v>
      </x:c>
      <x:c r="E110" s="32" t="str">
        <x:v>Cole Kmet</x:v>
      </x:c>
      <x:c r="F110" s="32" t="str">
        <x:v>Chi</x:v>
      </x:c>
      <x:c r="G110" s="32" t="str">
        <x:v>TE</x:v>
      </x:c>
      <x:c r="H110" s="34" t="n">
        <x:v>3</x:v>
      </x:c>
    </x:row>
    <x:row r="111">
      <x:c r="A111" s="55" t="n">
        <x:v>102</x:v>
      </x:c>
      <x:c r="B111" s="32" t="n">
        <x:v>6</x:v>
      </x:c>
      <x:c r="C111" s="32" t="str">
        <x:v>sangfroid bang</x:v>
      </x:c>
      <x:c r="D111" s="32" t="str">
        <x:v>Uncle C-ass</x:v>
      </x:c>
      <x:c r="E111" s="32" t="str">
        <x:v>Nico Collins</x:v>
      </x:c>
      <x:c r="F111" s="32" t="str">
        <x:v>Hou</x:v>
      </x:c>
      <x:c r="G111" s="32" t="str">
        <x:v>WR</x:v>
      </x:c>
      <x:c r="H111" s="34" t="n">
        <x:v>4</x:v>
      </x:c>
    </x:row>
    <x:row r="112">
      <x:c r="A112" s="55" t="n">
        <x:v>103</x:v>
      </x:c>
      <x:c r="B112" s="32" t="n">
        <x:v>7</x:v>
      </x:c>
      <x:c r="C112" s="32" t="str">
        <x:v>Ebby Kurian</x:v>
      </x:c>
      <x:c r="D112" s="32" t="str">
        <x:v>The Splenic Flexture</x:v>
      </x:c>
      <x:c r="E112" s="32" t="str">
        <x:v>Zay Flowers</x:v>
      </x:c>
      <x:c r="F112" s="32" t="str">
        <x:v>Bal</x:v>
      </x:c>
      <x:c r="G112" s="32" t="str">
        <x:v>WR</x:v>
      </x:c>
      <x:c r="H112" s="34" t="n">
        <x:v>8</x:v>
      </x:c>
    </x:row>
    <x:row r="113">
      <x:c r="A113" s="55" t="n">
        <x:v>104</x:v>
      </x:c>
      <x:c r="B113" s="32" t="n">
        <x:v>5</x:v>
      </x:c>
      <x:c r="C113" s="32" t="str">
        <x:v>George Rakkar</x:v>
      </x:c>
      <x:c r="D113" s="32" t="str">
        <x:v>8================ D</x:v>
      </x:c>
      <x:c r="E113" s="32" t="str">
        <x:v>Courtland Sutton</x:v>
      </x:c>
      <x:c r="F113" s="32" t="str">
        <x:v>Den</x:v>
      </x:c>
      <x:c r="G113" s="32" t="str">
        <x:v>WR</x:v>
      </x:c>
      <x:c r="H113" s="34" t="n">
        <x:v>8</x:v>
      </x:c>
    </x:row>
    <x:row r="114">
      <x:c r="A114" s="55" t="n">
        <x:v>105</x:v>
      </x:c>
      <x:c r="B114" s="32" t="n">
        <x:v>4</x:v>
      </x:c>
      <x:c r="C114" s="32" t="str">
        <x:v>Kendall Bicknell</x:v>
      </x:c>
      <x:c r="D114" s="32" t="str">
        <x:v>The Toothbrush Violater</x:v>
      </x:c>
      <x:c r="E114" s="32" t="str">
        <x:v>Michael Thomas</x:v>
      </x:c>
      <x:c r="F114" s="32" t="str">
        <x:v>NO</x:v>
      </x:c>
      <x:c r="G114" s="32" t="str">
        <x:v>WR</x:v>
      </x:c>
      <x:c r="H114" s="34" t="n">
        <x:v>2</x:v>
      </x:c>
    </x:row>
    <x:row r="115">
      <x:c r="A115" s="55" t="n">
        <x:v>106</x:v>
      </x:c>
      <x:c r="B115" s="32" t="n">
        <x:v>1</x:v>
      </x:c>
      <x:c r="C115" s="32" t="str">
        <x:v>Brett McKnight</x:v>
      </x:c>
      <x:c r="D115" s="32" t="str">
        <x:v>Ravenclaw Shirt Sunday</x:v>
      </x:c>
      <x:c r="E115" s="32" t="str">
        <x:v>Cowboys D/ST</x:v>
      </x:c>
      <x:c r="F115" s="32" t="str">
        <x:v>Dal</x:v>
      </x:c>
      <x:c r="G115" s="32" t="str">
        <x:v>D/ST</x:v>
      </x:c>
      <x:c r="H115" s="34" t="n">
        <x:v>6</x:v>
      </x:c>
    </x:row>
    <x:row r="116">
      <x:c r="A116" s="55" t="n">
        <x:v>107</x:v>
      </x:c>
      <x:c r="B116" s="32" t="n">
        <x:v>7</x:v>
      </x:c>
      <x:c r="C116" s="32" t="str">
        <x:v>Ebby Kurian</x:v>
      </x:c>
      <x:c r="D116" s="32" t="str">
        <x:v>The Splenic Flexture</x:v>
      </x:c>
      <x:c r="E116" s="32" t="str">
        <x:v>D'Andre Swift</x:v>
      </x:c>
      <x:c r="F116" s="32" t="str">
        <x:v>Chi</x:v>
      </x:c>
      <x:c r="G116" s="32" t="str">
        <x:v>RB</x:v>
      </x:c>
      <x:c r="H116" s="34" t="n">
        <x:v>5</x:v>
      </x:c>
    </x:row>
    <x:row r="117">
      <x:c r="A117" s="55" t="n">
        <x:v>108</x:v>
      </x:c>
      <x:c r="B117" s="32" t="n">
        <x:v>6</x:v>
      </x:c>
      <x:c r="C117" s="32" t="str">
        <x:v>sangfroid bang</x:v>
      </x:c>
      <x:c r="D117" s="32" t="str">
        <x:v>Uncle C-ass</x:v>
      </x:c>
      <x:c r="E117" s="32" t="str">
        <x:v>Dak Prescott</x:v>
      </x:c>
      <x:c r="F117" s="32" t="str">
        <x:v>Dal</x:v>
      </x:c>
      <x:c r="G117" s="32" t="str">
        <x:v>QB</x:v>
      </x:c>
      <x:c r="H117" s="34" t="n">
        <x:v>1</x:v>
      </x:c>
    </x:row>
    <x:row r="118">
      <x:c r="A118" s="55" t="n">
        <x:v>109</x:v>
      </x:c>
      <x:c r="B118" s="32" t="n">
        <x:v>1</x:v>
      </x:c>
      <x:c r="C118" s="32" t="str">
        <x:v>Brett McKnight</x:v>
      </x:c>
      <x:c r="D118" s="32" t="str">
        <x:v>Ravenclaw Shirt Sunday</x:v>
      </x:c>
      <x:c r="E118" s="32" t="str">
        <x:v>Deuce Vaughn</x:v>
      </x:c>
      <x:c r="F118" s="32" t="str">
        <x:v>Dal</x:v>
      </x:c>
      <x:c r="G118" s="32" t="str">
        <x:v>RB</x:v>
      </x:c>
      <x:c r="H118" s="34" t="n">
        <x:v>3</x:v>
      </x:c>
    </x:row>
    <x:row r="119">
      <x:c r="A119" s="55" t="n">
        <x:v>110</x:v>
      </x:c>
      <x:c r="B119" s="32" t="n">
        <x:v>7</x:v>
      </x:c>
      <x:c r="C119" s="32" t="str">
        <x:v>Ebby Kurian</x:v>
      </x:c>
      <x:c r="D119" s="32" t="str">
        <x:v>The Splenic Flexture</x:v>
      </x:c>
      <x:c r="E119" s="32" t="str">
        <x:v>Jordan Addison</x:v>
      </x:c>
      <x:c r="F119" s="32" t="str">
        <x:v>Min</x:v>
      </x:c>
      <x:c r="G119" s="32" t="str">
        <x:v>WR</x:v>
      </x:c>
      <x:c r="H119" s="34" t="n">
        <x:v>8</x:v>
      </x:c>
    </x:row>
    <x:row r="120">
      <x:c r="A120" s="55" t="n">
        <x:v>111</x:v>
      </x:c>
      <x:c r="B120" s="32" t="n">
        <x:v>7</x:v>
      </x:c>
      <x:c r="C120" s="32" t="str">
        <x:v>Ebby Kurian</x:v>
      </x:c>
      <x:c r="D120" s="32" t="str">
        <x:v>The Splenic Flexture</x:v>
      </x:c>
      <x:c r="E120" s="32" t="str">
        <x:v>49ers D/ST</x:v>
      </x:c>
      <x:c r="F120" s="32" t="str">
        <x:v>SF</x:v>
      </x:c>
      <x:c r="G120" s="32" t="str">
        <x:v>D/ST</x:v>
      </x:c>
      <x:c r="H120" s="34" t="n">
        <x:v>10</x:v>
      </x:c>
    </x:row>
    <x:row r="121">
      <x:c r="A121" s="55" t="n">
        <x:v>112</x:v>
      </x:c>
      <x:c r="B121" s="32" t="n">
        <x:v>9</x:v>
      </x:c>
      <x:c r="C121" s="32" t="str">
        <x:v>samir gandhi</x:v>
      </x:c>
      <x:c r="D121" s="32" t="str">
        <x:v>Old Money</x:v>
      </x:c>
      <x:c r="E121" s="32" t="str">
        <x:v>Romeo Doubs</x:v>
      </x:c>
      <x:c r="F121" s="32" t="str">
        <x:v>GB</x:v>
      </x:c>
      <x:c r="G121" s="32" t="str">
        <x:v>WR</x:v>
      </x:c>
      <x:c r="H121" s="34" t="n">
        <x:v>3</x:v>
      </x:c>
    </x:row>
    <x:row r="122">
      <x:c r="A122" s="55" t="n">
        <x:v>113</x:v>
      </x:c>
      <x:c r="B122" s="32" t="n">
        <x:v>17</x:v>
      </x:c>
      <x:c r="C122" s="32" t="str">
        <x:v>Scott McKnight</x:v>
      </x:c>
      <x:c r="D122" s="32" t="str">
        <x:v>Trophy Mahome Save me</x:v>
      </x:c>
      <x:c r="E122" s="32" t="str">
        <x:v>JuJu Smith-Schuster</x:v>
      </x:c>
      <x:c r="F122" s="32" t="str">
        <x:v>NE</x:v>
      </x:c>
      <x:c r="G122" s="32" t="str">
        <x:v>WR</x:v>
      </x:c>
      <x:c r="H122" s="34" t="n">
        <x:v>1</x:v>
      </x:c>
    </x:row>
    <x:row r="123">
      <x:c r="A123" s="55" t="n">
        <x:v>114</x:v>
      </x:c>
      <x:c r="B123" s="32" t="n">
        <x:v>4</x:v>
      </x:c>
      <x:c r="C123" s="32" t="str">
        <x:v>Kendall Bicknell</x:v>
      </x:c>
      <x:c r="D123" s="32" t="str">
        <x:v>The Toothbrush Violater</x:v>
      </x:c>
      <x:c r="E123" s="32" t="str">
        <x:v>Rashod Bateman</x:v>
      </x:c>
      <x:c r="F123" s="32" t="str">
        <x:v>Bal</x:v>
      </x:c>
      <x:c r="G123" s="32" t="str">
        <x:v>WR</x:v>
      </x:c>
      <x:c r="H123" s="34" t="n">
        <x:v>2</x:v>
      </x:c>
    </x:row>
    <x:row r="124">
      <x:c r="A124" s="55" t="n">
        <x:v>115</x:v>
      </x:c>
      <x:c r="B124" s="32" t="n">
        <x:v>7</x:v>
      </x:c>
      <x:c r="C124" s="32" t="str">
        <x:v>Ebby Kurian</x:v>
      </x:c>
      <x:c r="D124" s="32" t="str">
        <x:v>The Splenic Flexture</x:v>
      </x:c>
      <x:c r="E124" s="32" t="str">
        <x:v>Jerick McKinnon</x:v>
      </x:c>
      <x:c r="F124" s="32" t="str">
        <x:v>KC</x:v>
      </x:c>
      <x:c r="G124" s="32" t="str">
        <x:v>RB</x:v>
      </x:c>
      <x:c r="H124" s="34" t="n">
        <x:v>3</x:v>
      </x:c>
    </x:row>
    <x:row r="125">
      <x:c r="A125" s="55" t="n">
        <x:v>116</x:v>
      </x:c>
      <x:c r="B125" s="32" t="n">
        <x:v>16</x:v>
      </x:c>
      <x:c r="C125" s="32" t="str">
        <x:v>Eric Boudreau</x:v>
      </x:c>
      <x:c r="D125" s="32" t="str">
        <x:v>Corn-fed Masseuses</x:v>
      </x:c>
      <x:c r="E125" s="32" t="str">
        <x:v>Justin Tucker</x:v>
      </x:c>
      <x:c r="F125" s="32" t="str">
        <x:v>Bal</x:v>
      </x:c>
      <x:c r="G125" s="32" t="str">
        <x:v>K</x:v>
      </x:c>
      <x:c r="H125" s="34" t="n">
        <x:v>4</x:v>
      </x:c>
    </x:row>
    <x:row r="126">
      <x:c r="A126" s="55" t="n">
        <x:v>117</x:v>
      </x:c>
      <x:c r="B126" s="32" t="n">
        <x:v>9</x:v>
      </x:c>
      <x:c r="C126" s="32" t="str">
        <x:v>samir gandhi</x:v>
      </x:c>
      <x:c r="D126" s="32" t="str">
        <x:v>Old Money</x:v>
      </x:c>
      <x:c r="E126" s="32" t="str">
        <x:v>Steelers D/ST</x:v>
      </x:c>
      <x:c r="F126" s="32" t="str">
        <x:v>Pit</x:v>
      </x:c>
      <x:c r="G126" s="32" t="str">
        <x:v>D/ST</x:v>
      </x:c>
      <x:c r="H126" s="34" t="n">
        <x:v>9</x:v>
      </x:c>
    </x:row>
    <x:row r="127">
      <x:c r="A127" s="55" t="n">
        <x:v>118</x:v>
      </x:c>
      <x:c r="B127" s="32" t="n">
        <x:v>5</x:v>
      </x:c>
      <x:c r="C127" s="32" t="str">
        <x:v>George Rakkar</x:v>
      </x:c>
      <x:c r="D127" s="32" t="str">
        <x:v>8================ D</x:v>
      </x:c>
      <x:c r="E127" s="32" t="str">
        <x:v>Anthony Richardson</x:v>
      </x:c>
      <x:c r="F127" s="32" t="str">
        <x:v>Ind</x:v>
      </x:c>
      <x:c r="G127" s="32" t="str">
        <x:v>QB</x:v>
      </x:c>
      <x:c r="H127" s="34" t="n">
        <x:v>3</x:v>
      </x:c>
    </x:row>
    <x:row r="128">
      <x:c r="A128" s="55" t="n">
        <x:v>119</x:v>
      </x:c>
      <x:c r="B128" s="32" t="n">
        <x:v>18</x:v>
      </x:c>
      <x:c r="C128" s="32" t="str">
        <x:v>Dan Maland</x:v>
      </x:c>
      <x:c r="D128" s="32" t="str">
        <x:v>Fecal Fiasco</x:v>
      </x:c>
      <x:c r="E128" s="32" t="str">
        <x:v>Jamaal Williams</x:v>
      </x:c>
      <x:c r="F128" s="32" t="str">
        <x:v>NO</x:v>
      </x:c>
      <x:c r="G128" s="32" t="str">
        <x:v>RB</x:v>
      </x:c>
      <x:c r="H128" s="34" t="n">
        <x:v>1</x:v>
      </x:c>
    </x:row>
    <x:row r="129">
      <x:c r="A129" s="55" t="n">
        <x:v>120</x:v>
      </x:c>
      <x:c r="B129" s="32" t="n">
        <x:v>6</x:v>
      </x:c>
      <x:c r="C129" s="32" t="str">
        <x:v>sangfroid bang</x:v>
      </x:c>
      <x:c r="D129" s="32" t="str">
        <x:v>Uncle C-ass</x:v>
      </x:c>
      <x:c r="E129" s="32" t="str">
        <x:v>Raheem Mostert</x:v>
      </x:c>
      <x:c r="F129" s="32" t="str">
        <x:v>Mia</x:v>
      </x:c>
      <x:c r="G129" s="32" t="str">
        <x:v>RB</x:v>
      </x:c>
      <x:c r="H129" s="34" t="n">
        <x:v>1</x:v>
      </x:c>
    </x:row>
    <x:row r="130">
      <x:c r="A130" s="55" t="n">
        <x:v>121</x:v>
      </x:c>
      <x:c r="B130" s="32" t="n">
        <x:v>17</x:v>
      </x:c>
      <x:c r="C130" s="32" t="str">
        <x:v>Scott McKnight</x:v>
      </x:c>
      <x:c r="D130" s="32" t="str">
        <x:v>Trophy Mahome Save me</x:v>
      </x:c>
      <x:c r="E130" s="32" t="str">
        <x:v>Jaylen Warren</x:v>
      </x:c>
      <x:c r="F130" s="32" t="str">
        <x:v>Pit</x:v>
      </x:c>
      <x:c r="G130" s="32" t="str">
        <x:v>RB</x:v>
      </x:c>
      <x:c r="H130" s="34" t="n">
        <x:v>3</x:v>
      </x:c>
    </x:row>
    <x:row r="131">
      <x:c r="A131" s="55" t="n">
        <x:v>122</x:v>
      </x:c>
      <x:c r="B131" s="32" t="n">
        <x:v>19</x:v>
      </x:c>
      <x:c r="C131" s="32" t="str">
        <x:v>Thomas Atwater</x:v>
      </x:c>
      <x:c r="D131" s="32" t="str">
        <x:v>Garbage Time</x:v>
      </x:c>
      <x:c r="E131" s="32" t="str">
        <x:v>Rashee Rice</x:v>
      </x:c>
      <x:c r="F131" s="32" t="str">
        <x:v>KC</x:v>
      </x:c>
      <x:c r="G131" s="32" t="str">
        <x:v>WR</x:v>
      </x:c>
      <x:c r="H131" s="34" t="n">
        <x:v>1</x:v>
      </x:c>
    </x:row>
    <x:row r="132">
      <x:c r="A132" s="55" t="n">
        <x:v>123</x:v>
      </x:c>
      <x:c r="B132" s="32" t="n">
        <x:v>16</x:v>
      </x:c>
      <x:c r="C132" s="32" t="str">
        <x:v>Eric Boudreau</x:v>
      </x:c>
      <x:c r="D132" s="32" t="str">
        <x:v>Corn-fed Masseuses</x:v>
      </x:c>
      <x:c r="E132" s="32" t="str">
        <x:v>Saints D/ST</x:v>
      </x:c>
      <x:c r="F132" s="32" t="str">
        <x:v>NO</x:v>
      </x:c>
      <x:c r="G132" s="32" t="str">
        <x:v>D/ST</x:v>
      </x:c>
      <x:c r="H132" s="34" t="n">
        <x:v>3</x:v>
      </x:c>
    </x:row>
    <x:row r="133">
      <x:c r="A133" s="55" t="n">
        <x:v>124</x:v>
      </x:c>
      <x:c r="B133" s="32" t="n">
        <x:v>5</x:v>
      </x:c>
      <x:c r="C133" s="32" t="str">
        <x:v>George Rakkar</x:v>
      </x:c>
      <x:c r="D133" s="32" t="str">
        <x:v>8================ D</x:v>
      </x:c>
      <x:c r="E133" s="32" t="str">
        <x:v>Younghoe Koo</x:v>
      </x:c>
      <x:c r="F133" s="32" t="str">
        <x:v>Atl</x:v>
      </x:c>
      <x:c r="G133" s="32" t="str">
        <x:v>K</x:v>
      </x:c>
      <x:c r="H133" s="34" t="n">
        <x:v>2</x:v>
      </x:c>
    </x:row>
    <x:row r="134">
      <x:c r="A134" s="55" t="n">
        <x:v>125</x:v>
      </x:c>
      <x:c r="B134" s="32" t="n">
        <x:v>5</x:v>
      </x:c>
      <x:c r="C134" s="32" t="str">
        <x:v>George Rakkar</x:v>
      </x:c>
      <x:c r="D134" s="32" t="str">
        <x:v>8================ D</x:v>
      </x:c>
      <x:c r="E134" s="32" t="str">
        <x:v>Bills D/ST</x:v>
      </x:c>
      <x:c r="F134" s="32" t="str">
        <x:v>Buf</x:v>
      </x:c>
      <x:c r="G134" s="32" t="str">
        <x:v>D/ST</x:v>
      </x:c>
      <x:c r="H134" s="34" t="n">
        <x:v>3</x:v>
      </x:c>
    </x:row>
    <x:row r="135">
      <x:c r="A135" s="55" t="n">
        <x:v>126</x:v>
      </x:c>
      <x:c r="B135" s="32" t="n">
        <x:v>18</x:v>
      </x:c>
      <x:c r="C135" s="32" t="str">
        <x:v>Dan Maland</x:v>
      </x:c>
      <x:c r="D135" s="32" t="str">
        <x:v>Fecal Fiasco</x:v>
      </x:c>
      <x:c r="E135" s="32" t="str">
        <x:v>Treylon Burks</x:v>
      </x:c>
      <x:c r="F135" s="32" t="str">
        <x:v>Ten</x:v>
      </x:c>
      <x:c r="G135" s="32" t="str">
        <x:v>WR</x:v>
      </x:c>
      <x:c r="H135" s="34" t="n">
        <x:v>2</x:v>
      </x:c>
    </x:row>
    <x:row r="136">
      <x:c r="A136" s="55" t="n">
        <x:v>127</x:v>
      </x:c>
      <x:c r="B136" s="32" t="n">
        <x:v>9</x:v>
      </x:c>
      <x:c r="C136" s="32" t="str">
        <x:v>samir gandhi</x:v>
      </x:c>
      <x:c r="D136" s="32" t="str">
        <x:v>Old Money</x:v>
      </x:c>
      <x:c r="E136" s="32" t="str">
        <x:v>Evan McPherson</x:v>
      </x:c>
      <x:c r="F136" s="32" t="str">
        <x:v>Cin</x:v>
      </x:c>
      <x:c r="G136" s="32" t="str">
        <x:v>K</x:v>
      </x:c>
      <x:c r="H136" s="34" t="n">
        <x:v>3</x:v>
      </x:c>
    </x:row>
    <x:row r="137">
      <x:c r="A137" s="55" t="n">
        <x:v>128</x:v>
      </x:c>
      <x:c r="B137" s="32" t="n">
        <x:v>1</x:v>
      </x:c>
      <x:c r="C137" s="32" t="str">
        <x:v>Brett McKnight</x:v>
      </x:c>
      <x:c r="D137" s="32" t="str">
        <x:v>Ravenclaw Shirt Sunday</x:v>
      </x:c>
      <x:c r="E137" s="32" t="str">
        <x:v>Harrison Butker</x:v>
      </x:c>
      <x:c r="F137" s="32" t="str">
        <x:v>KC</x:v>
      </x:c>
      <x:c r="G137" s="32" t="str">
        <x:v>K</x:v>
      </x:c>
      <x:c r="H137" s="34" t="n">
        <x:v>3</x:v>
      </x:c>
    </x:row>
    <x:row r="138">
      <x:c r="A138" s="55" t="n">
        <x:v>129</x:v>
      </x:c>
      <x:c r="B138" s="32" t="n">
        <x:v>14</x:v>
      </x:c>
      <x:c r="C138" s="32" t="str">
        <x:v>David Richards</x:v>
      </x:c>
      <x:c r="D138" s="32" t="str">
        <x:v>Rode and Dode</x:v>
      </x:c>
      <x:c r="E138" s="32" t="str">
        <x:v>Jakobi Meyers</x:v>
      </x:c>
      <x:c r="F138" s="32" t="str">
        <x:v>LV</x:v>
      </x:c>
      <x:c r="G138" s="32" t="str">
        <x:v>WR</x:v>
      </x:c>
      <x:c r="H138" s="34" t="n">
        <x:v>2</x:v>
      </x:c>
    </x:row>
    <x:row r="139">
      <x:c r="A139" s="55" t="n">
        <x:v>130</x:v>
      </x:c>
      <x:c r="B139" s="32" t="n">
        <x:v>16</x:v>
      </x:c>
      <x:c r="C139" s="32" t="str">
        <x:v>Eric Boudreau</x:v>
      </x:c>
      <x:c r="D139" s="32" t="str">
        <x:v>Corn-fed Masseuses</x:v>
      </x:c>
      <x:c r="E139" s="32" t="str">
        <x:v>Aaron Rodgers</x:v>
      </x:c>
      <x:c r="F139" s="32" t="str">
        <x:v>NYJ</x:v>
      </x:c>
      <x:c r="G139" s="32" t="str">
        <x:v>QB</x:v>
      </x:c>
      <x:c r="H139" s="34" t="n">
        <x:v>4</x:v>
      </x:c>
    </x:row>
    <x:row r="140">
      <x:c r="A140" s="55" t="n">
        <x:v>131</x:v>
      </x:c>
      <x:c r="B140" s="32" t="n">
        <x:v>18</x:v>
      </x:c>
      <x:c r="C140" s="32" t="str">
        <x:v>Dan Maland</x:v>
      </x:c>
      <x:c r="D140" s="32" t="str">
        <x:v>Fecal Fiasco</x:v>
      </x:c>
      <x:c r="E140" s="32" t="str">
        <x:v>Gabe Davis</x:v>
      </x:c>
      <x:c r="F140" s="32" t="str">
        <x:v>Jax</x:v>
      </x:c>
      <x:c r="G140" s="32" t="str">
        <x:v>WR</x:v>
      </x:c>
      <x:c r="H140" s="34" t="n">
        <x:v>3</x:v>
      </x:c>
    </x:row>
    <x:row r="141">
      <x:c r="A141" s="55" t="n">
        <x:v>132</x:v>
      </x:c>
      <x:c r="B141" s="32" t="n">
        <x:v>6</x:v>
      </x:c>
      <x:c r="C141" s="32" t="str">
        <x:v>sangfroid bang</x:v>
      </x:c>
      <x:c r="D141" s="32" t="str">
        <x:v>Uncle C-ass</x:v>
      </x:c>
      <x:c r="E141" s="32" t="str">
        <x:v>Tyjae Spears</x:v>
      </x:c>
      <x:c r="F141" s="32" t="str">
        <x:v>Ten</x:v>
      </x:c>
      <x:c r="G141" s="32" t="str">
        <x:v>RB</x:v>
      </x:c>
      <x:c r="H141" s="34" t="n">
        <x:v>1</x:v>
      </x:c>
    </x:row>
    <x:row r="142">
      <x:c r="A142" s="55" t="n">
        <x:v>133</x:v>
      </x:c>
      <x:c r="B142" s="32" t="n">
        <x:v>4</x:v>
      </x:c>
      <x:c r="C142" s="32" t="str">
        <x:v>Kendall Bicknell</x:v>
      </x:c>
      <x:c r="D142" s="32" t="str">
        <x:v>The Toothbrush Violater</x:v>
      </x:c>
      <x:c r="E142" s="32" t="str">
        <x:v>Tyler Allgeier</x:v>
      </x:c>
      <x:c r="F142" s="32" t="str">
        <x:v>Atl</x:v>
      </x:c>
      <x:c r="G142" s="32" t="str">
        <x:v>RB</x:v>
      </x:c>
      <x:c r="H142" s="34" t="n">
        <x:v>1</x:v>
      </x:c>
    </x:row>
    <x:row r="143">
      <x:c r="A143" s="55" t="n">
        <x:v>134</x:v>
      </x:c>
      <x:c r="B143" s="32" t="n">
        <x:v>19</x:v>
      </x:c>
      <x:c r="C143" s="32" t="str">
        <x:v>Thomas Atwater</x:v>
      </x:c>
      <x:c r="D143" s="32" t="str">
        <x:v>Garbage Time</x:v>
      </x:c>
      <x:c r="E143" s="32" t="str">
        <x:v>K.J. Osborn</x:v>
      </x:c>
      <x:c r="F143" s="32" t="str">
        <x:v>NE</x:v>
      </x:c>
      <x:c r="G143" s="32" t="str">
        <x:v>WR</x:v>
      </x:c>
      <x:c r="H143" s="34" t="n">
        <x:v>1</x:v>
      </x:c>
    </x:row>
    <x:row r="144">
      <x:c r="A144" s="55" t="n">
        <x:v>135</x:v>
      </x:c>
      <x:c r="B144" s="32" t="n">
        <x:v>16</x:v>
      </x:c>
      <x:c r="C144" s="32" t="str">
        <x:v>Eric Boudreau</x:v>
      </x:c>
      <x:c r="D144" s="32" t="str">
        <x:v>Corn-fed Masseuses</x:v>
      </x:c>
      <x:c r="E144" s="32" t="str">
        <x:v>Sam LaPorta</x:v>
      </x:c>
      <x:c r="F144" s="32" t="str">
        <x:v>Det</x:v>
      </x:c>
      <x:c r="G144" s="32" t="str">
        <x:v>TE</x:v>
      </x:c>
      <x:c r="H144" s="34" t="n">
        <x:v>5</x:v>
      </x:c>
    </x:row>
    <x:row r="145">
      <x:c r="A145" s="55" t="n">
        <x:v>136</x:v>
      </x:c>
      <x:c r="B145" s="32" t="n">
        <x:v>15</x:v>
      </x:c>
      <x:c r="C145" s="32" t="str">
        <x:v>Ian Bates</x:v>
      </x:c>
      <x:c r="D145" s="32" t="str">
        <x:v>Ai Mike 🤖 From Orlando 🍺🤣</x:v>
      </x:c>
      <x:c r="E145" s="32" t="str">
        <x:v>Ty Chandler</x:v>
      </x:c>
      <x:c r="F145" s="32" t="str">
        <x:v>Min</x:v>
      </x:c>
      <x:c r="G145" s="32" t="str">
        <x:v>RB</x:v>
      </x:c>
      <x:c r="H145" s="34" t="n">
        <x:v>1</x:v>
      </x:c>
    </x:row>
    <x:row r="146">
      <x:c r="A146" s="55" t="n">
        <x:v>137</x:v>
      </x:c>
      <x:c r="B146" s="32" t="n">
        <x:v>17</x:v>
      </x:c>
      <x:c r="C146" s="32" t="str">
        <x:v>Scott McKnight</x:v>
      </x:c>
      <x:c r="D146" s="32" t="str">
        <x:v>Trophy Mahome Save me</x:v>
      </x:c>
      <x:c r="E146" s="32" t="str">
        <x:v>Packers D/ST</x:v>
      </x:c>
      <x:c r="F146" s="32" t="str">
        <x:v>GB</x:v>
      </x:c>
      <x:c r="G146" s="32" t="str">
        <x:v>D/ST</x:v>
      </x:c>
      <x:c r="H146" s="34" t="n">
        <x:v>1</x:v>
      </x:c>
    </x:row>
    <x:row r="147">
      <x:c r="A147" s="55" t="n">
        <x:v>138</x:v>
      </x:c>
      <x:c r="B147" s="32" t="n">
        <x:v>14</x:v>
      </x:c>
      <x:c r="C147" s="32" t="str">
        <x:v>David Richards</x:v>
      </x:c>
      <x:c r="D147" s="32" t="str">
        <x:v>Rode and Dode</x:v>
      </x:c>
      <x:c r="E147" s="32" t="str">
        <x:v>Odell Beckham Jr.</x:v>
      </x:c>
      <x:c r="F147" s="32" t="str">
        <x:v>FA</x:v>
      </x:c>
      <x:c r="G147" s="32" t="str">
        <x:v>WR</x:v>
      </x:c>
      <x:c r="H147" s="34" t="n">
        <x:v>1</x:v>
      </x:c>
    </x:row>
    <x:row r="148">
      <x:c r="A148" s="55" t="n">
        <x:v>139</x:v>
      </x:c>
      <x:c r="B148" s="32" t="n">
        <x:v>7</x:v>
      </x:c>
      <x:c r="C148" s="32" t="str">
        <x:v>Ebby Kurian</x:v>
      </x:c>
      <x:c r="D148" s="32" t="str">
        <x:v>The Splenic Flexture</x:v>
      </x:c>
      <x:c r="E148" s="32" t="str">
        <x:v>Daniel Carlson</x:v>
      </x:c>
      <x:c r="F148" s="32" t="str">
        <x:v>LV</x:v>
      </x:c>
      <x:c r="G148" s="32" t="str">
        <x:v>K</x:v>
      </x:c>
      <x:c r="H148" s="34" t="n">
        <x:v>2</x:v>
      </x:c>
    </x:row>
    <x:row r="149">
      <x:c r="A149" s="55" t="n">
        <x:v>140</x:v>
      </x:c>
      <x:c r="B149" s="32" t="n">
        <x:v>9</x:v>
      </x:c>
      <x:c r="C149" s="32" t="str">
        <x:v>samir gandhi</x:v>
      </x:c>
      <x:c r="D149" s="32" t="str">
        <x:v>Old Money</x:v>
      </x:c>
      <x:c r="E149" s="32" t="str">
        <x:v>Jalin Hyatt</x:v>
      </x:c>
      <x:c r="F149" s="32" t="str">
        <x:v>NYG</x:v>
      </x:c>
      <x:c r="G149" s="32" t="str">
        <x:v>WR</x:v>
      </x:c>
      <x:c r="H149" s="34" t="n">
        <x:v>1</x:v>
      </x:c>
    </x:row>
    <x:row r="150">
      <x:c r="A150" s="55" t="n">
        <x:v>141</x:v>
      </x:c>
      <x:c r="B150" s="32" t="n">
        <x:v>5</x:v>
      </x:c>
      <x:c r="C150" s="32" t="str">
        <x:v>George Rakkar</x:v>
      </x:c>
      <x:c r="D150" s="32" t="str">
        <x:v>8================ D</x:v>
      </x:c>
      <x:c r="E150" s="32" t="str">
        <x:v>Michael Gallup</x:v>
      </x:c>
      <x:c r="F150" s="32" t="str">
        <x:v>Dal</x:v>
      </x:c>
      <x:c r="G150" s="32" t="str">
        <x:v>WR</x:v>
      </x:c>
      <x:c r="H150" s="34" t="n">
        <x:v>1</x:v>
      </x:c>
    </x:row>
    <x:row r="151">
      <x:c r="A151" s="55" t="n">
        <x:v>142</x:v>
      </x:c>
      <x:c r="B151" s="32" t="n">
        <x:v>18</x:v>
      </x:c>
      <x:c r="C151" s="32" t="str">
        <x:v>Dan Maland</x:v>
      </x:c>
      <x:c r="D151" s="32" t="str">
        <x:v>Fecal Fiasco</x:v>
      </x:c>
      <x:c r="E151" s="32" t="str">
        <x:v>Commanders D/ST</x:v>
      </x:c>
      <x:c r="F151" s="32" t="str">
        <x:v>Wsh</x:v>
      </x:c>
      <x:c r="G151" s="32" t="str">
        <x:v>D/ST</x:v>
      </x:c>
      <x:c r="H151" s="34" t="n">
        <x:v>3</x:v>
      </x:c>
    </x:row>
    <x:row r="152">
      <x:c r="A152" s="55" t="n">
        <x:v>143</x:v>
      </x:c>
      <x:c r="B152" s="32" t="n">
        <x:v>6</x:v>
      </x:c>
      <x:c r="C152" s="32" t="str">
        <x:v>sangfroid bang</x:v>
      </x:c>
      <x:c r="D152" s="32" t="str">
        <x:v>Uncle C-ass</x:v>
      </x:c>
      <x:c r="E152" s="32" t="str">
        <x:v>Elijah Moore</x:v>
      </x:c>
      <x:c r="F152" s="32" t="str">
        <x:v>Cle</x:v>
      </x:c>
      <x:c r="G152" s="32" t="str">
        <x:v>WR</x:v>
      </x:c>
      <x:c r="H152" s="34" t="n">
        <x:v>1</x:v>
      </x:c>
    </x:row>
    <x:row r="153">
      <x:c r="A153" s="55" t="n">
        <x:v>144</x:v>
      </x:c>
      <x:c r="B153" s="32" t="n">
        <x:v>4</x:v>
      </x:c>
      <x:c r="C153" s="32" t="str">
        <x:v>Kendall Bicknell</x:v>
      </x:c>
      <x:c r="D153" s="32" t="str">
        <x:v>The Toothbrush Violater</x:v>
      </x:c>
      <x:c r="E153" s="32" t="str">
        <x:v>Patriots D/ST</x:v>
      </x:c>
      <x:c r="F153" s="32" t="str">
        <x:v>NE</x:v>
      </x:c>
      <x:c r="G153" s="32" t="str">
        <x:v>D/ST</x:v>
      </x:c>
      <x:c r="H153" s="34" t="n">
        <x:v>1</x:v>
      </x:c>
    </x:row>
    <x:row r="154">
      <x:c r="A154" s="55" t="n">
        <x:v>145</x:v>
      </x:c>
      <x:c r="B154" s="32" t="n">
        <x:v>19</x:v>
      </x:c>
      <x:c r="C154" s="32" t="str">
        <x:v>Thomas Atwater</x:v>
      </x:c>
      <x:c r="D154" s="32" t="str">
        <x:v>Garbage Time</x:v>
      </x:c>
      <x:c r="E154" s="32" t="str">
        <x:v>Dolphins D/ST</x:v>
      </x:c>
      <x:c r="F154" s="32" t="str">
        <x:v>Mia</x:v>
      </x:c>
      <x:c r="G154" s="32" t="str">
        <x:v>D/ST</x:v>
      </x:c>
      <x:c r="H154" s="34" t="n">
        <x:v>1</x:v>
      </x:c>
    </x:row>
    <x:row r="155">
      <x:c r="A155" s="55" t="n">
        <x:v>146</x:v>
      </x:c>
      <x:c r="B155" s="32" t="n">
        <x:v>4</x:v>
      </x:c>
      <x:c r="C155" s="32" t="str">
        <x:v>Kendall Bicknell</x:v>
      </x:c>
      <x:c r="D155" s="32" t="str">
        <x:v>The Toothbrush Violater</x:v>
      </x:c>
      <x:c r="E155" s="32" t="str">
        <x:v>Tyler Bass</x:v>
      </x:c>
      <x:c r="F155" s="32" t="str">
        <x:v>Buf</x:v>
      </x:c>
      <x:c r="G155" s="32" t="str">
        <x:v>K</x:v>
      </x:c>
      <x:c r="H155" s="34" t="n">
        <x:v>2</x:v>
      </x:c>
    </x:row>
    <x:row r="156">
      <x:c r="A156" s="55" t="n">
        <x:v>147</x:v>
      </x:c>
      <x:c r="B156" s="32" t="n">
        <x:v>17</x:v>
      </x:c>
      <x:c r="C156" s="32" t="str">
        <x:v>Scott McKnight</x:v>
      </x:c>
      <x:c r="D156" s="32" t="str">
        <x:v>Trophy Mahome Save me</x:v>
      </x:c>
      <x:c r="E156" s="32" t="str">
        <x:v>Jake Elliott</x:v>
      </x:c>
      <x:c r="F156" s="32" t="str">
        <x:v>Phi</x:v>
      </x:c>
      <x:c r="G156" s="32" t="str">
        <x:v>K</x:v>
      </x:c>
      <x:c r="H156" s="34" t="n">
        <x:v>1</x:v>
      </x:c>
    </x:row>
    <x:row r="157">
      <x:c r="A157" s="55" t="n">
        <x:v>148</x:v>
      </x:c>
      <x:c r="B157" s="32" t="n">
        <x:v>5</x:v>
      </x:c>
      <x:c r="C157" s="32" t="str">
        <x:v>George Rakkar</x:v>
      </x:c>
      <x:c r="D157" s="32" t="str">
        <x:v>8================ D</x:v>
      </x:c>
      <x:c r="E157" s="32" t="str">
        <x:v>Kirk Cousins</x:v>
      </x:c>
      <x:c r="F157" s="32" t="str">
        <x:v>Atl</x:v>
      </x:c>
      <x:c r="G157" s="32" t="str">
        <x:v>QB</x:v>
      </x:c>
      <x:c r="H157" s="34" t="n">
        <x:v>2</x:v>
      </x:c>
    </x:row>
    <x:row r="158">
      <x:c r="A158" s="55" t="n">
        <x:v>149</x:v>
      </x:c>
      <x:c r="B158" s="32" t="n">
        <x:v>9</x:v>
      </x:c>
      <x:c r="C158" s="32" t="str">
        <x:v>samir gandhi</x:v>
      </x:c>
      <x:c r="D158" s="32" t="str">
        <x:v>Old Money</x:v>
      </x:c>
      <x:c r="E158" s="32" t="str">
        <x:v>Allen Lazard</x:v>
      </x:c>
      <x:c r="F158" s="32" t="str">
        <x:v>NYJ</x:v>
      </x:c>
      <x:c r="G158" s="32" t="str">
        <x:v>WR</x:v>
      </x:c>
      <x:c r="H158" s="34" t="n">
        <x:v>1</x:v>
      </x:c>
    </x:row>
    <x:row r="159">
      <x:c r="A159" s="55" t="n">
        <x:v>150</x:v>
      </x:c>
      <x:c r="B159" s="32" t="n">
        <x:v>19</x:v>
      </x:c>
      <x:c r="C159" s="32" t="str">
        <x:v>Thomas Atwater</x:v>
      </x:c>
      <x:c r="D159" s="32" t="str">
        <x:v>Garbage Time</x:v>
      </x:c>
      <x:c r="E159" s="32" t="str">
        <x:v>Tank Bigsby</x:v>
      </x:c>
      <x:c r="F159" s="32" t="str">
        <x:v>Jax</x:v>
      </x:c>
      <x:c r="G159" s="32" t="str">
        <x:v>RB</x:v>
      </x:c>
      <x:c r="H159" s="34" t="n">
        <x:v>4</x:v>
      </x:c>
    </x:row>
    <x:row r="160">
      <x:c r="A160" s="55" t="n">
        <x:v>151</x:v>
      </x:c>
      <x:c r="B160" s="32" t="n">
        <x:v>18</x:v>
      </x:c>
      <x:c r="C160" s="32" t="str">
        <x:v>Dan Maland</x:v>
      </x:c>
      <x:c r="D160" s="32" t="str">
        <x:v>Fecal Fiasco</x:v>
      </x:c>
      <x:c r="E160" s="32" t="str">
        <x:v>Jason Myers</x:v>
      </x:c>
      <x:c r="F160" s="32" t="str">
        <x:v>Sea</x:v>
      </x:c>
      <x:c r="G160" s="32" t="str">
        <x:v>K</x:v>
      </x:c>
      <x:c r="H160" s="34" t="n">
        <x:v>2</x:v>
      </x:c>
    </x:row>
    <x:row r="161">
      <x:c r="A161" s="55" t="n">
        <x:v>152</x:v>
      </x:c>
      <x:c r="B161" s="32" t="n">
        <x:v>6</x:v>
      </x:c>
      <x:c r="C161" s="32" t="str">
        <x:v>sangfroid bang</x:v>
      </x:c>
      <x:c r="D161" s="32" t="str">
        <x:v>Uncle C-ass</x:v>
      </x:c>
      <x:c r="E161" s="32" t="str">
        <x:v>Kadarius Toney</x:v>
      </x:c>
      <x:c r="F161" s="32" t="str">
        <x:v>KC</x:v>
      </x:c>
      <x:c r="G161" s="32" t="str">
        <x:v>WR</x:v>
      </x:c>
      <x:c r="H161" s="34" t="n">
        <x:v>1</x:v>
      </x:c>
    </x:row>
    <x:row r="162">
      <x:c r="A162" s="55" t="n">
        <x:v>153</x:v>
      </x:c>
      <x:c r="B162" s="32" t="n">
        <x:v>19</x:v>
      </x:c>
      <x:c r="C162" s="32" t="str">
        <x:v>Thomas Atwater</x:v>
      </x:c>
      <x:c r="D162" s="32" t="str">
        <x:v>Garbage Time</x:v>
      </x:c>
      <x:c r="E162" s="32" t="str">
        <x:v>Graham Gano</x:v>
      </x:c>
      <x:c r="F162" s="32" t="str">
        <x:v>NYG</x:v>
      </x:c>
      <x:c r="G162" s="32" t="str">
        <x:v>K</x:v>
      </x:c>
      <x:c r="H162" s="34" t="n">
        <x:v>1</x:v>
      </x:c>
    </x:row>
    <x:row r="163">
      <x:c r="A163" s="55" t="n">
        <x:v>154</x:v>
      </x:c>
      <x:c r="B163" s="32" t="n">
        <x:v>15</x:v>
      </x:c>
      <x:c r="C163" s="32" t="str">
        <x:v>Ian Bates</x:v>
      </x:c>
      <x:c r="D163" s="32" t="str">
        <x:v>Ai Mike 🤖 From Orlando 🍺🤣</x:v>
      </x:c>
      <x:c r="E163" s="32" t="str">
        <x:v>Zach Charbonnet</x:v>
      </x:c>
      <x:c r="F163" s="32" t="str">
        <x:v>Sea</x:v>
      </x:c>
      <x:c r="G163" s="32" t="str">
        <x:v>RB</x:v>
      </x:c>
      <x:c r="H163" s="34" t="n">
        <x:v>1</x:v>
      </x:c>
    </x:row>
    <x:row r="164">
      <x:c r="A164" s="55" t="n">
        <x:v>155</x:v>
      </x:c>
      <x:c r="B164" s="32" t="n">
        <x:v>17</x:v>
      </x:c>
      <x:c r="C164" s="32" t="str">
        <x:v>Scott McKnight</x:v>
      </x:c>
      <x:c r="D164" s="32" t="str">
        <x:v>Trophy Mahome Save me</x:v>
      </x:c>
      <x:c r="E164" s="32" t="str">
        <x:v>Samaje Perine</x:v>
      </x:c>
      <x:c r="F164" s="32" t="str">
        <x:v>Den</x:v>
      </x:c>
      <x:c r="G164" s="32" t="str">
        <x:v>RB</x:v>
      </x:c>
      <x:c r="H164" s="34" t="n">
        <x:v>1</x:v>
      </x:c>
    </x:row>
    <x:row r="165">
      <x:c r="A165" s="55" t="n">
        <x:v>156</x:v>
      </x:c>
      <x:c r="B165" s="32" t="n">
        <x:v>14</x:v>
      </x:c>
      <x:c r="C165" s="32" t="str">
        <x:v>David Richards</x:v>
      </x:c>
      <x:c r="D165" s="32" t="str">
        <x:v>Rode and Dode</x:v>
      </x:c>
      <x:c r="E165" s="32" t="str">
        <x:v>Daniel Jones</x:v>
      </x:c>
      <x:c r="F165" s="32" t="str">
        <x:v>NYG</x:v>
      </x:c>
      <x:c r="G165" s="32" t="str">
        <x:v>QB</x:v>
      </x:c>
      <x:c r="H165" s="34" t="n">
        <x:v>1</x:v>
      </x:c>
    </x:row>
    <x:row r="166">
      <x:c r="A166" s="55" t="n">
        <x:v>157</x:v>
      </x:c>
      <x:c r="B166" s="32" t="n">
        <x:v>9</x:v>
      </x:c>
      <x:c r="C166" s="32" t="str">
        <x:v>samir gandhi</x:v>
      </x:c>
      <x:c r="D166" s="32" t="str">
        <x:v>Old Money</x:v>
      </x:c>
      <x:c r="E166" s="32" t="str">
        <x:v>Deon Jackson</x:v>
      </x:c>
      <x:c r="F166" s="32" t="str">
        <x:v>NYG</x:v>
      </x:c>
      <x:c r="G166" s="32" t="str">
        <x:v>RB</x:v>
      </x:c>
      <x:c r="H166" s="34" t="n">
        <x:v>1</x:v>
      </x:c>
    </x:row>
    <x:row r="167">
      <x:c r="A167" s="55" t="n">
        <x:v>158</x:v>
      </x:c>
      <x:c r="B167" s="32" t="n">
        <x:v>5</x:v>
      </x:c>
      <x:c r="C167" s="32" t="str">
        <x:v>George Rakkar</x:v>
      </x:c>
      <x:c r="D167" s="32" t="str">
        <x:v>8================ D</x:v>
      </x:c>
      <x:c r="E167" s="32" t="str">
        <x:v>Dalton Schultz</x:v>
      </x:c>
      <x:c r="F167" s="32" t="str">
        <x:v>Hou</x:v>
      </x:c>
      <x:c r="G167" s="32" t="str">
        <x:v>TE</x:v>
      </x:c>
      <x:c r="H167" s="34" t="n">
        <x:v>1</x:v>
      </x:c>
    </x:row>
    <x:row r="168">
      <x:c r="A168" s="55" t="n">
        <x:v>159</x:v>
      </x:c>
      <x:c r="B168" s="32" t="n">
        <x:v>6</x:v>
      </x:c>
      <x:c r="C168" s="32" t="str">
        <x:v>sangfroid bang</x:v>
      </x:c>
      <x:c r="D168" s="32" t="str">
        <x:v>Uncle C-ass</x:v>
      </x:c>
      <x:c r="E168" s="32" t="str">
        <x:v>Browns D/ST</x:v>
      </x:c>
      <x:c r="F168" s="32" t="str">
        <x:v>Cle</x:v>
      </x:c>
      <x:c r="G168" s="32" t="str">
        <x:v>D/ST</x:v>
      </x:c>
      <x:c r="H168" s="34" t="n">
        <x:v>1</x:v>
      </x:c>
    </x:row>
    <x:row r="169">
      <x:c r="A169" s="55" t="n">
        <x:v>160</x:v>
      </x:c>
      <x:c r="B169" s="32" t="n">
        <x:v>19</x:v>
      </x:c>
      <x:c r="C169" s="32" t="str">
        <x:v>Thomas Atwater</x:v>
      </x:c>
      <x:c r="D169" s="32" t="str">
        <x:v>Garbage Time</x:v>
      </x:c>
      <x:c r="E169" s="32" t="str">
        <x:v>John Metchie III</x:v>
      </x:c>
      <x:c r="F169" s="32" t="str">
        <x:v>Hou</x:v>
      </x:c>
      <x:c r="G169" s="32" t="str">
        <x:v>WR</x:v>
      </x:c>
      <x:c r="H169" s="34" t="n">
        <x:v>1</x:v>
      </x:c>
    </x:row>
    <x:row r="170">
      <x:c r="A170" s="55" t="n">
        <x:v>161</x:v>
      </x:c>
      <x:c r="B170" s="32" t="n">
        <x:v>15</x:v>
      </x:c>
      <x:c r="C170" s="32" t="str">
        <x:v>Ian Bates</x:v>
      </x:c>
      <x:c r="D170" s="32" t="str">
        <x:v>Ai Mike 🤖 From Orlando 🍺🤣</x:v>
      </x:c>
      <x:c r="E170" s="32" t="str">
        <x:v>Adam Thielen</x:v>
      </x:c>
      <x:c r="F170" s="32" t="str">
        <x:v>Car</x:v>
      </x:c>
      <x:c r="G170" s="32" t="str">
        <x:v>WR</x:v>
      </x:c>
      <x:c r="H170" s="34" t="n">
        <x:v>1</x:v>
      </x:c>
    </x:row>
    <x:row r="171">
      <x:c r="A171" s="55" t="n">
        <x:v>162</x:v>
      </x:c>
      <x:c r="B171" s="32" t="n">
        <x:v>14</x:v>
      </x:c>
      <x:c r="C171" s="32" t="str">
        <x:v>David Richards</x:v>
      </x:c>
      <x:c r="D171" s="32" t="str">
        <x:v>Rode and Dode</x:v>
      </x:c>
      <x:c r="E171" s="32" t="str">
        <x:v>Rashaad Penny</x:v>
      </x:c>
      <x:c r="F171" s="32" t="str">
        <x:v>Phi</x:v>
      </x:c>
      <x:c r="G171" s="32" t="str">
        <x:v>RB</x:v>
      </x:c>
      <x:c r="H171" s="34" t="n">
        <x:v>2</x:v>
      </x:c>
    </x:row>
    <x:row r="172">
      <x:c r="A172" s="55" t="n">
        <x:v>163</x:v>
      </x:c>
      <x:c r="B172" s="32" t="n">
        <x:v>14</x:v>
      </x:c>
      <x:c r="C172" s="32" t="str">
        <x:v>David Richards</x:v>
      </x:c>
      <x:c r="D172" s="32" t="str">
        <x:v>Rode and Dode</x:v>
      </x:c>
      <x:c r="E172" s="32" t="str">
        <x:v>Matt Gay</x:v>
      </x:c>
      <x:c r="F172" s="32" t="str">
        <x:v>Ind</x:v>
      </x:c>
      <x:c r="G172" s="32" t="str">
        <x:v>K</x:v>
      </x:c>
      <x:c r="H172" s="34" t="n">
        <x:v>1</x:v>
      </x:c>
    </x:row>
    <x:row r="173">
      <x:c r="A173" s="55" t="n">
        <x:v>164</x:v>
      </x:c>
      <x:c r="B173" s="32" t="n">
        <x:v>6</x:v>
      </x:c>
      <x:c r="C173" s="32" t="str">
        <x:v>sangfroid bang</x:v>
      </x:c>
      <x:c r="D173" s="32" t="str">
        <x:v>Uncle C-ass</x:v>
      </x:c>
      <x:c r="E173" s="32" t="str">
        <x:v>Greg Zuerlein</x:v>
      </x:c>
      <x:c r="F173" s="32" t="str">
        <x:v>NYJ</x:v>
      </x:c>
      <x:c r="G173" s="32" t="str">
        <x:v>K</x:v>
      </x:c>
      <x:c r="H173" s="34" t="n">
        <x:v>1</x:v>
      </x:c>
    </x:row>
    <x:row r="174">
      <x:c r="A174" s="55" t="n">
        <x:v>165</x:v>
      </x:c>
      <x:c r="B174" s="32" t="n">
        <x:v>15</x:v>
      </x:c>
      <x:c r="C174" s="32" t="str">
        <x:v>Ian Bates</x:v>
      </x:c>
      <x:c r="D174" s="32" t="str">
        <x:v>Ai Mike 🤖 From Orlando 🍺🤣</x:v>
      </x:c>
      <x:c r="E174" s="32" t="str">
        <x:v>Eagles D/ST</x:v>
      </x:c>
      <x:c r="F174" s="32" t="str">
        <x:v>Phi</x:v>
      </x:c>
      <x:c r="G174" s="32" t="str">
        <x:v>D/ST</x:v>
      </x:c>
      <x:c r="H174" s="34" t="n">
        <x:v>1</x:v>
      </x:c>
    </x:row>
    <x:row r="175">
      <x:c r="A175" s="55" t="n">
        <x:v>166</x:v>
      </x:c>
      <x:c r="B175" s="32" t="n">
        <x:v>17</x:v>
      </x:c>
      <x:c r="C175" s="32" t="str">
        <x:v>Scott McKnight</x:v>
      </x:c>
      <x:c r="D175" s="32" t="str">
        <x:v>Trophy Mahome Save me</x:v>
      </x:c>
      <x:c r="E175" s="32" t="str">
        <x:v>Isaiah Hodgins</x:v>
      </x:c>
      <x:c r="F175" s="32" t="str">
        <x:v>NYG</x:v>
      </x:c>
      <x:c r="G175" s="32" t="str">
        <x:v>WR</x:v>
      </x:c>
      <x:c r="H175" s="34" t="n">
        <x:v>1</x:v>
      </x:c>
    </x:row>
    <x:row r="176">
      <x:c r="A176" s="55" t="n">
        <x:v>167</x:v>
      </x:c>
      <x:c r="B176" s="32" t="n">
        <x:v>15</x:v>
      </x:c>
      <x:c r="C176" s="32" t="str">
        <x:v>Ian Bates</x:v>
      </x:c>
      <x:c r="D176" s="32" t="str">
        <x:v>Ai Mike 🤖 From Orlando 🍺🤣</x:v>
      </x:c>
      <x:c r="E176" s="32" t="str">
        <x:v>Chris Boswell</x:v>
      </x:c>
      <x:c r="F176" s="32" t="str">
        <x:v>Pit</x:v>
      </x:c>
      <x:c r="G176" s="32" t="str">
        <x:v>K</x:v>
      </x:c>
      <x:c r="H176" s="34" t="n">
        <x:v>1</x:v>
      </x:c>
    </x:row>
    <x:row r="177">
      <x:c r="A177" s="55" t="n">
        <x:v>168</x:v>
      </x:c>
      <x:c r="B177" s="32" t="n">
        <x:v>17</x:v>
      </x:c>
      <x:c r="C177" s="32" t="str">
        <x:v>Scott McKnight</x:v>
      </x:c>
      <x:c r="D177" s="32" t="str">
        <x:v>Trophy Mahome Save me</x:v>
      </x:c>
      <x:c r="E177" s="32" t="str">
        <x:v>Ezekiel Elliott</x:v>
      </x:c>
      <x:c r="F177" s="32" t="str">
        <x:v>NE</x:v>
      </x:c>
      <x:c r="G177" s="32" t="str">
        <x:v>RB</x:v>
      </x:c>
      <x:c r="H177" s="34" t="n">
        <x:v>1</x:v>
      </x:c>
    </x:row>
  </x:sheetData>
  <x:mergeCells>
    <x:mergeCell ref="A1:H1"/>
    <x:mergeCell ref="A2:H2"/>
    <x:mergeCell ref="A3:H3"/>
    <x:mergeCell ref="A5:H5"/>
    <x:mergeCell ref="A32:H32"/>
  </x:mergeCells>
  <x:pageMargins left="0.7" right="0.7" top="0.75" bottom="0.75" header="0.3" footer="0.3"/>
  <x:tableParts count="2">
    <x:tablePart xmlns:r="http://schemas.openxmlformats.org/officeDocument/2006/relationships" r:id="Rcd1d2c9ee9bc45e8"/>
    <x:tablePart xmlns:r="http://schemas.openxmlformats.org/officeDocument/2006/relationships" r:id="R27a386f7eb27456d"/>
  </x:tableParts>
</x:worksheet>
</file>